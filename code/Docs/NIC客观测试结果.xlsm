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001" codeName="{662AC1DA-710E-409A-AF98-282AFDE22985}"/>
  <workbookPr codeName="ThisWorkbook"/>
  <mc:AlternateContent xmlns:mc="http://schemas.openxmlformats.org/markup-compatibility/2006">
    <mc:Choice Requires="x15">
      <x15ac:absPath xmlns:x15ac="http://schemas.microsoft.com/office/spreadsheetml/2010/11/ac" url="D:\research\封闭开发\"/>
    </mc:Choice>
  </mc:AlternateContent>
  <xr:revisionPtr revIDLastSave="0" documentId="13_ncr:1_{7E269969-0CAE-4B5E-BEBB-266ABF804320}" xr6:coauthVersionLast="45" xr6:coauthVersionMax="45" xr10:uidLastSave="{00000000-0000-0000-0000-000000000000}"/>
  <bookViews>
    <workbookView xWindow="44880" yWindow="-120" windowWidth="25440" windowHeight="15390" tabRatio="865" activeTab="1" xr2:uid="{00000000-000D-0000-FFFF-FFFF00000000}"/>
  </bookViews>
  <sheets>
    <sheet name="NIC-0.1(CfE)" sheetId="18" r:id="rId1"/>
    <sheet name="NIC-0.1(retrain)" sheetId="19" r:id="rId2"/>
    <sheet name="Sheet3" sheetId="20" r:id="rId3"/>
  </sheets>
  <functionGroups builtInGroupCount="19"/>
  <externalReferences>
    <externalReference r:id="rId4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L40" i="19" l="1"/>
  <c r="AL292" i="19"/>
  <c r="AN412" i="19"/>
  <c r="AR568" i="18" l="1"/>
  <c r="AA568" i="19"/>
  <c r="AA520" i="19"/>
  <c r="AA472" i="19"/>
  <c r="AA424" i="19"/>
  <c r="Z526" i="19"/>
  <c r="Z460" i="19"/>
  <c r="Z394" i="19"/>
  <c r="X544" i="19"/>
  <c r="X496" i="19"/>
  <c r="X478" i="19"/>
  <c r="X430" i="19"/>
  <c r="X382" i="19"/>
  <c r="W544" i="19"/>
  <c r="W496" i="19"/>
  <c r="W448" i="19"/>
  <c r="W400" i="19"/>
  <c r="V538" i="19"/>
  <c r="V490" i="19"/>
  <c r="V442" i="19"/>
  <c r="V394" i="19"/>
  <c r="U556" i="19"/>
  <c r="U508" i="19"/>
  <c r="U460" i="19"/>
  <c r="U412" i="19"/>
  <c r="T532" i="19"/>
  <c r="T484" i="19"/>
  <c r="T436" i="19"/>
  <c r="T388" i="19"/>
  <c r="V340" i="19"/>
  <c r="AP568" i="18"/>
  <c r="AA532" i="19"/>
  <c r="AA484" i="19"/>
  <c r="AA436" i="19"/>
  <c r="AA388" i="19"/>
  <c r="Z538" i="19"/>
  <c r="Z472" i="19"/>
  <c r="Z406" i="19"/>
  <c r="X574" i="19"/>
  <c r="X556" i="19"/>
  <c r="X508" i="19"/>
  <c r="X490" i="19"/>
  <c r="X442" i="19"/>
  <c r="X394" i="19"/>
  <c r="W556" i="19"/>
  <c r="W508" i="19"/>
  <c r="W460" i="19"/>
  <c r="W412" i="19"/>
  <c r="V550" i="19"/>
  <c r="V502" i="19"/>
  <c r="V454" i="19"/>
  <c r="V406" i="19"/>
  <c r="U568" i="19"/>
  <c r="U520" i="19"/>
  <c r="U472" i="19"/>
  <c r="U424" i="19"/>
  <c r="T544" i="19"/>
  <c r="T496" i="19"/>
  <c r="T448" i="19"/>
  <c r="T400" i="19"/>
  <c r="Y448" i="19"/>
  <c r="V352" i="19"/>
  <c r="V304" i="19"/>
  <c r="Y526" i="19"/>
  <c r="U346" i="19"/>
  <c r="U298" i="19"/>
  <c r="AS562" i="18"/>
  <c r="T208" i="19"/>
  <c r="AA562" i="19"/>
  <c r="AA514" i="19"/>
  <c r="AA466" i="19"/>
  <c r="AA418" i="19"/>
  <c r="Z568" i="19"/>
  <c r="Z520" i="19"/>
  <c r="Z454" i="19"/>
  <c r="Z388" i="19"/>
  <c r="X538" i="19"/>
  <c r="X472" i="19"/>
  <c r="X424" i="19"/>
  <c r="X376" i="19"/>
  <c r="W538" i="19"/>
  <c r="W490" i="19"/>
  <c r="W442" i="19"/>
  <c r="W394" i="19"/>
  <c r="V532" i="19"/>
  <c r="V484" i="19"/>
  <c r="V436" i="19"/>
  <c r="V388" i="19"/>
  <c r="U550" i="19"/>
  <c r="U502" i="19"/>
  <c r="U454" i="19"/>
  <c r="U406" i="19"/>
  <c r="T574" i="19"/>
  <c r="T526" i="19"/>
  <c r="T478" i="19"/>
  <c r="T430" i="19"/>
  <c r="T382" i="19"/>
  <c r="V334" i="19"/>
  <c r="V286" i="19"/>
  <c r="Y382" i="19"/>
  <c r="U328" i="19"/>
  <c r="U280" i="19"/>
  <c r="U232" i="19"/>
  <c r="U184" i="19"/>
  <c r="T352" i="19"/>
  <c r="T304" i="19"/>
  <c r="T256" i="19"/>
  <c r="T190" i="19"/>
  <c r="AR562" i="18"/>
  <c r="AA544" i="19"/>
  <c r="AA496" i="19"/>
  <c r="AA448" i="19"/>
  <c r="AA400" i="19"/>
  <c r="Z550" i="19"/>
  <c r="Z502" i="19"/>
  <c r="Z484" i="19"/>
  <c r="Z436" i="19"/>
  <c r="Z418" i="19"/>
  <c r="X568" i="19"/>
  <c r="X520" i="19"/>
  <c r="X454" i="19"/>
  <c r="X406" i="19"/>
  <c r="W568" i="19"/>
  <c r="W520" i="19"/>
  <c r="W472" i="19"/>
  <c r="W424" i="19"/>
  <c r="V562" i="19"/>
  <c r="V514" i="19"/>
  <c r="V466" i="19"/>
  <c r="V418" i="19"/>
  <c r="V370" i="19"/>
  <c r="U532" i="19"/>
  <c r="U484" i="19"/>
  <c r="U436" i="19"/>
  <c r="U388" i="19"/>
  <c r="T556" i="19"/>
  <c r="T508" i="19"/>
  <c r="T460" i="19"/>
  <c r="T412" i="19"/>
  <c r="Y544" i="19"/>
  <c r="V364" i="19"/>
  <c r="V316" i="19"/>
  <c r="Y376" i="19"/>
  <c r="U358" i="19"/>
  <c r="U310" i="19"/>
  <c r="U262" i="19"/>
  <c r="U214" i="19"/>
  <c r="U166" i="19"/>
  <c r="Y556" i="19"/>
  <c r="T334" i="19"/>
  <c r="T286" i="19"/>
  <c r="T238" i="19"/>
  <c r="AQ562" i="18"/>
  <c r="AP562" i="18"/>
  <c r="AS568" i="18"/>
  <c r="AA490" i="19"/>
  <c r="AA394" i="19"/>
  <c r="Z496" i="19"/>
  <c r="Z430" i="19"/>
  <c r="X562" i="19"/>
  <c r="X400" i="19"/>
  <c r="W514" i="19"/>
  <c r="W418" i="19"/>
  <c r="V556" i="19"/>
  <c r="V460" i="19"/>
  <c r="U574" i="19"/>
  <c r="U478" i="19"/>
  <c r="U382" i="19"/>
  <c r="T550" i="19"/>
  <c r="T454" i="19"/>
  <c r="Y496" i="19"/>
  <c r="V358" i="19"/>
  <c r="V298" i="19"/>
  <c r="W370" i="19"/>
  <c r="U292" i="19"/>
  <c r="U250" i="19"/>
  <c r="U226" i="19"/>
  <c r="U370" i="19"/>
  <c r="T346" i="19"/>
  <c r="T262" i="19"/>
  <c r="T196" i="19"/>
  <c r="T160" i="19"/>
  <c r="Y490" i="19"/>
  <c r="U376" i="19"/>
  <c r="AA340" i="19"/>
  <c r="AA292" i="19"/>
  <c r="AA244" i="19"/>
  <c r="AA196" i="19"/>
  <c r="Y424" i="19"/>
  <c r="Z364" i="19"/>
  <c r="Z316" i="19"/>
  <c r="Y322" i="19"/>
  <c r="Y274" i="19"/>
  <c r="Y226" i="19"/>
  <c r="Y178" i="19"/>
  <c r="Y388" i="19"/>
  <c r="X328" i="19"/>
  <c r="X280" i="19"/>
  <c r="X232" i="19"/>
  <c r="X184" i="19"/>
  <c r="AQ568" i="18"/>
  <c r="AA550" i="19"/>
  <c r="AA454" i="19"/>
  <c r="Z556" i="19"/>
  <c r="Z490" i="19"/>
  <c r="Z424" i="19"/>
  <c r="X526" i="19"/>
  <c r="X460" i="19"/>
  <c r="W574" i="19"/>
  <c r="W478" i="19"/>
  <c r="W382" i="19"/>
  <c r="V520" i="19"/>
  <c r="V424" i="19"/>
  <c r="U538" i="19"/>
  <c r="U442" i="19"/>
  <c r="T514" i="19"/>
  <c r="T418" i="19"/>
  <c r="U340" i="19"/>
  <c r="U268" i="19"/>
  <c r="U244" i="19"/>
  <c r="U160" i="19"/>
  <c r="T364" i="19"/>
  <c r="T280" i="19"/>
  <c r="AA322" i="19"/>
  <c r="AA274" i="19"/>
  <c r="AA226" i="19"/>
  <c r="AA178" i="19"/>
  <c r="Z346" i="19"/>
  <c r="Z298" i="19"/>
  <c r="Y454" i="19"/>
  <c r="Y352" i="19"/>
  <c r="Y304" i="19"/>
  <c r="Y256" i="19"/>
  <c r="Y208" i="19"/>
  <c r="X358" i="19"/>
  <c r="X310" i="19"/>
  <c r="X262" i="19"/>
  <c r="X214" i="19"/>
  <c r="X166" i="19"/>
  <c r="Y466" i="19"/>
  <c r="AA478" i="19"/>
  <c r="AA382" i="19"/>
  <c r="X550" i="19"/>
  <c r="X484" i="19"/>
  <c r="X388" i="19"/>
  <c r="W502" i="19"/>
  <c r="W406" i="19"/>
  <c r="V544" i="19"/>
  <c r="V448" i="19"/>
  <c r="U562" i="19"/>
  <c r="AA574" i="19"/>
  <c r="AA508" i="19"/>
  <c r="AA412" i="19"/>
  <c r="Z514" i="19"/>
  <c r="Z448" i="19"/>
  <c r="Z382" i="19"/>
  <c r="X418" i="19"/>
  <c r="W532" i="19"/>
  <c r="W436" i="19"/>
  <c r="V574" i="19"/>
  <c r="V478" i="19"/>
  <c r="V382" i="19"/>
  <c r="U496" i="19"/>
  <c r="U400" i="19"/>
  <c r="T568" i="19"/>
  <c r="T472" i="19"/>
  <c r="T376" i="19"/>
  <c r="V292" i="19"/>
  <c r="U364" i="19"/>
  <c r="U286" i="19"/>
  <c r="U220" i="19"/>
  <c r="U196" i="19"/>
  <c r="Y412" i="19"/>
  <c r="T340" i="19"/>
  <c r="T316" i="19"/>
  <c r="T232" i="19"/>
  <c r="T154" i="19"/>
  <c r="Y442" i="19"/>
  <c r="AA334" i="19"/>
  <c r="AA286" i="19"/>
  <c r="AA238" i="19"/>
  <c r="AA190" i="19"/>
  <c r="Z358" i="19"/>
  <c r="Z310" i="19"/>
  <c r="Y550" i="19"/>
  <c r="Y364" i="19"/>
  <c r="Y316" i="19"/>
  <c r="Y268" i="19"/>
  <c r="Y220" i="19"/>
  <c r="Y172" i="19"/>
  <c r="AA370" i="19"/>
  <c r="X322" i="19"/>
  <c r="X274" i="19"/>
  <c r="X226" i="19"/>
  <c r="AA526" i="19"/>
  <c r="AA430" i="19"/>
  <c r="Z532" i="19"/>
  <c r="Z466" i="19"/>
  <c r="Z400" i="19"/>
  <c r="X502" i="19"/>
  <c r="X436" i="19"/>
  <c r="W550" i="19"/>
  <c r="W454" i="19"/>
  <c r="V496" i="19"/>
  <c r="V400" i="19"/>
  <c r="U514" i="19"/>
  <c r="AA406" i="19"/>
  <c r="X448" i="19"/>
  <c r="X370" i="19"/>
  <c r="V526" i="19"/>
  <c r="U490" i="19"/>
  <c r="T424" i="19"/>
  <c r="T370" i="19"/>
  <c r="V346" i="19"/>
  <c r="U304" i="19"/>
  <c r="T310" i="19"/>
  <c r="T274" i="19"/>
  <c r="T244" i="19"/>
  <c r="T202" i="19"/>
  <c r="T172" i="19"/>
  <c r="AA364" i="19"/>
  <c r="AA214" i="19"/>
  <c r="Y520" i="19"/>
  <c r="Z340" i="19"/>
  <c r="Y358" i="19"/>
  <c r="Y280" i="19"/>
  <c r="Y202" i="19"/>
  <c r="Y436" i="19"/>
  <c r="X304" i="19"/>
  <c r="X178" i="19"/>
  <c r="Y154" i="19"/>
  <c r="U106" i="19"/>
  <c r="W256" i="19"/>
  <c r="V214" i="19"/>
  <c r="Z244" i="19"/>
  <c r="Y418" i="19"/>
  <c r="Z136" i="19"/>
  <c r="Z88" i="19"/>
  <c r="Z40" i="19"/>
  <c r="Y94" i="19"/>
  <c r="Y88" i="19"/>
  <c r="X148" i="19"/>
  <c r="X100" i="19"/>
  <c r="X52" i="19"/>
  <c r="W310" i="19"/>
  <c r="Z508" i="19"/>
  <c r="Z412" i="19"/>
  <c r="X532" i="19"/>
  <c r="W562" i="19"/>
  <c r="W484" i="19"/>
  <c r="V508" i="19"/>
  <c r="V430" i="19"/>
  <c r="U418" i="19"/>
  <c r="T520" i="19"/>
  <c r="T466" i="19"/>
  <c r="Y430" i="19"/>
  <c r="W376" i="19"/>
  <c r="T268" i="19"/>
  <c r="AA262" i="19"/>
  <c r="AA208" i="19"/>
  <c r="AA184" i="19"/>
  <c r="Y406" i="19"/>
  <c r="Y328" i="19"/>
  <c r="Y250" i="19"/>
  <c r="X352" i="19"/>
  <c r="X202" i="19"/>
  <c r="U136" i="19"/>
  <c r="U88" i="19"/>
  <c r="Z250" i="19"/>
  <c r="W208" i="19"/>
  <c r="W286" i="19"/>
  <c r="W364" i="19"/>
  <c r="Z118" i="19"/>
  <c r="Z70" i="19"/>
  <c r="Z22" i="19"/>
  <c r="Y58" i="19"/>
  <c r="W346" i="19"/>
  <c r="Y148" i="19"/>
  <c r="Y52" i="19"/>
  <c r="W328" i="19"/>
  <c r="X130" i="19"/>
  <c r="X82" i="19"/>
  <c r="X34" i="19"/>
  <c r="W220" i="19"/>
  <c r="AA556" i="19"/>
  <c r="X514" i="19"/>
  <c r="W466" i="19"/>
  <c r="W388" i="19"/>
  <c r="V412" i="19"/>
  <c r="U544" i="19"/>
  <c r="U466" i="19"/>
  <c r="T562" i="19"/>
  <c r="T406" i="19"/>
  <c r="U334" i="19"/>
  <c r="U256" i="19"/>
  <c r="U190" i="19"/>
  <c r="U154" i="19"/>
  <c r="T298" i="19"/>
  <c r="T166" i="19"/>
  <c r="AA310" i="19"/>
  <c r="AA256" i="19"/>
  <c r="AA232" i="19"/>
  <c r="Y472" i="19"/>
  <c r="Z286" i="19"/>
  <c r="Y298" i="19"/>
  <c r="X250" i="19"/>
  <c r="X196" i="19"/>
  <c r="X154" i="19"/>
  <c r="U118" i="19"/>
  <c r="U70" i="19"/>
  <c r="W304" i="19"/>
  <c r="Y562" i="19"/>
  <c r="Z148" i="19"/>
  <c r="Z100" i="19"/>
  <c r="Z52" i="19"/>
  <c r="Z4" i="19"/>
  <c r="Y130" i="19"/>
  <c r="Y112" i="19"/>
  <c r="X112" i="19"/>
  <c r="X64" i="19"/>
  <c r="X16" i="19"/>
  <c r="V148" i="19"/>
  <c r="W280" i="19"/>
  <c r="AA538" i="19"/>
  <c r="AA460" i="19"/>
  <c r="Z574" i="19"/>
  <c r="Z478" i="19"/>
  <c r="U526" i="19"/>
  <c r="T502" i="19"/>
  <c r="Y400" i="19"/>
  <c r="AA358" i="19"/>
  <c r="AA304" i="19"/>
  <c r="AA442" i="19"/>
  <c r="Z562" i="19"/>
  <c r="X412" i="19"/>
  <c r="V568" i="19"/>
  <c r="T442" i="19"/>
  <c r="T394" i="19"/>
  <c r="Z376" i="19"/>
  <c r="V328" i="19"/>
  <c r="U178" i="19"/>
  <c r="T358" i="19"/>
  <c r="T328" i="19"/>
  <c r="T292" i="19"/>
  <c r="T226" i="19"/>
  <c r="T184" i="19"/>
  <c r="AA352" i="19"/>
  <c r="AA328" i="19"/>
  <c r="AA250" i="19"/>
  <c r="AA172" i="19"/>
  <c r="Z328" i="19"/>
  <c r="Z304" i="19"/>
  <c r="Y244" i="19"/>
  <c r="Y190" i="19"/>
  <c r="X346" i="19"/>
  <c r="X292" i="19"/>
  <c r="X268" i="19"/>
  <c r="X190" i="19"/>
  <c r="Z370" i="19"/>
  <c r="W262" i="19"/>
  <c r="W214" i="19"/>
  <c r="AA166" i="19"/>
  <c r="U130" i="19"/>
  <c r="U82" i="19"/>
  <c r="W316" i="19"/>
  <c r="V250" i="19"/>
  <c r="W166" i="19"/>
  <c r="Z112" i="19"/>
  <c r="Z64" i="19"/>
  <c r="Z16" i="19"/>
  <c r="Y46" i="19"/>
  <c r="W298" i="19"/>
  <c r="V244" i="19"/>
  <c r="Y142" i="19"/>
  <c r="Y40" i="19"/>
  <c r="Z280" i="19"/>
  <c r="V238" i="19"/>
  <c r="X124" i="19"/>
  <c r="X76" i="19"/>
  <c r="X28" i="19"/>
  <c r="V274" i="19"/>
  <c r="AA376" i="19"/>
  <c r="Z268" i="19"/>
  <c r="Z544" i="19"/>
  <c r="W526" i="19"/>
  <c r="V472" i="19"/>
  <c r="U448" i="19"/>
  <c r="U394" i="19"/>
  <c r="T538" i="19"/>
  <c r="T490" i="19"/>
  <c r="Y370" i="19"/>
  <c r="V322" i="19"/>
  <c r="V280" i="19"/>
  <c r="U322" i="19"/>
  <c r="Y508" i="19"/>
  <c r="T322" i="19"/>
  <c r="T250" i="19"/>
  <c r="T220" i="19"/>
  <c r="Y394" i="19"/>
  <c r="AA298" i="19"/>
  <c r="AA220" i="19"/>
  <c r="Z352" i="19"/>
  <c r="Y292" i="19"/>
  <c r="Y238" i="19"/>
  <c r="Y214" i="19"/>
  <c r="Y532" i="19"/>
  <c r="X340" i="19"/>
  <c r="X316" i="19"/>
  <c r="X238" i="19"/>
  <c r="Z256" i="19"/>
  <c r="Z208" i="19"/>
  <c r="U112" i="19"/>
  <c r="W244" i="19"/>
  <c r="V202" i="19"/>
  <c r="Z142" i="19"/>
  <c r="Z94" i="19"/>
  <c r="Z46" i="19"/>
  <c r="Y106" i="19"/>
  <c r="W238" i="19"/>
  <c r="V196" i="19"/>
  <c r="Y100" i="19"/>
  <c r="Y514" i="19"/>
  <c r="Z274" i="19"/>
  <c r="W232" i="19"/>
  <c r="V190" i="19"/>
  <c r="X106" i="19"/>
  <c r="X58" i="19"/>
  <c r="X10" i="19"/>
  <c r="Z262" i="19"/>
  <c r="V178" i="19"/>
  <c r="W358" i="19"/>
  <c r="W430" i="19"/>
  <c r="V376" i="19"/>
  <c r="Y574" i="19"/>
  <c r="AA502" i="19"/>
  <c r="Y538" i="19"/>
  <c r="Y232" i="19"/>
  <c r="Y484" i="19"/>
  <c r="X256" i="19"/>
  <c r="V268" i="19"/>
  <c r="Z10" i="19"/>
  <c r="Y136" i="19"/>
  <c r="Y64" i="19"/>
  <c r="X22" i="19"/>
  <c r="W112" i="19"/>
  <c r="W64" i="19"/>
  <c r="W16" i="19"/>
  <c r="W340" i="19"/>
  <c r="Z214" i="19"/>
  <c r="T124" i="19"/>
  <c r="T148" i="19"/>
  <c r="AA58" i="19"/>
  <c r="U40" i="19"/>
  <c r="AA148" i="19"/>
  <c r="V4" i="19"/>
  <c r="AA106" i="19"/>
  <c r="T70" i="19"/>
  <c r="V58" i="19"/>
  <c r="AA28" i="19"/>
  <c r="T4" i="19"/>
  <c r="V124" i="19"/>
  <c r="T82" i="19"/>
  <c r="U46" i="19"/>
  <c r="V70" i="19"/>
  <c r="BK574" i="18"/>
  <c r="BK526" i="18"/>
  <c r="BK478" i="18"/>
  <c r="BG574" i="18"/>
  <c r="BF532" i="18"/>
  <c r="BE526" i="18"/>
  <c r="BD496" i="18"/>
  <c r="BJ550" i="18"/>
  <c r="BJ502" i="18"/>
  <c r="BJ454" i="18"/>
  <c r="BG454" i="18"/>
  <c r="BE556" i="18"/>
  <c r="BD520" i="18"/>
  <c r="BI550" i="18"/>
  <c r="BI502" i="18"/>
  <c r="BI454" i="18"/>
  <c r="BG472" i="18"/>
  <c r="BE538" i="18"/>
  <c r="BD484" i="18"/>
  <c r="BH538" i="18"/>
  <c r="BH490" i="18"/>
  <c r="BH442" i="18"/>
  <c r="BF562" i="18"/>
  <c r="BE484" i="18"/>
  <c r="BK430" i="18"/>
  <c r="BK382" i="18"/>
  <c r="BK334" i="18"/>
  <c r="BF412" i="18"/>
  <c r="BJ424" i="18"/>
  <c r="BJ376" i="18"/>
  <c r="BJ328" i="18"/>
  <c r="BF400" i="18"/>
  <c r="BI430" i="18"/>
  <c r="BI382" i="18"/>
  <c r="BI334" i="18"/>
  <c r="BF418" i="18"/>
  <c r="U274" i="19"/>
  <c r="Y460" i="19"/>
  <c r="AA280" i="19"/>
  <c r="Y286" i="19"/>
  <c r="X244" i="19"/>
  <c r="U148" i="19"/>
  <c r="W196" i="19"/>
  <c r="Z130" i="19"/>
  <c r="Y124" i="19"/>
  <c r="W190" i="19"/>
  <c r="Z226" i="19"/>
  <c r="X142" i="19"/>
  <c r="AA160" i="19"/>
  <c r="W142" i="19"/>
  <c r="W94" i="19"/>
  <c r="W46" i="19"/>
  <c r="V208" i="19"/>
  <c r="V118" i="19"/>
  <c r="T58" i="19"/>
  <c r="W202" i="19"/>
  <c r="AA10" i="19"/>
  <c r="AA130" i="19"/>
  <c r="AA46" i="19"/>
  <c r="T118" i="19"/>
  <c r="Y160" i="19"/>
  <c r="T136" i="19"/>
  <c r="AA118" i="19"/>
  <c r="V76" i="19"/>
  <c r="U16" i="19"/>
  <c r="Z202" i="19"/>
  <c r="BK568" i="18"/>
  <c r="BK520" i="18"/>
  <c r="BK472" i="18"/>
  <c r="BG544" i="18"/>
  <c r="BF520" i="18"/>
  <c r="BE502" i="18"/>
  <c r="BD472" i="18"/>
  <c r="BJ544" i="18"/>
  <c r="BJ496" i="18"/>
  <c r="BJ448" i="18"/>
  <c r="BF568" i="18"/>
  <c r="BE532" i="18"/>
  <c r="BD490" i="18"/>
  <c r="BI544" i="18"/>
  <c r="BI496" i="18"/>
  <c r="BI448" i="18"/>
  <c r="BG448" i="18"/>
  <c r="BE508" i="18"/>
  <c r="BD460" i="18"/>
  <c r="BH532" i="18"/>
  <c r="BH484" i="18"/>
  <c r="BH436" i="18"/>
  <c r="BF544" i="18"/>
  <c r="BE454" i="18"/>
  <c r="BK424" i="18"/>
  <c r="BK376" i="18"/>
  <c r="BK328" i="18"/>
  <c r="BF370" i="18"/>
  <c r="BJ418" i="18"/>
  <c r="BJ370" i="18"/>
  <c r="BJ322" i="18"/>
  <c r="BF382" i="18"/>
  <c r="BI424" i="18"/>
  <c r="BI376" i="18"/>
  <c r="BI328" i="18"/>
  <c r="BF388" i="18"/>
  <c r="AA268" i="19"/>
  <c r="AA202" i="19"/>
  <c r="Y346" i="19"/>
  <c r="X172" i="19"/>
  <c r="U142" i="19"/>
  <c r="U100" i="19"/>
  <c r="W352" i="19"/>
  <c r="W334" i="19"/>
  <c r="Z190" i="19"/>
  <c r="Z124" i="19"/>
  <c r="Z82" i="19"/>
  <c r="Z184" i="19"/>
  <c r="X136" i="19"/>
  <c r="X94" i="19"/>
  <c r="W124" i="19"/>
  <c r="W76" i="19"/>
  <c r="W28" i="19"/>
  <c r="AA112" i="19"/>
  <c r="V40" i="19"/>
  <c r="Y4" i="19"/>
  <c r="V94" i="19"/>
  <c r="T106" i="19"/>
  <c r="U64" i="19"/>
  <c r="T34" i="19"/>
  <c r="T40" i="19"/>
  <c r="V136" i="19"/>
  <c r="Y16" i="19"/>
  <c r="U28" i="19"/>
  <c r="V130" i="19"/>
  <c r="T88" i="19"/>
  <c r="Y22" i="19"/>
  <c r="Z166" i="19"/>
  <c r="AA70" i="19"/>
  <c r="V112" i="19"/>
  <c r="BK562" i="18"/>
  <c r="BK514" i="18"/>
  <c r="BK466" i="18"/>
  <c r="BG520" i="18"/>
  <c r="BF502" i="18"/>
  <c r="BE478" i="18"/>
  <c r="BD454" i="18"/>
  <c r="BJ538" i="18"/>
  <c r="BJ490" i="18"/>
  <c r="BJ442" i="18"/>
  <c r="BF550" i="18"/>
  <c r="BE520" i="18"/>
  <c r="BD466" i="18"/>
  <c r="BI538" i="18"/>
  <c r="BI490" i="18"/>
  <c r="BI442" i="18"/>
  <c r="BF574" i="18"/>
  <c r="BE490" i="18"/>
  <c r="BH574" i="18"/>
  <c r="BH526" i="18"/>
  <c r="BH478" i="18"/>
  <c r="BG556" i="18"/>
  <c r="BF514" i="18"/>
  <c r="BD574" i="18"/>
  <c r="BK418" i="18"/>
  <c r="BK370" i="18"/>
  <c r="BK322" i="18"/>
  <c r="BF340" i="18"/>
  <c r="BJ412" i="18"/>
  <c r="BJ364" i="18"/>
  <c r="BJ316" i="18"/>
  <c r="BF364" i="18"/>
  <c r="BI418" i="18"/>
  <c r="BI370" i="18"/>
  <c r="BI322" i="18"/>
  <c r="BF346" i="18"/>
  <c r="BH418" i="18"/>
  <c r="BH370" i="18"/>
  <c r="Z442" i="19"/>
  <c r="U238" i="19"/>
  <c r="T214" i="19"/>
  <c r="AA346" i="19"/>
  <c r="Z292" i="19"/>
  <c r="Y340" i="19"/>
  <c r="X364" i="19"/>
  <c r="X298" i="19"/>
  <c r="V220" i="19"/>
  <c r="U94" i="19"/>
  <c r="Z76" i="19"/>
  <c r="Z34" i="19"/>
  <c r="V166" i="19"/>
  <c r="Y118" i="19"/>
  <c r="X88" i="19"/>
  <c r="X46" i="19"/>
  <c r="X4" i="19"/>
  <c r="AA154" i="19"/>
  <c r="W106" i="19"/>
  <c r="W58" i="19"/>
  <c r="W10" i="19"/>
  <c r="W268" i="19"/>
  <c r="Y166" i="19"/>
  <c r="T112" i="19"/>
  <c r="Z196" i="19"/>
  <c r="AA88" i="19"/>
  <c r="AA64" i="19"/>
  <c r="AA142" i="19"/>
  <c r="V100" i="19"/>
  <c r="V34" i="19"/>
  <c r="AA124" i="19"/>
  <c r="V82" i="19"/>
  <c r="V46" i="19"/>
  <c r="W154" i="19"/>
  <c r="AA34" i="19"/>
  <c r="T10" i="19"/>
  <c r="T46" i="19"/>
  <c r="BK556" i="18"/>
  <c r="BK508" i="18"/>
  <c r="BK460" i="18"/>
  <c r="BG502" i="18"/>
  <c r="BF478" i="18"/>
  <c r="BE460" i="18"/>
  <c r="BD436" i="18"/>
  <c r="BJ532" i="18"/>
  <c r="BJ484" i="18"/>
  <c r="BJ436" i="18"/>
  <c r="BF526" i="18"/>
  <c r="BE496" i="18"/>
  <c r="BD442" i="18"/>
  <c r="BI532" i="18"/>
  <c r="BI484" i="18"/>
  <c r="BI436" i="18"/>
  <c r="BF538" i="18"/>
  <c r="BE472" i="18"/>
  <c r="BH568" i="18"/>
  <c r="BH520" i="18"/>
  <c r="BH472" i="18"/>
  <c r="BG538" i="18"/>
  <c r="BF484" i="18"/>
  <c r="BD550" i="18"/>
  <c r="BK412" i="18"/>
  <c r="BK364" i="18"/>
  <c r="BK316" i="18"/>
  <c r="BF310" i="18"/>
  <c r="BJ406" i="18"/>
  <c r="BJ358" i="18"/>
  <c r="BJ310" i="18"/>
  <c r="BF334" i="18"/>
  <c r="BI412" i="18"/>
  <c r="BI364" i="18"/>
  <c r="V310" i="19"/>
  <c r="U352" i="19"/>
  <c r="U202" i="19"/>
  <c r="T178" i="19"/>
  <c r="AA316" i="19"/>
  <c r="Z334" i="19"/>
  <c r="V172" i="19"/>
  <c r="U124" i="19"/>
  <c r="W250" i="19"/>
  <c r="Z238" i="19"/>
  <c r="Z106" i="19"/>
  <c r="Z232" i="19"/>
  <c r="X118" i="19"/>
  <c r="Z220" i="19"/>
  <c r="Z172" i="19"/>
  <c r="W148" i="19"/>
  <c r="W100" i="19"/>
  <c r="W52" i="19"/>
  <c r="W4" i="19"/>
  <c r="Z154" i="19"/>
  <c r="U22" i="19"/>
  <c r="T28" i="19"/>
  <c r="AA136" i="19"/>
  <c r="AA82" i="19"/>
  <c r="U4" i="19"/>
  <c r="V88" i="19"/>
  <c r="U10" i="19"/>
  <c r="T22" i="19"/>
  <c r="BK538" i="18"/>
  <c r="BK490" i="18"/>
  <c r="BK442" i="18"/>
  <c r="BG436" i="18"/>
  <c r="BE574" i="18"/>
  <c r="BD538" i="18"/>
  <c r="BJ562" i="18"/>
  <c r="BJ514" i="18"/>
  <c r="BJ466" i="18"/>
  <c r="BG508" i="18"/>
  <c r="BF454" i="18"/>
  <c r="BD556" i="18"/>
  <c r="BI562" i="18"/>
  <c r="BI514" i="18"/>
  <c r="BI466" i="18"/>
  <c r="BG526" i="18"/>
  <c r="BF466" i="18"/>
  <c r="BD526" i="18"/>
  <c r="BH550" i="18"/>
  <c r="BH502" i="18"/>
  <c r="BH454" i="18"/>
  <c r="BG466" i="18"/>
  <c r="BE544" i="18"/>
  <c r="BD478" i="18"/>
  <c r="BK394" i="18"/>
  <c r="BK346" i="18"/>
  <c r="BK298" i="18"/>
  <c r="BD292" i="18"/>
  <c r="BJ388" i="18"/>
  <c r="BJ340" i="18"/>
  <c r="BJ292" i="18"/>
  <c r="BD346" i="18"/>
  <c r="BI394" i="18"/>
  <c r="BI346" i="18"/>
  <c r="BI298" i="18"/>
  <c r="BD340" i="18"/>
  <c r="BH394" i="18"/>
  <c r="U316" i="19"/>
  <c r="U172" i="19"/>
  <c r="Y568" i="19"/>
  <c r="Z322" i="19"/>
  <c r="Y310" i="19"/>
  <c r="X334" i="19"/>
  <c r="W322" i="19"/>
  <c r="Z160" i="19"/>
  <c r="U76" i="19"/>
  <c r="Z58" i="19"/>
  <c r="Y76" i="19"/>
  <c r="X70" i="19"/>
  <c r="W274" i="19"/>
  <c r="W130" i="19"/>
  <c r="W82" i="19"/>
  <c r="W34" i="19"/>
  <c r="V226" i="19"/>
  <c r="T76" i="19"/>
  <c r="T16" i="19"/>
  <c r="V52" i="19"/>
  <c r="T52" i="19"/>
  <c r="T64" i="19"/>
  <c r="Y10" i="19"/>
  <c r="T130" i="19"/>
  <c r="V22" i="19"/>
  <c r="BK532" i="18"/>
  <c r="BK484" i="18"/>
  <c r="BK436" i="18"/>
  <c r="BF556" i="18"/>
  <c r="BE550" i="18"/>
  <c r="BD514" i="18"/>
  <c r="BJ556" i="18"/>
  <c r="BJ508" i="18"/>
  <c r="BJ460" i="18"/>
  <c r="BG478" i="18"/>
  <c r="BF436" i="18"/>
  <c r="BD544" i="18"/>
  <c r="BI556" i="18"/>
  <c r="BI508" i="18"/>
  <c r="BI460" i="18"/>
  <c r="BG496" i="18"/>
  <c r="BE568" i="18"/>
  <c r="BD502" i="18"/>
  <c r="BH544" i="18"/>
  <c r="BH496" i="18"/>
  <c r="BH448" i="18"/>
  <c r="BG442" i="18"/>
  <c r="BE514" i="18"/>
  <c r="BD448" i="18"/>
  <c r="BK388" i="18"/>
  <c r="BK340" i="18"/>
  <c r="BK292" i="18"/>
  <c r="BJ430" i="18"/>
  <c r="BJ382" i="18"/>
  <c r="BJ334" i="18"/>
  <c r="BF430" i="18"/>
  <c r="BD304" i="18"/>
  <c r="BI388" i="18"/>
  <c r="BI340" i="18"/>
  <c r="BI292" i="18"/>
  <c r="BD310" i="18"/>
  <c r="BH388" i="18"/>
  <c r="X466" i="19"/>
  <c r="W136" i="19"/>
  <c r="V106" i="19"/>
  <c r="W160" i="19"/>
  <c r="AA22" i="19"/>
  <c r="V16" i="19"/>
  <c r="BK550" i="18"/>
  <c r="BF460" i="18"/>
  <c r="BJ478" i="18"/>
  <c r="BI574" i="18"/>
  <c r="BF508" i="18"/>
  <c r="BH466" i="18"/>
  <c r="BK406" i="18"/>
  <c r="BJ400" i="18"/>
  <c r="BI406" i="18"/>
  <c r="BF298" i="18"/>
  <c r="BH376" i="18"/>
  <c r="BH322" i="18"/>
  <c r="BF316" i="18"/>
  <c r="BG400" i="18"/>
  <c r="BG352" i="18"/>
  <c r="BG304" i="18"/>
  <c r="BF292" i="18"/>
  <c r="BE406" i="18"/>
  <c r="BE358" i="18"/>
  <c r="BE310" i="18"/>
  <c r="BD406" i="18"/>
  <c r="BJ286" i="18"/>
  <c r="BJ238" i="18"/>
  <c r="BJ190" i="18"/>
  <c r="BI286" i="18"/>
  <c r="BI148" i="18"/>
  <c r="BH244" i="18"/>
  <c r="BH196" i="18"/>
  <c r="BH148" i="18"/>
  <c r="BD274" i="18"/>
  <c r="BK262" i="18"/>
  <c r="BI274" i="18"/>
  <c r="BG274" i="18"/>
  <c r="BG226" i="18"/>
  <c r="BG178" i="18"/>
  <c r="BE232" i="18"/>
  <c r="BD226" i="18"/>
  <c r="BK220" i="18"/>
  <c r="BI232" i="18"/>
  <c r="BF268" i="18"/>
  <c r="BF220" i="18"/>
  <c r="BF172" i="18"/>
  <c r="BE256" i="18"/>
  <c r="BD268" i="18"/>
  <c r="BK280" i="18"/>
  <c r="BG142" i="18"/>
  <c r="BF136" i="18"/>
  <c r="BG130" i="18"/>
  <c r="BJ124" i="18"/>
  <c r="BI118" i="18"/>
  <c r="BJ112" i="18"/>
  <c r="BI106" i="18"/>
  <c r="BG100" i="18"/>
  <c r="BG94" i="18"/>
  <c r="BD88" i="18"/>
  <c r="BF82" i="18"/>
  <c r="BI76" i="18"/>
  <c r="BD70" i="18"/>
  <c r="BF64" i="18"/>
  <c r="BH58" i="18"/>
  <c r="BK52" i="18"/>
  <c r="BK46" i="18"/>
  <c r="BF40" i="18"/>
  <c r="BE34" i="18"/>
  <c r="BJ28" i="18"/>
  <c r="BI22" i="18"/>
  <c r="BI16" i="18"/>
  <c r="BF10" i="18"/>
  <c r="BG4" i="18"/>
  <c r="BI4" i="18"/>
  <c r="BE436" i="18"/>
  <c r="BE448" i="18"/>
  <c r="BJ352" i="18"/>
  <c r="BH358" i="18"/>
  <c r="BG388" i="18"/>
  <c r="BD352" i="18"/>
  <c r="BE298" i="18"/>
  <c r="BJ226" i="18"/>
  <c r="BH280" i="18"/>
  <c r="BE238" i="18"/>
  <c r="BI226" i="18"/>
  <c r="BG166" i="18"/>
  <c r="BD184" i="18"/>
  <c r="BF208" i="18"/>
  <c r="BK250" i="18"/>
  <c r="BE130" i="18"/>
  <c r="BE118" i="18"/>
  <c r="BE100" i="18"/>
  <c r="BI82" i="18"/>
  <c r="BI64" i="18"/>
  <c r="BG46" i="18"/>
  <c r="BJ34" i="18"/>
  <c r="BG16" i="18"/>
  <c r="BH4" i="18"/>
  <c r="BG244" i="18"/>
  <c r="BK154" i="18"/>
  <c r="BE172" i="18"/>
  <c r="BJ130" i="18"/>
  <c r="U430" i="19"/>
  <c r="Y502" i="19"/>
  <c r="V256" i="19"/>
  <c r="W70" i="19"/>
  <c r="AA100" i="19"/>
  <c r="V142" i="19"/>
  <c r="U52" i="19"/>
  <c r="Y28" i="19"/>
  <c r="BK544" i="18"/>
  <c r="BF442" i="18"/>
  <c r="BJ472" i="18"/>
  <c r="BI568" i="18"/>
  <c r="BF490" i="18"/>
  <c r="BH460" i="18"/>
  <c r="BK400" i="18"/>
  <c r="BJ394" i="18"/>
  <c r="BI400" i="18"/>
  <c r="BD376" i="18"/>
  <c r="BH364" i="18"/>
  <c r="BH316" i="18"/>
  <c r="BD370" i="18"/>
  <c r="BG394" i="18"/>
  <c r="BG346" i="18"/>
  <c r="BG298" i="18"/>
  <c r="BD364" i="18"/>
  <c r="BE400" i="18"/>
  <c r="BE352" i="18"/>
  <c r="BE304" i="18"/>
  <c r="BD400" i="18"/>
  <c r="BJ280" i="18"/>
  <c r="BJ232" i="18"/>
  <c r="BJ184" i="18"/>
  <c r="BI262" i="18"/>
  <c r="BH286" i="18"/>
  <c r="BH238" i="18"/>
  <c r="BH190" i="18"/>
  <c r="BE262" i="18"/>
  <c r="BD250" i="18"/>
  <c r="BK244" i="18"/>
  <c r="BI250" i="18"/>
  <c r="BG268" i="18"/>
  <c r="BG220" i="18"/>
  <c r="BG172" i="18"/>
  <c r="BE214" i="18"/>
  <c r="BD208" i="18"/>
  <c r="BK202" i="18"/>
  <c r="BI214" i="18"/>
  <c r="BF262" i="18"/>
  <c r="BF214" i="18"/>
  <c r="BF166" i="18"/>
  <c r="BE244" i="18"/>
  <c r="BD256" i="18"/>
  <c r="BK268" i="18"/>
  <c r="BF142" i="18"/>
  <c r="BK136" i="18"/>
  <c r="BF130" i="18"/>
  <c r="BE124" i="18"/>
  <c r="BF118" i="18"/>
  <c r="BE112" i="18"/>
  <c r="BH106" i="18"/>
  <c r="BJ100" i="18"/>
  <c r="BJ94" i="18"/>
  <c r="BJ88" i="18"/>
  <c r="BK82" i="18"/>
  <c r="BG76" i="18"/>
  <c r="BI70" i="18"/>
  <c r="BK64" i="18"/>
  <c r="BF58" i="18"/>
  <c r="BH52" i="18"/>
  <c r="BI46" i="18"/>
  <c r="BK40" i="18"/>
  <c r="BD34" i="18"/>
  <c r="BH28" i="18"/>
  <c r="BG22" i="18"/>
  <c r="BH16" i="18"/>
  <c r="BK10" i="18"/>
  <c r="BF4" i="18"/>
  <c r="AQ4" i="18"/>
  <c r="BK502" i="18"/>
  <c r="BI526" i="18"/>
  <c r="BK358" i="18"/>
  <c r="BH430" i="18"/>
  <c r="BD328" i="18"/>
  <c r="BG292" i="18"/>
  <c r="BE346" i="18"/>
  <c r="BJ274" i="18"/>
  <c r="BI238" i="18"/>
  <c r="BH232" i="18"/>
  <c r="BD232" i="18"/>
  <c r="BG262" i="18"/>
  <c r="BE196" i="18"/>
  <c r="BK184" i="18"/>
  <c r="BF256" i="18"/>
  <c r="BE226" i="18"/>
  <c r="BE142" i="18"/>
  <c r="BI124" i="18"/>
  <c r="BD106" i="18"/>
  <c r="BH88" i="18"/>
  <c r="BG70" i="18"/>
  <c r="BG58" i="18"/>
  <c r="BI40" i="18"/>
  <c r="BH22" i="18"/>
  <c r="BE4" i="18"/>
  <c r="BK178" i="18"/>
  <c r="BF286" i="18"/>
  <c r="BK196" i="18"/>
  <c r="Y478" i="19"/>
  <c r="Y334" i="19"/>
  <c r="X286" i="19"/>
  <c r="Z28" i="19"/>
  <c r="V232" i="19"/>
  <c r="Y34" i="19"/>
  <c r="V64" i="19"/>
  <c r="BG562" i="18"/>
  <c r="BG514" i="18"/>
  <c r="BI358" i="18"/>
  <c r="BH310" i="18"/>
  <c r="BG340" i="18"/>
  <c r="BE394" i="18"/>
  <c r="BD394" i="18"/>
  <c r="BJ178" i="18"/>
  <c r="BH184" i="18"/>
  <c r="BK226" i="18"/>
  <c r="BG214" i="18"/>
  <c r="BI196" i="18"/>
  <c r="BF160" i="18"/>
  <c r="BD238" i="18"/>
  <c r="BI136" i="18"/>
  <c r="BI112" i="18"/>
  <c r="BD94" i="18"/>
  <c r="BF76" i="18"/>
  <c r="BG52" i="18"/>
  <c r="BE28" i="18"/>
  <c r="BI10" i="18"/>
  <c r="BG196" i="18"/>
  <c r="BF238" i="18"/>
  <c r="BD190" i="18"/>
  <c r="BF124" i="18"/>
  <c r="U208" i="19"/>
  <c r="W226" i="19"/>
  <c r="W118" i="19"/>
  <c r="V28" i="19"/>
  <c r="V10" i="19"/>
  <c r="BK496" i="18"/>
  <c r="BD568" i="18"/>
  <c r="BG532" i="18"/>
  <c r="BI520" i="18"/>
  <c r="BD562" i="18"/>
  <c r="BG490" i="18"/>
  <c r="BK352" i="18"/>
  <c r="BJ346" i="18"/>
  <c r="BI352" i="18"/>
  <c r="BH424" i="18"/>
  <c r="BH352" i="18"/>
  <c r="BH304" i="18"/>
  <c r="BG430" i="18"/>
  <c r="BG382" i="18"/>
  <c r="BG334" i="18"/>
  <c r="BF424" i="18"/>
  <c r="BD316" i="18"/>
  <c r="BE388" i="18"/>
  <c r="BE340" i="18"/>
  <c r="BE292" i="18"/>
  <c r="BD358" i="18"/>
  <c r="BJ268" i="18"/>
  <c r="BJ220" i="18"/>
  <c r="BJ172" i="18"/>
  <c r="BI220" i="18"/>
  <c r="BH274" i="18"/>
  <c r="BH226" i="18"/>
  <c r="BH178" i="18"/>
  <c r="BE220" i="18"/>
  <c r="BD214" i="18"/>
  <c r="BK208" i="18"/>
  <c r="BI202" i="18"/>
  <c r="BG256" i="18"/>
  <c r="BG208" i="18"/>
  <c r="BG160" i="18"/>
  <c r="BE178" i="18"/>
  <c r="BD166" i="18"/>
  <c r="BK172" i="18"/>
  <c r="BI178" i="18"/>
  <c r="BF250" i="18"/>
  <c r="BF202" i="18"/>
  <c r="BF154" i="18"/>
  <c r="BE208" i="18"/>
  <c r="BD220" i="18"/>
  <c r="BK232" i="18"/>
  <c r="BD142" i="18"/>
  <c r="BE136" i="18"/>
  <c r="BD130" i="18"/>
  <c r="BD124" i="18"/>
  <c r="BD118" i="18"/>
  <c r="BH112" i="18"/>
  <c r="BG106" i="18"/>
  <c r="BF100" i="18"/>
  <c r="BE94" i="18"/>
  <c r="BI88" i="18"/>
  <c r="BE82" i="18"/>
  <c r="BH76" i="18"/>
  <c r="BK70" i="18"/>
  <c r="BE64" i="18"/>
  <c r="BJ58" i="18"/>
  <c r="BF52" i="18"/>
  <c r="BD46" i="18"/>
  <c r="BE40" i="18"/>
  <c r="BF34" i="18"/>
  <c r="BI28" i="18"/>
  <c r="BF22" i="18"/>
  <c r="BF16" i="18"/>
  <c r="BE10" i="18"/>
  <c r="BD4" i="18"/>
  <c r="AP4" i="18"/>
  <c r="T142" i="19"/>
  <c r="BK448" i="18"/>
  <c r="BF472" i="18"/>
  <c r="BH556" i="18"/>
  <c r="BK304" i="18"/>
  <c r="BI310" i="18"/>
  <c r="BH340" i="18"/>
  <c r="BG418" i="18"/>
  <c r="BF376" i="18"/>
  <c r="BE376" i="18"/>
  <c r="BD424" i="18"/>
  <c r="BJ256" i="18"/>
  <c r="BJ160" i="18"/>
  <c r="BH262" i="18"/>
  <c r="BH166" i="18"/>
  <c r="BD178" i="18"/>
  <c r="BD286" i="18"/>
  <c r="BF190" i="18"/>
  <c r="BJ142" i="18"/>
  <c r="Y262" i="19"/>
  <c r="X220" i="19"/>
  <c r="V160" i="19"/>
  <c r="Y82" i="19"/>
  <c r="X40" i="19"/>
  <c r="V184" i="19"/>
  <c r="W40" i="19"/>
  <c r="W172" i="19"/>
  <c r="U34" i="19"/>
  <c r="AA16" i="19"/>
  <c r="T100" i="19"/>
  <c r="AA76" i="19"/>
  <c r="BK454" i="18"/>
  <c r="BJ574" i="18"/>
  <c r="BF496" i="18"/>
  <c r="BI478" i="18"/>
  <c r="BH562" i="18"/>
  <c r="BF448" i="18"/>
  <c r="BK310" i="18"/>
  <c r="BJ304" i="18"/>
  <c r="BI316" i="18"/>
  <c r="BH412" i="18"/>
  <c r="BH346" i="18"/>
  <c r="BH298" i="18"/>
  <c r="BG424" i="18"/>
  <c r="BG376" i="18"/>
  <c r="BG328" i="18"/>
  <c r="BF394" i="18"/>
  <c r="BE430" i="18"/>
  <c r="BE382" i="18"/>
  <c r="BE334" i="18"/>
  <c r="BD430" i="18"/>
  <c r="BD322" i="18"/>
  <c r="BJ262" i="18"/>
  <c r="BJ214" i="18"/>
  <c r="BJ166" i="18"/>
  <c r="BI208" i="18"/>
  <c r="BH268" i="18"/>
  <c r="BH220" i="18"/>
  <c r="BH172" i="18"/>
  <c r="BE202" i="18"/>
  <c r="BD196" i="18"/>
  <c r="BK190" i="18"/>
  <c r="BI184" i="18"/>
  <c r="BG250" i="18"/>
  <c r="BG202" i="18"/>
  <c r="BG154" i="18"/>
  <c r="BE160" i="18"/>
  <c r="BD148" i="18"/>
  <c r="BK160" i="18"/>
  <c r="BI160" i="18"/>
  <c r="BF244" i="18"/>
  <c r="BF196" i="18"/>
  <c r="BF148" i="18"/>
  <c r="BE190" i="18"/>
  <c r="BD202" i="18"/>
  <c r="BK214" i="18"/>
  <c r="BK142" i="18"/>
  <c r="BD136" i="18"/>
  <c r="BK130" i="18"/>
  <c r="BH124" i="18"/>
  <c r="BK118" i="18"/>
  <c r="BG112" i="18"/>
  <c r="BF106" i="18"/>
  <c r="BH100" i="18"/>
  <c r="BH94" i="18"/>
  <c r="BG88" i="18"/>
  <c r="BD82" i="18"/>
  <c r="BD76" i="18"/>
  <c r="BH70" i="18"/>
  <c r="BD64" i="18"/>
  <c r="BE58" i="18"/>
  <c r="BE52" i="18"/>
  <c r="BH46" i="18"/>
  <c r="BD40" i="18"/>
  <c r="BH34" i="18"/>
  <c r="BG28" i="18"/>
  <c r="BE22" i="18"/>
  <c r="BE16" i="18"/>
  <c r="BD10" i="18"/>
  <c r="BK4" i="18"/>
  <c r="AN4" i="18"/>
  <c r="X208" i="19"/>
  <c r="Y70" i="19"/>
  <c r="W178" i="19"/>
  <c r="AA52" i="19"/>
  <c r="BJ568" i="18"/>
  <c r="BI472" i="18"/>
  <c r="BE562" i="18"/>
  <c r="BJ298" i="18"/>
  <c r="BH406" i="18"/>
  <c r="BH292" i="18"/>
  <c r="BG370" i="18"/>
  <c r="BG322" i="18"/>
  <c r="BE424" i="18"/>
  <c r="BE328" i="18"/>
  <c r="BD298" i="18"/>
  <c r="BJ208" i="18"/>
  <c r="BI190" i="18"/>
  <c r="BH214" i="18"/>
  <c r="BE184" i="18"/>
  <c r="BI166" i="18"/>
  <c r="BG148" i="18"/>
  <c r="BK286" i="18"/>
  <c r="BE286" i="18"/>
  <c r="BJ136" i="18"/>
  <c r="BJ118" i="18"/>
  <c r="Y196" i="19"/>
  <c r="X160" i="19"/>
  <c r="W184" i="19"/>
  <c r="W292" i="19"/>
  <c r="W88" i="19"/>
  <c r="V154" i="19"/>
  <c r="AA94" i="19"/>
  <c r="BG484" i="18"/>
  <c r="BJ526" i="18"/>
  <c r="BE466" i="18"/>
  <c r="BG568" i="18"/>
  <c r="BH514" i="18"/>
  <c r="BD532" i="18"/>
  <c r="BD382" i="18"/>
  <c r="BF304" i="18"/>
  <c r="BI304" i="18"/>
  <c r="BH400" i="18"/>
  <c r="BH334" i="18"/>
  <c r="BF406" i="18"/>
  <c r="BG412" i="18"/>
  <c r="BG364" i="18"/>
  <c r="BG316" i="18"/>
  <c r="BF352" i="18"/>
  <c r="BE418" i="18"/>
  <c r="BE370" i="18"/>
  <c r="BE322" i="18"/>
  <c r="BD418" i="18"/>
  <c r="BI244" i="18"/>
  <c r="BJ250" i="18"/>
  <c r="BJ202" i="18"/>
  <c r="BJ154" i="18"/>
  <c r="BI172" i="18"/>
  <c r="BH256" i="18"/>
  <c r="BH208" i="18"/>
  <c r="BH160" i="18"/>
  <c r="BE166" i="18"/>
  <c r="BD160" i="18"/>
  <c r="BK166" i="18"/>
  <c r="BG286" i="18"/>
  <c r="BG238" i="18"/>
  <c r="BG190" i="18"/>
  <c r="BE274" i="18"/>
  <c r="BD262" i="18"/>
  <c r="BK256" i="18"/>
  <c r="BI280" i="18"/>
  <c r="BF280" i="18"/>
  <c r="BF232" i="18"/>
  <c r="BF184" i="18"/>
  <c r="BE280" i="18"/>
  <c r="BE154" i="18"/>
  <c r="BD172" i="18"/>
  <c r="BI142" i="18"/>
  <c r="BH136" i="18"/>
  <c r="BI130" i="18"/>
  <c r="BK124" i="18"/>
  <c r="BH118" i="18"/>
  <c r="BK112" i="18"/>
  <c r="BK106" i="18"/>
  <c r="BK100" i="18"/>
  <c r="BK94" i="18"/>
  <c r="BK88" i="18"/>
  <c r="BH82" i="18"/>
  <c r="BK76" i="18"/>
  <c r="BJ70" i="18"/>
  <c r="BH64" i="18"/>
  <c r="BI58" i="18"/>
  <c r="BJ52" i="18"/>
  <c r="BJ46" i="18"/>
  <c r="BH40" i="18"/>
  <c r="BK34" i="18"/>
  <c r="BK28" i="18"/>
  <c r="BK22" i="18"/>
  <c r="BK16" i="18"/>
  <c r="BH10" i="18"/>
  <c r="AA4" i="18"/>
  <c r="BJ4" i="18"/>
  <c r="AL4" i="18"/>
  <c r="W22" i="19"/>
  <c r="AA40" i="19"/>
  <c r="BJ520" i="18"/>
  <c r="BG550" i="18"/>
  <c r="BD334" i="18"/>
  <c r="BF322" i="18"/>
  <c r="BH328" i="18"/>
  <c r="BG406" i="18"/>
  <c r="BG310" i="18"/>
  <c r="BE412" i="18"/>
  <c r="BE316" i="18"/>
  <c r="BI154" i="18"/>
  <c r="BJ244" i="18"/>
  <c r="BJ148" i="18"/>
  <c r="BH250" i="18"/>
  <c r="BH154" i="18"/>
  <c r="BK274" i="18"/>
  <c r="BG280" i="18"/>
  <c r="BG184" i="18"/>
  <c r="BD244" i="18"/>
  <c r="BI256" i="18"/>
  <c r="BF226" i="18"/>
  <c r="BE268" i="18"/>
  <c r="BD154" i="18"/>
  <c r="BH130" i="18"/>
  <c r="BG118" i="18"/>
  <c r="BJ106" i="18"/>
  <c r="BI94" i="18"/>
  <c r="BG82" i="18"/>
  <c r="BF70" i="18"/>
  <c r="BK58" i="18"/>
  <c r="BF46" i="18"/>
  <c r="BI34" i="18"/>
  <c r="BJ22" i="18"/>
  <c r="BG10" i="18"/>
  <c r="Y184" i="19"/>
  <c r="V262" i="19"/>
  <c r="Z178" i="19"/>
  <c r="AA4" i="19"/>
  <c r="T94" i="19"/>
  <c r="U58" i="19"/>
  <c r="BG460" i="18"/>
  <c r="BE442" i="18"/>
  <c r="BH508" i="18"/>
  <c r="BD508" i="18"/>
  <c r="BD388" i="18"/>
  <c r="BH382" i="18"/>
  <c r="BF358" i="18"/>
  <c r="BG358" i="18"/>
  <c r="BF328" i="18"/>
  <c r="BE364" i="18"/>
  <c r="BD412" i="18"/>
  <c r="BJ196" i="18"/>
  <c r="BI268" i="18"/>
  <c r="BH202" i="18"/>
  <c r="BE148" i="18"/>
  <c r="BK148" i="18"/>
  <c r="BG232" i="18"/>
  <c r="BE250" i="18"/>
  <c r="BK238" i="18"/>
  <c r="BF274" i="18"/>
  <c r="BF178" i="18"/>
  <c r="BD280" i="18"/>
  <c r="BH142" i="18"/>
  <c r="BG136" i="18"/>
  <c r="BG124" i="18"/>
  <c r="BD112" i="18"/>
  <c r="BI100" i="18"/>
  <c r="BE88" i="18"/>
  <c r="BJ76" i="18"/>
  <c r="BG64" i="18"/>
  <c r="BI52" i="18"/>
  <c r="BG40" i="18"/>
  <c r="BF28" i="18"/>
  <c r="BJ16" i="18"/>
  <c r="AO4" i="18"/>
  <c r="BE106" i="18"/>
  <c r="BD58" i="18"/>
  <c r="BJ10" i="18"/>
  <c r="BD100" i="18"/>
  <c r="BD52" i="18"/>
  <c r="AS4" i="18"/>
  <c r="AR4" i="18"/>
  <c r="BF88" i="18"/>
  <c r="BJ40" i="18"/>
  <c r="BJ82" i="18"/>
  <c r="BE70" i="18"/>
  <c r="BJ64" i="18"/>
  <c r="BF94" i="18"/>
  <c r="BE46" i="18"/>
  <c r="AM4" i="18"/>
  <c r="BG34" i="18"/>
  <c r="BD28" i="18"/>
  <c r="BD22" i="18"/>
  <c r="BD16" i="18"/>
  <c r="BE76" i="18"/>
  <c r="BF112" i="18"/>
  <c r="AR532" i="18"/>
  <c r="AR484" i="18"/>
  <c r="AR436" i="18"/>
  <c r="AQ556" i="18"/>
  <c r="AQ508" i="18"/>
  <c r="AQ460" i="18"/>
  <c r="AP544" i="18"/>
  <c r="AP496" i="18"/>
  <c r="AS484" i="18"/>
  <c r="AO544" i="18"/>
  <c r="AO496" i="18"/>
  <c r="AO448" i="18"/>
  <c r="AN460" i="18"/>
  <c r="AS556" i="18"/>
  <c r="AN556" i="18"/>
  <c r="AN490" i="18"/>
  <c r="AL460" i="18"/>
  <c r="AM562" i="18"/>
  <c r="AM514" i="18"/>
  <c r="AM466" i="18"/>
  <c r="AL562" i="18"/>
  <c r="AL502" i="18"/>
  <c r="AS472" i="18"/>
  <c r="AS394" i="18"/>
  <c r="AS346" i="18"/>
  <c r="AS298" i="18"/>
  <c r="AM340" i="18"/>
  <c r="AR526" i="18"/>
  <c r="AR478" i="18"/>
  <c r="AP472" i="18"/>
  <c r="AQ550" i="18"/>
  <c r="AQ502" i="18"/>
  <c r="AQ454" i="18"/>
  <c r="AP538" i="18"/>
  <c r="AP490" i="18"/>
  <c r="AS454" i="18"/>
  <c r="AO538" i="18"/>
  <c r="AO490" i="18"/>
  <c r="AO442" i="18"/>
  <c r="AN448" i="18"/>
  <c r="AS532" i="18"/>
  <c r="AN550" i="18"/>
  <c r="AN478" i="18"/>
  <c r="AL442" i="18"/>
  <c r="AM556" i="18"/>
  <c r="AM508" i="18"/>
  <c r="AM460" i="18"/>
  <c r="AL556" i="18"/>
  <c r="AL490" i="18"/>
  <c r="AS442" i="18"/>
  <c r="AS388" i="18"/>
  <c r="AS340" i="18"/>
  <c r="AS292" i="18"/>
  <c r="AM304" i="18"/>
  <c r="AR412" i="18"/>
  <c r="AR364" i="18"/>
  <c r="AR316" i="18"/>
  <c r="AQ322" i="18"/>
  <c r="AQ430" i="18"/>
  <c r="AQ370" i="18"/>
  <c r="AL328" i="18"/>
  <c r="AP394" i="18"/>
  <c r="AP346" i="18"/>
  <c r="AP298" i="18"/>
  <c r="AL298" i="18"/>
  <c r="AO388" i="18"/>
  <c r="AO340" i="18"/>
  <c r="AO292" i="18"/>
  <c r="AM310" i="18"/>
  <c r="AN412" i="18"/>
  <c r="AN364" i="18"/>
  <c r="AN316" i="18"/>
  <c r="AM388" i="18"/>
  <c r="AL304" i="18"/>
  <c r="AS184" i="18"/>
  <c r="AR250" i="18"/>
  <c r="AR202" i="18"/>
  <c r="AR154" i="18"/>
  <c r="AQ250" i="18"/>
  <c r="AQ196" i="18"/>
  <c r="AS232" i="18"/>
  <c r="AS166" i="18"/>
  <c r="AP244" i="18"/>
  <c r="AP196" i="18"/>
  <c r="AP148" i="18"/>
  <c r="AL244" i="18"/>
  <c r="AS172" i="18"/>
  <c r="AO244" i="18"/>
  <c r="AO196" i="18"/>
  <c r="AO148" i="18"/>
  <c r="AM184" i="18"/>
  <c r="AL178" i="18"/>
  <c r="AN268" i="18"/>
  <c r="AN220" i="18"/>
  <c r="AN172" i="18"/>
  <c r="AM244" i="18"/>
  <c r="AL256" i="18"/>
  <c r="AS178" i="18"/>
  <c r="AR142" i="18"/>
  <c r="AR136" i="18"/>
  <c r="AL130" i="18"/>
  <c r="AQ124" i="18"/>
  <c r="AR118" i="18"/>
  <c r="AS112" i="18"/>
  <c r="AQ106" i="18"/>
  <c r="AL100" i="18"/>
  <c r="AQ94" i="18"/>
  <c r="AL88" i="18"/>
  <c r="AS82" i="18"/>
  <c r="AS76" i="18"/>
  <c r="AS70" i="18"/>
  <c r="AS550" i="18"/>
  <c r="AR520" i="18"/>
  <c r="AR472" i="18"/>
  <c r="AP454" i="18"/>
  <c r="AQ544" i="18"/>
  <c r="AQ496" i="18"/>
  <c r="AQ448" i="18"/>
  <c r="AP532" i="18"/>
  <c r="AP484" i="18"/>
  <c r="AP436" i="18"/>
  <c r="AO532" i="18"/>
  <c r="AO484" i="18"/>
  <c r="AO436" i="18"/>
  <c r="AN436" i="18"/>
  <c r="AS502" i="18"/>
  <c r="AN544" i="18"/>
  <c r="AN466" i="18"/>
  <c r="AS538" i="18"/>
  <c r="AM550" i="18"/>
  <c r="AM502" i="18"/>
  <c r="AM454" i="18"/>
  <c r="AL550" i="18"/>
  <c r="AL472" i="18"/>
  <c r="AS430" i="18"/>
  <c r="AS382" i="18"/>
  <c r="AS334" i="18"/>
  <c r="AQ382" i="18"/>
  <c r="AL424" i="18"/>
  <c r="AR574" i="18"/>
  <c r="AR514" i="18"/>
  <c r="AR466" i="18"/>
  <c r="AP442" i="18"/>
  <c r="AQ538" i="18"/>
  <c r="AQ490" i="18"/>
  <c r="AQ442" i="18"/>
  <c r="AP526" i="18"/>
  <c r="AP478" i="18"/>
  <c r="AO574" i="18"/>
  <c r="AO526" i="18"/>
  <c r="AO478" i="18"/>
  <c r="AN526" i="18"/>
  <c r="AL508" i="18"/>
  <c r="AS466" i="18"/>
  <c r="AN538" i="18"/>
  <c r="AN454" i="18"/>
  <c r="AS514" i="18"/>
  <c r="AM544" i="18"/>
  <c r="AM496" i="18"/>
  <c r="AM448" i="18"/>
  <c r="AL544" i="18"/>
  <c r="AL454" i="18"/>
  <c r="AS424" i="18"/>
  <c r="AS376" i="18"/>
  <c r="AS328" i="18"/>
  <c r="AQ364" i="18"/>
  <c r="AL388" i="18"/>
  <c r="AR400" i="18"/>
  <c r="AR352" i="18"/>
  <c r="AR304" i="18"/>
  <c r="AM334" i="18"/>
  <c r="AQ418" i="18"/>
  <c r="AQ334" i="18"/>
  <c r="AP430" i="18"/>
  <c r="AP382" i="18"/>
  <c r="AP334" i="18"/>
  <c r="AM382" i="18"/>
  <c r="AO424" i="18"/>
  <c r="AO376" i="18"/>
  <c r="AO328" i="18"/>
  <c r="AM418" i="18"/>
  <c r="AL394" i="18"/>
  <c r="AN400" i="18"/>
  <c r="AN352" i="18"/>
  <c r="AN304" i="18"/>
  <c r="AM358" i="18"/>
  <c r="AS280" i="18"/>
  <c r="AR286" i="18"/>
  <c r="AR238" i="18"/>
  <c r="AR190" i="18"/>
  <c r="AQ286" i="18"/>
  <c r="AQ238" i="18"/>
  <c r="AQ184" i="18"/>
  <c r="AS154" i="18"/>
  <c r="AP280" i="18"/>
  <c r="AP232" i="18"/>
  <c r="AP184" i="18"/>
  <c r="AM214" i="18"/>
  <c r="AL208" i="18"/>
  <c r="AO280" i="18"/>
  <c r="AO232" i="18"/>
  <c r="AO184" i="18"/>
  <c r="AM268" i="18"/>
  <c r="AM148" i="18"/>
  <c r="AS250" i="18"/>
  <c r="AN256" i="18"/>
  <c r="AN208" i="18"/>
  <c r="AN160" i="18"/>
  <c r="AM208" i="18"/>
  <c r="AL220" i="18"/>
  <c r="AO142" i="18"/>
  <c r="AO136" i="18"/>
  <c r="AS130" i="18"/>
  <c r="AN124" i="18"/>
  <c r="AO118" i="18"/>
  <c r="AR556" i="18"/>
  <c r="AR508" i="18"/>
  <c r="AR460" i="18"/>
  <c r="AS508" i="18"/>
  <c r="AQ532" i="18"/>
  <c r="AQ484" i="18"/>
  <c r="AQ436" i="18"/>
  <c r="AP520" i="18"/>
  <c r="AP466" i="18"/>
  <c r="AO568" i="18"/>
  <c r="AO520" i="18"/>
  <c r="AO472" i="18"/>
  <c r="AN508" i="18"/>
  <c r="AL484" i="18"/>
  <c r="AS436" i="18"/>
  <c r="AN532" i="18"/>
  <c r="AN442" i="18"/>
  <c r="AS490" i="18"/>
  <c r="AM538" i="18"/>
  <c r="AM490" i="18"/>
  <c r="AM442" i="18"/>
  <c r="AL538" i="18"/>
  <c r="AL436" i="18"/>
  <c r="AS418" i="18"/>
  <c r="AS370" i="18"/>
  <c r="AS322" i="18"/>
  <c r="AQ346" i="18"/>
  <c r="AL352" i="18"/>
  <c r="AR394" i="18"/>
  <c r="AR346" i="18"/>
  <c r="AR298" i="18"/>
  <c r="AM298" i="18"/>
  <c r="AQ412" i="18"/>
  <c r="AQ310" i="18"/>
  <c r="AP424" i="18"/>
  <c r="AP376" i="18"/>
  <c r="AP328" i="18"/>
  <c r="AM352" i="18"/>
  <c r="AO418" i="18"/>
  <c r="AO370" i="18"/>
  <c r="AO322" i="18"/>
  <c r="AM406" i="18"/>
  <c r="AL358" i="18"/>
  <c r="AN394" i="18"/>
  <c r="AN346" i="18"/>
  <c r="AN298" i="18"/>
  <c r="AM328" i="18"/>
  <c r="AS274" i="18"/>
  <c r="AR280" i="18"/>
  <c r="AR232" i="18"/>
  <c r="AR184" i="18"/>
  <c r="AQ280" i="18"/>
  <c r="AQ232" i="18"/>
  <c r="AQ178" i="18"/>
  <c r="AQ214" i="18"/>
  <c r="AP274" i="18"/>
  <c r="AP226" i="18"/>
  <c r="AP178" i="18"/>
  <c r="AM196" i="18"/>
  <c r="AL190" i="18"/>
  <c r="AO274" i="18"/>
  <c r="AO226" i="18"/>
  <c r="AO178" i="18"/>
  <c r="AM262" i="18"/>
  <c r="AL274" i="18"/>
  <c r="AS202" i="18"/>
  <c r="AN250" i="18"/>
  <c r="AN202" i="18"/>
  <c r="AN154" i="18"/>
  <c r="AM190" i="18"/>
  <c r="AL202" i="18"/>
  <c r="AN142" i="18"/>
  <c r="AN136" i="18"/>
  <c r="AP130" i="18"/>
  <c r="AL124" i="18"/>
  <c r="AQ118" i="18"/>
  <c r="AR112" i="18"/>
  <c r="AR106" i="18"/>
  <c r="AN100" i="18"/>
  <c r="AR94" i="18"/>
  <c r="AP88" i="18"/>
  <c r="AO82" i="18"/>
  <c r="AR76" i="18"/>
  <c r="AP70" i="18"/>
  <c r="AP64" i="18"/>
  <c r="AN58" i="18"/>
  <c r="AQ52" i="18"/>
  <c r="AS46" i="18"/>
  <c r="AS40" i="18"/>
  <c r="AR34" i="18"/>
  <c r="AP28" i="18"/>
  <c r="AR22" i="18"/>
  <c r="AN16" i="18"/>
  <c r="AQ10" i="18"/>
  <c r="X4" i="18"/>
  <c r="Z574" i="18"/>
  <c r="Y568" i="18"/>
  <c r="AR544" i="18"/>
  <c r="AR496" i="18"/>
  <c r="AR448" i="18"/>
  <c r="AS448" i="18"/>
  <c r="AQ520" i="18"/>
  <c r="AQ472" i="18"/>
  <c r="AP556" i="18"/>
  <c r="AP508" i="18"/>
  <c r="AP448" i="18"/>
  <c r="AO556" i="18"/>
  <c r="AO508" i="18"/>
  <c r="AO460" i="18"/>
  <c r="AN484" i="18"/>
  <c r="AL448" i="18"/>
  <c r="AN568" i="18"/>
  <c r="AN514" i="18"/>
  <c r="AL496" i="18"/>
  <c r="AM574" i="18"/>
  <c r="AM526" i="18"/>
  <c r="AM478" i="18"/>
  <c r="AL574" i="18"/>
  <c r="AL526" i="18"/>
  <c r="AS526" i="18"/>
  <c r="AS406" i="18"/>
  <c r="AS358" i="18"/>
  <c r="AS310" i="18"/>
  <c r="AQ316" i="18"/>
  <c r="AR430" i="18"/>
  <c r="AR382" i="18"/>
  <c r="AR334" i="18"/>
  <c r="AR550" i="18"/>
  <c r="AQ526" i="18"/>
  <c r="AP460" i="18"/>
  <c r="AN496" i="18"/>
  <c r="AL514" i="18"/>
  <c r="AM436" i="18"/>
  <c r="AS364" i="18"/>
  <c r="AR418" i="18"/>
  <c r="AR322" i="18"/>
  <c r="AL382" i="18"/>
  <c r="AQ352" i="18"/>
  <c r="AP406" i="18"/>
  <c r="AP322" i="18"/>
  <c r="AL334" i="18"/>
  <c r="AO358" i="18"/>
  <c r="AM424" i="18"/>
  <c r="AN424" i="18"/>
  <c r="AN340" i="18"/>
  <c r="AM400" i="18"/>
  <c r="AS256" i="18"/>
  <c r="AR244" i="18"/>
  <c r="AR166" i="18"/>
  <c r="AQ226" i="18"/>
  <c r="AL148" i="18"/>
  <c r="AP262" i="18"/>
  <c r="AP190" i="18"/>
  <c r="AL286" i="18"/>
  <c r="AO268" i="18"/>
  <c r="AO202" i="18"/>
  <c r="AM232" i="18"/>
  <c r="AL160" i="18"/>
  <c r="AN232" i="18"/>
  <c r="AN148" i="18"/>
  <c r="AL268" i="18"/>
  <c r="AQ142" i="18"/>
  <c r="AQ130" i="18"/>
  <c r="AM124" i="18"/>
  <c r="AO112" i="18"/>
  <c r="AS106" i="18"/>
  <c r="AM100" i="18"/>
  <c r="AR88" i="18"/>
  <c r="AN82" i="18"/>
  <c r="AL76" i="18"/>
  <c r="AQ64" i="18"/>
  <c r="AP58" i="18"/>
  <c r="AN52" i="18"/>
  <c r="AL46" i="18"/>
  <c r="AM40" i="18"/>
  <c r="AQ34" i="18"/>
  <c r="AP22" i="18"/>
  <c r="AO16" i="18"/>
  <c r="AP10" i="18"/>
  <c r="V4" i="18"/>
  <c r="W574" i="18"/>
  <c r="U568" i="18"/>
  <c r="U562" i="18"/>
  <c r="U556" i="18"/>
  <c r="U550" i="18"/>
  <c r="U544" i="18"/>
  <c r="U538" i="18"/>
  <c r="U532" i="18"/>
  <c r="U526" i="18"/>
  <c r="U520" i="18"/>
  <c r="U514" i="18"/>
  <c r="U508" i="18"/>
  <c r="U502" i="18"/>
  <c r="U496" i="18"/>
  <c r="U490" i="18"/>
  <c r="U484" i="18"/>
  <c r="U478" i="18"/>
  <c r="U472" i="18"/>
  <c r="U466" i="18"/>
  <c r="U460" i="18"/>
  <c r="U454" i="18"/>
  <c r="U448" i="18"/>
  <c r="U442" i="18"/>
  <c r="U436" i="18"/>
  <c r="U574" i="18"/>
  <c r="AA544" i="18"/>
  <c r="AA526" i="18"/>
  <c r="AA502" i="18"/>
  <c r="AA484" i="18"/>
  <c r="AA466" i="18"/>
  <c r="AA448" i="18"/>
  <c r="Z556" i="18"/>
  <c r="Z532" i="18"/>
  <c r="Z502" i="18"/>
  <c r="Z478" i="18"/>
  <c r="Z454" i="18"/>
  <c r="AM532" i="18"/>
  <c r="AQ358" i="18"/>
  <c r="AP364" i="18"/>
  <c r="AO316" i="18"/>
  <c r="AN382" i="18"/>
  <c r="AR274" i="18"/>
  <c r="AQ190" i="18"/>
  <c r="AP154" i="18"/>
  <c r="AL250" i="18"/>
  <c r="AM226" i="18"/>
  <c r="AM130" i="18"/>
  <c r="AQ100" i="18"/>
  <c r="AM88" i="18"/>
  <c r="AR46" i="18"/>
  <c r="AL22" i="18"/>
  <c r="Z568" i="18"/>
  <c r="Y532" i="18"/>
  <c r="Y508" i="18"/>
  <c r="Y472" i="18"/>
  <c r="AM520" i="18"/>
  <c r="AQ400" i="18"/>
  <c r="AO310" i="18"/>
  <c r="AN292" i="18"/>
  <c r="AQ172" i="18"/>
  <c r="AO220" i="18"/>
  <c r="AM172" i="18"/>
  <c r="AP124" i="18"/>
  <c r="AR82" i="18"/>
  <c r="AR538" i="18"/>
  <c r="AQ514" i="18"/>
  <c r="AS520" i="18"/>
  <c r="AN472" i="18"/>
  <c r="AL478" i="18"/>
  <c r="AL568" i="18"/>
  <c r="AS352" i="18"/>
  <c r="AR406" i="18"/>
  <c r="AR310" i="18"/>
  <c r="AL346" i="18"/>
  <c r="AQ292" i="18"/>
  <c r="AP400" i="18"/>
  <c r="AP316" i="18"/>
  <c r="AO430" i="18"/>
  <c r="AO352" i="18"/>
  <c r="AM394" i="18"/>
  <c r="AN418" i="18"/>
  <c r="AN334" i="18"/>
  <c r="AM370" i="18"/>
  <c r="AS226" i="18"/>
  <c r="AR226" i="18"/>
  <c r="AR160" i="18"/>
  <c r="AQ220" i="18"/>
  <c r="AS190" i="18"/>
  <c r="AP256" i="18"/>
  <c r="AP172" i="18"/>
  <c r="AL262" i="18"/>
  <c r="AO262" i="18"/>
  <c r="AO190" i="18"/>
  <c r="AM220" i="18"/>
  <c r="AS160" i="18"/>
  <c r="AN226" i="18"/>
  <c r="AM286" i="18"/>
  <c r="AL238" i="18"/>
  <c r="AM142" i="18"/>
  <c r="AN130" i="18"/>
  <c r="AS124" i="18"/>
  <c r="AP112" i="18"/>
  <c r="AM106" i="18"/>
  <c r="AO94" i="18"/>
  <c r="AQ88" i="18"/>
  <c r="AM82" i="18"/>
  <c r="AQ70" i="18"/>
  <c r="AS64" i="18"/>
  <c r="AS58" i="18"/>
  <c r="AR52" i="18"/>
  <c r="AO46" i="18"/>
  <c r="AL40" i="18"/>
  <c r="AR28" i="18"/>
  <c r="AO22" i="18"/>
  <c r="AS16" i="18"/>
  <c r="AO10" i="18"/>
  <c r="U4" i="18"/>
  <c r="V574" i="18"/>
  <c r="T568" i="18"/>
  <c r="T562" i="18"/>
  <c r="T556" i="18"/>
  <c r="T550" i="18"/>
  <c r="T544" i="18"/>
  <c r="T538" i="18"/>
  <c r="T532" i="18"/>
  <c r="T526" i="18"/>
  <c r="T520" i="18"/>
  <c r="T514" i="18"/>
  <c r="T508" i="18"/>
  <c r="T502" i="18"/>
  <c r="T496" i="18"/>
  <c r="T490" i="18"/>
  <c r="T484" i="18"/>
  <c r="T478" i="18"/>
  <c r="T472" i="18"/>
  <c r="T466" i="18"/>
  <c r="T460" i="18"/>
  <c r="T454" i="18"/>
  <c r="T448" i="18"/>
  <c r="T442" i="18"/>
  <c r="AA556" i="18"/>
  <c r="AA538" i="18"/>
  <c r="AA520" i="18"/>
  <c r="AA508" i="18"/>
  <c r="AA490" i="18"/>
  <c r="AA472" i="18"/>
  <c r="AA454" i="18"/>
  <c r="AA442" i="18"/>
  <c r="Z544" i="18"/>
  <c r="Z526" i="18"/>
  <c r="Z508" i="18"/>
  <c r="Z484" i="18"/>
  <c r="Z460" i="18"/>
  <c r="AQ328" i="18"/>
  <c r="AL364" i="18"/>
  <c r="AO400" i="18"/>
  <c r="AM346" i="18"/>
  <c r="AL376" i="18"/>
  <c r="AQ268" i="18"/>
  <c r="AP220" i="18"/>
  <c r="AO160" i="18"/>
  <c r="AN190" i="18"/>
  <c r="AS262" i="18"/>
  <c r="AS118" i="18"/>
  <c r="AN94" i="18"/>
  <c r="AR70" i="18"/>
  <c r="AN34" i="18"/>
  <c r="AL16" i="18"/>
  <c r="Y562" i="18"/>
  <c r="Y538" i="18"/>
  <c r="Y514" i="18"/>
  <c r="Y478" i="18"/>
  <c r="Y442" i="18"/>
  <c r="AN562" i="18"/>
  <c r="AQ304" i="18"/>
  <c r="AP358" i="18"/>
  <c r="AL418" i="18"/>
  <c r="AQ262" i="18"/>
  <c r="AS238" i="18"/>
  <c r="AN184" i="18"/>
  <c r="AM118" i="18"/>
  <c r="AP76" i="18"/>
  <c r="AQ46" i="18"/>
  <c r="AR502" i="18"/>
  <c r="AQ478" i="18"/>
  <c r="AO562" i="18"/>
  <c r="AL466" i="18"/>
  <c r="AS460" i="18"/>
  <c r="AL532" i="18"/>
  <c r="AS316" i="18"/>
  <c r="AR388" i="18"/>
  <c r="AR292" i="18"/>
  <c r="AL310" i="18"/>
  <c r="AM316" i="18"/>
  <c r="AP388" i="18"/>
  <c r="AP310" i="18"/>
  <c r="AO412" i="18"/>
  <c r="AO346" i="18"/>
  <c r="AM376" i="18"/>
  <c r="AN406" i="18"/>
  <c r="AN328" i="18"/>
  <c r="AM292" i="18"/>
  <c r="AS220" i="18"/>
  <c r="AR220" i="18"/>
  <c r="AR148" i="18"/>
  <c r="AQ208" i="18"/>
  <c r="AQ166" i="18"/>
  <c r="AP250" i="18"/>
  <c r="AP166" i="18"/>
  <c r="AL226" i="18"/>
  <c r="AO256" i="18"/>
  <c r="AO172" i="18"/>
  <c r="AM202" i="18"/>
  <c r="AN286" i="18"/>
  <c r="AN214" i="18"/>
  <c r="AM274" i="18"/>
  <c r="AL184" i="18"/>
  <c r="AL142" i="18"/>
  <c r="AO130" i="18"/>
  <c r="AP118" i="18"/>
  <c r="AN112" i="18"/>
  <c r="AL106" i="18"/>
  <c r="AL94" i="18"/>
  <c r="AO88" i="18"/>
  <c r="AL82" i="18"/>
  <c r="AO70" i="18"/>
  <c r="AO64" i="18"/>
  <c r="AO58" i="18"/>
  <c r="AM52" i="18"/>
  <c r="AN46" i="18"/>
  <c r="AP34" i="18"/>
  <c r="AQ28" i="18"/>
  <c r="AN22" i="18"/>
  <c r="AQ16" i="18"/>
  <c r="AN10" i="18"/>
  <c r="T4" i="18"/>
  <c r="AA562" i="18"/>
  <c r="AA550" i="18"/>
  <c r="AA532" i="18"/>
  <c r="AA514" i="18"/>
  <c r="AA496" i="18"/>
  <c r="AA478" i="18"/>
  <c r="AA460" i="18"/>
  <c r="AA436" i="18"/>
  <c r="Z550" i="18"/>
  <c r="Z514" i="18"/>
  <c r="Z490" i="18"/>
  <c r="Z472" i="18"/>
  <c r="Z448" i="18"/>
  <c r="Z436" i="18"/>
  <c r="AO238" i="18"/>
  <c r="AL58" i="18"/>
  <c r="Y544" i="18"/>
  <c r="Y490" i="18"/>
  <c r="Y448" i="18"/>
  <c r="AR442" i="18"/>
  <c r="AS496" i="18"/>
  <c r="AL292" i="18"/>
  <c r="AN376" i="18"/>
  <c r="AR490" i="18"/>
  <c r="AQ466" i="18"/>
  <c r="AO550" i="18"/>
  <c r="AS574" i="18"/>
  <c r="AM568" i="18"/>
  <c r="AL520" i="18"/>
  <c r="AS304" i="18"/>
  <c r="AR376" i="18"/>
  <c r="AQ394" i="18"/>
  <c r="AQ424" i="18"/>
  <c r="AL430" i="18"/>
  <c r="AP370" i="18"/>
  <c r="AP304" i="18"/>
  <c r="AO406" i="18"/>
  <c r="AO334" i="18"/>
  <c r="AM364" i="18"/>
  <c r="AN388" i="18"/>
  <c r="AN322" i="18"/>
  <c r="AL400" i="18"/>
  <c r="AS148" i="18"/>
  <c r="AR214" i="18"/>
  <c r="AQ274" i="18"/>
  <c r="AQ202" i="18"/>
  <c r="AQ148" i="18"/>
  <c r="AP238" i="18"/>
  <c r="AP160" i="18"/>
  <c r="AL172" i="18"/>
  <c r="AO250" i="18"/>
  <c r="AO166" i="18"/>
  <c r="AM166" i="18"/>
  <c r="AN280" i="18"/>
  <c r="AN196" i="18"/>
  <c r="AM256" i="18"/>
  <c r="AL166" i="18"/>
  <c r="AP136" i="18"/>
  <c r="AR130" i="18"/>
  <c r="AN118" i="18"/>
  <c r="AM112" i="18"/>
  <c r="AS100" i="18"/>
  <c r="AP94" i="18"/>
  <c r="AN88" i="18"/>
  <c r="AQ76" i="18"/>
  <c r="AN70" i="18"/>
  <c r="AL64" i="18"/>
  <c r="AM58" i="18"/>
  <c r="AL52" i="18"/>
  <c r="AR40" i="18"/>
  <c r="AO34" i="18"/>
  <c r="AL28" i="18"/>
  <c r="AM22" i="18"/>
  <c r="AM16" i="18"/>
  <c r="AM10" i="18"/>
  <c r="T574" i="18"/>
  <c r="AA568" i="18"/>
  <c r="Z562" i="18"/>
  <c r="Z538" i="18"/>
  <c r="Z520" i="18"/>
  <c r="Z496" i="18"/>
  <c r="Z466" i="18"/>
  <c r="Z442" i="18"/>
  <c r="AR454" i="18"/>
  <c r="AP574" i="18"/>
  <c r="AO514" i="18"/>
  <c r="AN574" i="18"/>
  <c r="AS544" i="18"/>
  <c r="AR370" i="18"/>
  <c r="AQ406" i="18"/>
  <c r="AP292" i="18"/>
  <c r="AN310" i="18"/>
  <c r="AR208" i="18"/>
  <c r="AS244" i="18"/>
  <c r="AL154" i="18"/>
  <c r="AN274" i="18"/>
  <c r="AS136" i="18"/>
  <c r="AL112" i="18"/>
  <c r="AN76" i="18"/>
  <c r="AO28" i="18"/>
  <c r="AL10" i="18"/>
  <c r="Y556" i="18"/>
  <c r="Y520" i="18"/>
  <c r="Y484" i="18"/>
  <c r="Y460" i="18"/>
  <c r="AO502" i="18"/>
  <c r="AQ340" i="18"/>
  <c r="AO394" i="18"/>
  <c r="AL340" i="18"/>
  <c r="AP214" i="18"/>
  <c r="AO154" i="18"/>
  <c r="AS214" i="18"/>
  <c r="AR100" i="18"/>
  <c r="AM64" i="18"/>
  <c r="AS478" i="18"/>
  <c r="AP514" i="18"/>
  <c r="AO466" i="18"/>
  <c r="AN520" i="18"/>
  <c r="AM484" i="18"/>
  <c r="AS412" i="18"/>
  <c r="AL322" i="18"/>
  <c r="AR340" i="18"/>
  <c r="AQ298" i="18"/>
  <c r="AQ388" i="18"/>
  <c r="AP418" i="18"/>
  <c r="AP352" i="18"/>
  <c r="AL412" i="18"/>
  <c r="AO382" i="18"/>
  <c r="AO304" i="18"/>
  <c r="AL316" i="18"/>
  <c r="AN370" i="18"/>
  <c r="AM430" i="18"/>
  <c r="AS286" i="18"/>
  <c r="AR262" i="18"/>
  <c r="AR178" i="18"/>
  <c r="AQ256" i="18"/>
  <c r="AQ160" i="18"/>
  <c r="AP286" i="18"/>
  <c r="AP208" i="18"/>
  <c r="AM178" i="18"/>
  <c r="AS208" i="18"/>
  <c r="AO214" i="18"/>
  <c r="AM280" i="18"/>
  <c r="AL214" i="18"/>
  <c r="AN244" i="18"/>
  <c r="AN178" i="18"/>
  <c r="AM154" i="18"/>
  <c r="AP142" i="18"/>
  <c r="AM136" i="18"/>
  <c r="AR124" i="18"/>
  <c r="AL118" i="18"/>
  <c r="AO106" i="18"/>
  <c r="AP100" i="18"/>
  <c r="AS94" i="18"/>
  <c r="AQ82" i="18"/>
  <c r="AO76" i="18"/>
  <c r="AL70" i="18"/>
  <c r="AR58" i="18"/>
  <c r="AP52" i="18"/>
  <c r="AP46" i="18"/>
  <c r="AO40" i="18"/>
  <c r="AL34" i="18"/>
  <c r="AN28" i="18"/>
  <c r="AQ22" i="18"/>
  <c r="AS10" i="18"/>
  <c r="Y4" i="18"/>
  <c r="Y574" i="18"/>
  <c r="W568" i="18"/>
  <c r="W562" i="18"/>
  <c r="W556" i="18"/>
  <c r="W550" i="18"/>
  <c r="W544" i="18"/>
  <c r="W538" i="18"/>
  <c r="W532" i="18"/>
  <c r="W526" i="18"/>
  <c r="W520" i="18"/>
  <c r="W514" i="18"/>
  <c r="W508" i="18"/>
  <c r="W502" i="18"/>
  <c r="W496" i="18"/>
  <c r="W490" i="18"/>
  <c r="W484" i="18"/>
  <c r="W478" i="18"/>
  <c r="W472" i="18"/>
  <c r="W466" i="18"/>
  <c r="W460" i="18"/>
  <c r="W454" i="18"/>
  <c r="W448" i="18"/>
  <c r="W442" i="18"/>
  <c r="W436" i="18"/>
  <c r="AQ58" i="18"/>
  <c r="AM28" i="18"/>
  <c r="AR10" i="18"/>
  <c r="X574" i="18"/>
  <c r="V562" i="18"/>
  <c r="V550" i="18"/>
  <c r="V538" i="18"/>
  <c r="V526" i="18"/>
  <c r="V514" i="18"/>
  <c r="V502" i="18"/>
  <c r="V490" i="18"/>
  <c r="V478" i="18"/>
  <c r="V466" i="18"/>
  <c r="V454" i="18"/>
  <c r="V448" i="18"/>
  <c r="V436" i="18"/>
  <c r="AQ40" i="18"/>
  <c r="Y550" i="18"/>
  <c r="Y502" i="18"/>
  <c r="Y454" i="18"/>
  <c r="AR196" i="18"/>
  <c r="AN262" i="18"/>
  <c r="AP106" i="18"/>
  <c r="AM70" i="18"/>
  <c r="AQ574" i="18"/>
  <c r="AP502" i="18"/>
  <c r="AO454" i="18"/>
  <c r="AN502" i="18"/>
  <c r="AM472" i="18"/>
  <c r="AS400" i="18"/>
  <c r="AR424" i="18"/>
  <c r="AR328" i="18"/>
  <c r="AL406" i="18"/>
  <c r="AQ376" i="18"/>
  <c r="AP412" i="18"/>
  <c r="AP340" i="18"/>
  <c r="AL370" i="18"/>
  <c r="AO364" i="18"/>
  <c r="AO298" i="18"/>
  <c r="AN430" i="18"/>
  <c r="AN358" i="18"/>
  <c r="AM412" i="18"/>
  <c r="AS268" i="18"/>
  <c r="AR256" i="18"/>
  <c r="AR172" i="18"/>
  <c r="AQ244" i="18"/>
  <c r="AQ154" i="18"/>
  <c r="AP268" i="18"/>
  <c r="AP202" i="18"/>
  <c r="AM160" i="18"/>
  <c r="AO286" i="18"/>
  <c r="AO208" i="18"/>
  <c r="AM250" i="18"/>
  <c r="AL196" i="18"/>
  <c r="AN238" i="18"/>
  <c r="AN166" i="18"/>
  <c r="AL280" i="18"/>
  <c r="AS142" i="18"/>
  <c r="AL136" i="18"/>
  <c r="AO124" i="18"/>
  <c r="AQ112" i="18"/>
  <c r="AN106" i="18"/>
  <c r="AO100" i="18"/>
  <c r="AS88" i="18"/>
  <c r="AP82" i="18"/>
  <c r="AM76" i="18"/>
  <c r="AR64" i="18"/>
  <c r="AO52" i="18"/>
  <c r="AM46" i="18"/>
  <c r="AN40" i="18"/>
  <c r="AS34" i="18"/>
  <c r="AP16" i="18"/>
  <c r="W4" i="18"/>
  <c r="V568" i="18"/>
  <c r="V556" i="18"/>
  <c r="V544" i="18"/>
  <c r="V532" i="18"/>
  <c r="V520" i="18"/>
  <c r="V508" i="18"/>
  <c r="V496" i="18"/>
  <c r="V484" i="18"/>
  <c r="V472" i="18"/>
  <c r="V460" i="18"/>
  <c r="V442" i="18"/>
  <c r="AN64" i="18"/>
  <c r="T436" i="18"/>
  <c r="Y526" i="18"/>
  <c r="Y496" i="18"/>
  <c r="Y466" i="18"/>
  <c r="Y436" i="18"/>
  <c r="AP550" i="18"/>
  <c r="AR358" i="18"/>
  <c r="AM322" i="18"/>
  <c r="AR268" i="18"/>
  <c r="AM238" i="18"/>
  <c r="AL232" i="18"/>
  <c r="AQ136" i="18"/>
  <c r="AM94" i="18"/>
  <c r="AS52" i="18"/>
  <c r="AP40" i="18"/>
  <c r="X562" i="18"/>
  <c r="X514" i="18"/>
  <c r="X466" i="18"/>
  <c r="X436" i="18"/>
  <c r="AS196" i="18"/>
  <c r="AM34" i="18"/>
  <c r="X556" i="18"/>
  <c r="X508" i="18"/>
  <c r="X460" i="18"/>
  <c r="X550" i="18"/>
  <c r="X502" i="18"/>
  <c r="X454" i="18"/>
  <c r="X544" i="18"/>
  <c r="X496" i="18"/>
  <c r="AR16" i="18"/>
  <c r="X490" i="18"/>
  <c r="X532" i="18"/>
  <c r="AA574" i="18"/>
  <c r="X520" i="18"/>
  <c r="AS28" i="18"/>
  <c r="Z4" i="18"/>
  <c r="X478" i="18"/>
  <c r="X472" i="18"/>
  <c r="AS22" i="18"/>
  <c r="X448" i="18"/>
  <c r="X538" i="18"/>
  <c r="X442" i="18"/>
  <c r="X484" i="18"/>
  <c r="X526" i="18"/>
  <c r="X568" i="18"/>
  <c r="AA406" i="18"/>
  <c r="Z364" i="18"/>
  <c r="Z400" i="18"/>
  <c r="Z298" i="18"/>
  <c r="Y394" i="18"/>
  <c r="Y346" i="18"/>
  <c r="X394" i="18"/>
  <c r="X346" i="18"/>
  <c r="X298" i="18"/>
  <c r="W352" i="18"/>
  <c r="W430" i="18"/>
  <c r="W334" i="18"/>
  <c r="V430" i="18"/>
  <c r="V382" i="18"/>
  <c r="V334" i="18"/>
  <c r="T430" i="18"/>
  <c r="T334" i="18"/>
  <c r="AA310" i="18"/>
  <c r="U418" i="18"/>
  <c r="U370" i="18"/>
  <c r="U322" i="18"/>
  <c r="T406" i="18"/>
  <c r="T304" i="18"/>
  <c r="Z352" i="18"/>
  <c r="AA262" i="18"/>
  <c r="AA214" i="18"/>
  <c r="AA166" i="18"/>
  <c r="Y154" i="18"/>
  <c r="Z286" i="18"/>
  <c r="Z238" i="18"/>
  <c r="Z190" i="18"/>
  <c r="Y232" i="18"/>
  <c r="T244" i="18"/>
  <c r="Y256" i="18"/>
  <c r="Y160" i="18"/>
  <c r="X280" i="18"/>
  <c r="X232" i="18"/>
  <c r="X184" i="18"/>
  <c r="U148" i="18"/>
  <c r="W262" i="18"/>
  <c r="W214" i="18"/>
  <c r="W166" i="18"/>
  <c r="U232" i="18"/>
  <c r="V286" i="18"/>
  <c r="V238" i="18"/>
  <c r="V190" i="18"/>
  <c r="U286" i="18"/>
  <c r="T268" i="18"/>
  <c r="AA142" i="18"/>
  <c r="W136" i="18"/>
  <c r="X130" i="18"/>
  <c r="Y124" i="18"/>
  <c r="W118" i="18"/>
  <c r="Y112" i="18"/>
  <c r="T106" i="18"/>
  <c r="Y100" i="18"/>
  <c r="AA94" i="18"/>
  <c r="W88" i="18"/>
  <c r="Y82" i="18"/>
  <c r="V76" i="18"/>
  <c r="V70" i="18"/>
  <c r="X64" i="18"/>
  <c r="Y58" i="18"/>
  <c r="Y52" i="18"/>
  <c r="X46" i="18"/>
  <c r="Y40" i="18"/>
  <c r="W34" i="18"/>
  <c r="W28" i="18"/>
  <c r="V22" i="18"/>
  <c r="Y16" i="18"/>
  <c r="Y10" i="18"/>
  <c r="Z388" i="18"/>
  <c r="X430" i="18"/>
  <c r="W424" i="18"/>
  <c r="W406" i="18"/>
  <c r="V418" i="18"/>
  <c r="T400" i="18"/>
  <c r="U406" i="18"/>
  <c r="T382" i="18"/>
  <c r="Y340" i="18"/>
  <c r="AA154" i="18"/>
  <c r="Z226" i="18"/>
  <c r="Y184" i="18"/>
  <c r="U172" i="18"/>
  <c r="X172" i="18"/>
  <c r="W202" i="18"/>
  <c r="U184" i="18"/>
  <c r="V178" i="18"/>
  <c r="T142" i="18"/>
  <c r="V130" i="18"/>
  <c r="W112" i="18"/>
  <c r="T94" i="18"/>
  <c r="T76" i="18"/>
  <c r="AA64" i="18"/>
  <c r="T46" i="18"/>
  <c r="V28" i="18"/>
  <c r="T16" i="18"/>
  <c r="AA376" i="18"/>
  <c r="Y424" i="18"/>
  <c r="X376" i="18"/>
  <c r="W394" i="18"/>
  <c r="V364" i="18"/>
  <c r="T298" i="18"/>
  <c r="U352" i="18"/>
  <c r="T364" i="18"/>
  <c r="AA244" i="18"/>
  <c r="T286" i="18"/>
  <c r="Z172" i="18"/>
  <c r="Y238" i="18"/>
  <c r="X262" i="18"/>
  <c r="T184" i="18"/>
  <c r="W148" i="18"/>
  <c r="V268" i="18"/>
  <c r="U250" i="18"/>
  <c r="AA136" i="18"/>
  <c r="AA118" i="18"/>
  <c r="U106" i="18"/>
  <c r="U88" i="18"/>
  <c r="AA70" i="18"/>
  <c r="Z52" i="18"/>
  <c r="T40" i="18"/>
  <c r="AA22" i="18"/>
  <c r="W142" i="18"/>
  <c r="Z100" i="18"/>
  <c r="Y64" i="18"/>
  <c r="U40" i="18"/>
  <c r="V16" i="18"/>
  <c r="AA412" i="18"/>
  <c r="Y400" i="18"/>
  <c r="W364" i="18"/>
  <c r="V340" i="18"/>
  <c r="U328" i="18"/>
  <c r="AA172" i="18"/>
  <c r="Z148" i="18"/>
  <c r="X238" i="18"/>
  <c r="W220" i="18"/>
  <c r="V196" i="18"/>
  <c r="V124" i="18"/>
  <c r="V94" i="18"/>
  <c r="V64" i="18"/>
  <c r="Z40" i="18"/>
  <c r="AA400" i="18"/>
  <c r="Z310" i="18"/>
  <c r="Z394" i="18"/>
  <c r="Y304" i="18"/>
  <c r="Y388" i="18"/>
  <c r="Y328" i="18"/>
  <c r="X388" i="18"/>
  <c r="X340" i="18"/>
  <c r="X292" i="18"/>
  <c r="W340" i="18"/>
  <c r="W418" i="18"/>
  <c r="W322" i="18"/>
  <c r="V424" i="18"/>
  <c r="V376" i="18"/>
  <c r="V328" i="18"/>
  <c r="T418" i="18"/>
  <c r="T322" i="18"/>
  <c r="AA292" i="18"/>
  <c r="U412" i="18"/>
  <c r="U364" i="18"/>
  <c r="U316" i="18"/>
  <c r="T394" i="18"/>
  <c r="T292" i="18"/>
  <c r="Z316" i="18"/>
  <c r="AA256" i="18"/>
  <c r="AA208" i="18"/>
  <c r="AA160" i="18"/>
  <c r="U226" i="18"/>
  <c r="Z280" i="18"/>
  <c r="Z232" i="18"/>
  <c r="Z184" i="18"/>
  <c r="Y202" i="18"/>
  <c r="T190" i="18"/>
  <c r="Y250" i="18"/>
  <c r="U208" i="18"/>
  <c r="X274" i="18"/>
  <c r="X226" i="18"/>
  <c r="X178" i="18"/>
  <c r="T256" i="18"/>
  <c r="W256" i="18"/>
  <c r="W208" i="18"/>
  <c r="W160" i="18"/>
  <c r="U214" i="18"/>
  <c r="V280" i="18"/>
  <c r="V232" i="18"/>
  <c r="V184" i="18"/>
  <c r="U274" i="18"/>
  <c r="T238" i="18"/>
  <c r="U142" i="18"/>
  <c r="V136" i="18"/>
  <c r="W130" i="18"/>
  <c r="U124" i="18"/>
  <c r="U118" i="18"/>
  <c r="X112" i="18"/>
  <c r="X106" i="18"/>
  <c r="U100" i="18"/>
  <c r="U94" i="18"/>
  <c r="T88" i="18"/>
  <c r="X82" i="18"/>
  <c r="U76" i="18"/>
  <c r="U70" i="18"/>
  <c r="W64" i="18"/>
  <c r="U58" i="18"/>
  <c r="U52" i="18"/>
  <c r="U46" i="18"/>
  <c r="X40" i="18"/>
  <c r="U34" i="18"/>
  <c r="T28" i="18"/>
  <c r="U22" i="18"/>
  <c r="U16" i="18"/>
  <c r="T10" i="18"/>
  <c r="Y322" i="18"/>
  <c r="Y382" i="18"/>
  <c r="X334" i="18"/>
  <c r="W310" i="18"/>
  <c r="V370" i="18"/>
  <c r="T310" i="18"/>
  <c r="U358" i="18"/>
  <c r="AA382" i="18"/>
  <c r="AA202" i="18"/>
  <c r="U178" i="18"/>
  <c r="Z178" i="18"/>
  <c r="Y244" i="18"/>
  <c r="X268" i="18"/>
  <c r="T220" i="18"/>
  <c r="W154" i="18"/>
  <c r="V226" i="18"/>
  <c r="U262" i="18"/>
  <c r="U136" i="18"/>
  <c r="T118" i="18"/>
  <c r="T100" i="18"/>
  <c r="V88" i="18"/>
  <c r="T70" i="18"/>
  <c r="T58" i="18"/>
  <c r="V40" i="18"/>
  <c r="T22" i="18"/>
  <c r="Z382" i="18"/>
  <c r="Y376" i="18"/>
  <c r="X328" i="18"/>
  <c r="W316" i="18"/>
  <c r="V412" i="18"/>
  <c r="T388" i="18"/>
  <c r="Z322" i="18"/>
  <c r="U304" i="18"/>
  <c r="Y298" i="18"/>
  <c r="AA148" i="18"/>
  <c r="Z220" i="18"/>
  <c r="Y166" i="18"/>
  <c r="T274" i="18"/>
  <c r="X166" i="18"/>
  <c r="W244" i="18"/>
  <c r="U154" i="18"/>
  <c r="V172" i="18"/>
  <c r="Z142" i="18"/>
  <c r="T130" i="18"/>
  <c r="V112" i="18"/>
  <c r="Z94" i="18"/>
  <c r="AA76" i="18"/>
  <c r="U64" i="18"/>
  <c r="Z46" i="18"/>
  <c r="U28" i="18"/>
  <c r="X16" i="18"/>
  <c r="X136" i="18"/>
  <c r="Y94" i="18"/>
  <c r="X70" i="18"/>
  <c r="X34" i="18"/>
  <c r="Z10" i="18"/>
  <c r="AA304" i="18"/>
  <c r="Y352" i="18"/>
  <c r="W346" i="18"/>
  <c r="T346" i="18"/>
  <c r="T412" i="18"/>
  <c r="AA220" i="18"/>
  <c r="Z196" i="18"/>
  <c r="X286" i="18"/>
  <c r="W172" i="18"/>
  <c r="V148" i="18"/>
  <c r="X118" i="18"/>
  <c r="AA88" i="18"/>
  <c r="AA58" i="18"/>
  <c r="V34" i="18"/>
  <c r="V10" i="18"/>
  <c r="AA394" i="18"/>
  <c r="Y430" i="18"/>
  <c r="X382" i="18"/>
  <c r="W328" i="18"/>
  <c r="V322" i="18"/>
  <c r="Z346" i="18"/>
  <c r="U310" i="18"/>
  <c r="AA250" i="18"/>
  <c r="Z274" i="18"/>
  <c r="T154" i="18"/>
  <c r="X220" i="18"/>
  <c r="W250" i="18"/>
  <c r="V274" i="18"/>
  <c r="T208" i="18"/>
  <c r="T124" i="18"/>
  <c r="W106" i="18"/>
  <c r="T82" i="18"/>
  <c r="T52" i="18"/>
  <c r="T34" i="18"/>
  <c r="X10" i="18"/>
  <c r="Z430" i="18"/>
  <c r="X424" i="18"/>
  <c r="W412" i="18"/>
  <c r="W298" i="18"/>
  <c r="V316" i="18"/>
  <c r="U400" i="18"/>
  <c r="AA370" i="18"/>
  <c r="AA196" i="18"/>
  <c r="Z268" i="18"/>
  <c r="Y286" i="18"/>
  <c r="X214" i="18"/>
  <c r="W196" i="18"/>
  <c r="V220" i="18"/>
  <c r="T172" i="18"/>
  <c r="Z124" i="18"/>
  <c r="AA100" i="18"/>
  <c r="V82" i="18"/>
  <c r="Z58" i="18"/>
  <c r="Z34" i="18"/>
  <c r="U10" i="18"/>
  <c r="Z118" i="18"/>
  <c r="U82" i="18"/>
  <c r="V58" i="18"/>
  <c r="Z28" i="18"/>
  <c r="X304" i="18"/>
  <c r="U424" i="18"/>
  <c r="Y172" i="18"/>
  <c r="Y262" i="18"/>
  <c r="W268" i="18"/>
  <c r="V244" i="18"/>
  <c r="U112" i="18"/>
  <c r="W70" i="18"/>
  <c r="Y28" i="18"/>
  <c r="AA430" i="18"/>
  <c r="AA358" i="18"/>
  <c r="Z424" i="18"/>
  <c r="Z376" i="18"/>
  <c r="Y418" i="18"/>
  <c r="Y370" i="18"/>
  <c r="X418" i="18"/>
  <c r="X370" i="18"/>
  <c r="X322" i="18"/>
  <c r="W400" i="18"/>
  <c r="W304" i="18"/>
  <c r="W382" i="18"/>
  <c r="Z340" i="18"/>
  <c r="V406" i="18"/>
  <c r="V358" i="18"/>
  <c r="V310" i="18"/>
  <c r="T376" i="18"/>
  <c r="AA388" i="18"/>
  <c r="Z292" i="18"/>
  <c r="U394" i="18"/>
  <c r="U346" i="18"/>
  <c r="U298" i="18"/>
  <c r="T352" i="18"/>
  <c r="AA352" i="18"/>
  <c r="AA286" i="18"/>
  <c r="AA238" i="18"/>
  <c r="AA190" i="18"/>
  <c r="Y226" i="18"/>
  <c r="T250" i="18"/>
  <c r="Z262" i="18"/>
  <c r="Z214" i="18"/>
  <c r="Z166" i="18"/>
  <c r="Y148" i="18"/>
  <c r="Y280" i="18"/>
  <c r="Y220" i="18"/>
  <c r="T232" i="18"/>
  <c r="X256" i="18"/>
  <c r="X208" i="18"/>
  <c r="X160" i="18"/>
  <c r="W286" i="18"/>
  <c r="W238" i="18"/>
  <c r="W190" i="18"/>
  <c r="U280" i="18"/>
  <c r="T262" i="18"/>
  <c r="V262" i="18"/>
  <c r="V214" i="18"/>
  <c r="V166" i="18"/>
  <c r="U238" i="18"/>
  <c r="Y142" i="18"/>
  <c r="Z136" i="18"/>
  <c r="AA130" i="18"/>
  <c r="X124" i="18"/>
  <c r="Y118" i="18"/>
  <c r="AA112" i="18"/>
  <c r="AA106" i="18"/>
  <c r="X100" i="18"/>
  <c r="X94" i="18"/>
  <c r="Y88" i="18"/>
  <c r="Z82" i="18"/>
  <c r="Z76" i="18"/>
  <c r="Z70" i="18"/>
  <c r="Z64" i="18"/>
  <c r="X58" i="18"/>
  <c r="X52" i="18"/>
  <c r="W46" i="18"/>
  <c r="AA40" i="18"/>
  <c r="Y34" i="18"/>
  <c r="AA28" i="18"/>
  <c r="Z22" i="18"/>
  <c r="W16" i="18"/>
  <c r="AA10" i="18"/>
  <c r="Y70" i="18"/>
  <c r="W58" i="18"/>
  <c r="V46" i="18"/>
  <c r="AA34" i="18"/>
  <c r="Y22" i="18"/>
  <c r="W10" i="18"/>
  <c r="AA322" i="18"/>
  <c r="Z358" i="18"/>
  <c r="Y358" i="18"/>
  <c r="X406" i="18"/>
  <c r="X310" i="18"/>
  <c r="Z328" i="18"/>
  <c r="Y316" i="18"/>
  <c r="V346" i="18"/>
  <c r="T358" i="18"/>
  <c r="U430" i="18"/>
  <c r="U334" i="18"/>
  <c r="T328" i="18"/>
  <c r="AA274" i="18"/>
  <c r="AA178" i="18"/>
  <c r="T178" i="18"/>
  <c r="Z202" i="18"/>
  <c r="Z154" i="18"/>
  <c r="Y268" i="18"/>
  <c r="T166" i="18"/>
  <c r="X196" i="18"/>
  <c r="W274" i="18"/>
  <c r="W178" i="18"/>
  <c r="T196" i="18"/>
  <c r="V202" i="18"/>
  <c r="U190" i="18"/>
  <c r="W124" i="18"/>
  <c r="Z112" i="18"/>
  <c r="X88" i="18"/>
  <c r="V52" i="18"/>
  <c r="X22" i="18"/>
  <c r="Z334" i="18"/>
  <c r="X400" i="18"/>
  <c r="Y334" i="18"/>
  <c r="V388" i="18"/>
  <c r="AA328" i="18"/>
  <c r="T316" i="18"/>
  <c r="AA268" i="18"/>
  <c r="Z244" i="18"/>
  <c r="T280" i="18"/>
  <c r="X190" i="18"/>
  <c r="U244" i="18"/>
  <c r="V142" i="18"/>
  <c r="U130" i="18"/>
  <c r="V100" i="18"/>
  <c r="AA82" i="18"/>
  <c r="AA52" i="18"/>
  <c r="W22" i="18"/>
  <c r="AA424" i="18"/>
  <c r="AA340" i="18"/>
  <c r="Z418" i="18"/>
  <c r="Z370" i="18"/>
  <c r="Y412" i="18"/>
  <c r="Y364" i="18"/>
  <c r="X412" i="18"/>
  <c r="X364" i="18"/>
  <c r="X316" i="18"/>
  <c r="W388" i="18"/>
  <c r="W292" i="18"/>
  <c r="W370" i="18"/>
  <c r="Z304" i="18"/>
  <c r="V400" i="18"/>
  <c r="V352" i="18"/>
  <c r="V304" i="18"/>
  <c r="T370" i="18"/>
  <c r="AA364" i="18"/>
  <c r="Y310" i="18"/>
  <c r="U388" i="18"/>
  <c r="U340" i="18"/>
  <c r="U292" i="18"/>
  <c r="T340" i="18"/>
  <c r="AA334" i="18"/>
  <c r="AA280" i="18"/>
  <c r="AA232" i="18"/>
  <c r="AA184" i="18"/>
  <c r="Y208" i="18"/>
  <c r="T214" i="18"/>
  <c r="Z256" i="18"/>
  <c r="Z208" i="18"/>
  <c r="Z160" i="18"/>
  <c r="U202" i="18"/>
  <c r="Y274" i="18"/>
  <c r="Y214" i="18"/>
  <c r="T202" i="18"/>
  <c r="X250" i="18"/>
  <c r="X202" i="18"/>
  <c r="X154" i="18"/>
  <c r="W280" i="18"/>
  <c r="W232" i="18"/>
  <c r="W184" i="18"/>
  <c r="U268" i="18"/>
  <c r="T226" i="18"/>
  <c r="V256" i="18"/>
  <c r="V208" i="18"/>
  <c r="V160" i="18"/>
  <c r="U220" i="18"/>
  <c r="X142" i="18"/>
  <c r="Y136" i="18"/>
  <c r="Z130" i="18"/>
  <c r="AA124" i="18"/>
  <c r="V118" i="18"/>
  <c r="T112" i="18"/>
  <c r="Z106" i="18"/>
  <c r="W100" i="18"/>
  <c r="W94" i="18"/>
  <c r="Z88" i="18"/>
  <c r="W82" i="18"/>
  <c r="Y76" i="18"/>
  <c r="T64" i="18"/>
  <c r="W52" i="18"/>
  <c r="W40" i="18"/>
  <c r="X28" i="18"/>
  <c r="Z16" i="18"/>
  <c r="AA418" i="18"/>
  <c r="Z412" i="18"/>
  <c r="Y406" i="18"/>
  <c r="X358" i="18"/>
  <c r="W376" i="18"/>
  <c r="W358" i="18"/>
  <c r="V394" i="18"/>
  <c r="V298" i="18"/>
  <c r="AA346" i="18"/>
  <c r="U382" i="18"/>
  <c r="T424" i="18"/>
  <c r="AA316" i="18"/>
  <c r="AA226" i="18"/>
  <c r="Y190" i="18"/>
  <c r="Z250" i="18"/>
  <c r="U166" i="18"/>
  <c r="Y196" i="18"/>
  <c r="X244" i="18"/>
  <c r="X148" i="18"/>
  <c r="W226" i="18"/>
  <c r="U256" i="18"/>
  <c r="V250" i="18"/>
  <c r="V154" i="18"/>
  <c r="Y130" i="18"/>
  <c r="Y106" i="18"/>
  <c r="W76" i="18"/>
  <c r="AA46" i="18"/>
  <c r="Z406" i="18"/>
  <c r="X352" i="18"/>
  <c r="Y292" i="18"/>
  <c r="V292" i="18"/>
  <c r="U376" i="18"/>
  <c r="AA298" i="18"/>
  <c r="T148" i="18"/>
  <c r="Y178" i="18"/>
  <c r="U196" i="18"/>
  <c r="T160" i="18"/>
  <c r="U160" i="18"/>
  <c r="T136" i="18"/>
  <c r="V106" i="18"/>
  <c r="X76" i="18"/>
  <c r="Y46" i="18"/>
  <c r="AA16" i="18"/>
  <c r="BE454" i="19"/>
  <c r="BD454" i="19"/>
  <c r="BK532" i="19"/>
  <c r="BH556" i="19"/>
  <c r="BD400" i="19"/>
  <c r="BK496" i="19"/>
  <c r="BG568" i="19"/>
  <c r="BG376" i="19"/>
  <c r="BD412" i="19"/>
  <c r="BI394" i="19"/>
  <c r="BK526" i="19"/>
  <c r="BJ532" i="19"/>
  <c r="BG550" i="19"/>
  <c r="BF544" i="19"/>
  <c r="BE562" i="19"/>
  <c r="BD364" i="19"/>
  <c r="BJ448" i="19"/>
  <c r="BF478" i="19"/>
  <c r="BE496" i="19"/>
  <c r="BD520" i="19"/>
  <c r="BI412" i="19"/>
  <c r="BE322" i="19"/>
  <c r="BD184" i="19"/>
  <c r="BJ556" i="19"/>
  <c r="BD418" i="19"/>
  <c r="BD214" i="19"/>
  <c r="BK304" i="19"/>
  <c r="BJ328" i="19"/>
  <c r="BI238" i="19"/>
  <c r="BE406" i="19"/>
  <c r="BI538" i="19"/>
  <c r="BI472" i="19"/>
  <c r="BK334" i="19"/>
  <c r="BI532" i="19"/>
  <c r="BI316" i="19"/>
  <c r="BF412" i="19"/>
  <c r="BG496" i="19"/>
  <c r="BE556" i="19"/>
  <c r="BD208" i="19"/>
  <c r="BK250" i="19"/>
  <c r="BI418" i="19"/>
  <c r="BI184" i="19"/>
  <c r="BG514" i="19"/>
  <c r="BG490" i="19"/>
  <c r="BF304" i="19"/>
  <c r="BI250" i="19"/>
  <c r="BG298" i="19"/>
  <c r="BI52" i="19"/>
  <c r="BG370" i="19"/>
  <c r="BD562" i="19"/>
  <c r="BI298" i="19"/>
  <c r="BH172" i="19"/>
  <c r="BG316" i="19"/>
  <c r="BJ82" i="19"/>
  <c r="BD328" i="19"/>
  <c r="BE184" i="19"/>
  <c r="BH496" i="19"/>
  <c r="BE394" i="19"/>
  <c r="BI520" i="19"/>
  <c r="BG262" i="19"/>
  <c r="BJ76" i="19"/>
  <c r="BJ196" i="19"/>
  <c r="BH136" i="19"/>
  <c r="BF376" i="19"/>
  <c r="BD286" i="19"/>
  <c r="BK244" i="19"/>
  <c r="BH208" i="19"/>
  <c r="BE76" i="19"/>
  <c r="BJ214" i="19"/>
  <c r="BD52" i="19"/>
  <c r="BK370" i="19"/>
  <c r="BI430" i="19"/>
  <c r="BF118" i="19"/>
  <c r="BI40" i="19"/>
  <c r="BD46" i="19"/>
  <c r="BK34" i="19"/>
  <c r="BG70" i="19"/>
  <c r="BK64" i="19"/>
  <c r="BF106" i="19"/>
  <c r="BE232" i="19"/>
  <c r="BH202" i="19"/>
  <c r="BF82" i="19"/>
  <c r="BI4" i="19"/>
  <c r="BF88" i="19"/>
  <c r="BD526" i="19"/>
  <c r="BG220" i="19"/>
  <c r="BI478" i="19"/>
  <c r="BD118" i="19"/>
  <c r="BD100" i="19"/>
  <c r="BH358" i="19"/>
  <c r="BE52" i="19"/>
  <c r="BJ22" i="19"/>
  <c r="BI160" i="19"/>
  <c r="BE88" i="19"/>
  <c r="BK70" i="19"/>
  <c r="BI22" i="19"/>
  <c r="BJ490" i="19"/>
  <c r="BG556" i="19"/>
  <c r="BF550" i="19"/>
  <c r="BE568" i="19"/>
  <c r="BE376" i="19"/>
  <c r="BJ502" i="19"/>
  <c r="BH520" i="19"/>
  <c r="BF562" i="19"/>
  <c r="BF370" i="19"/>
  <c r="BE388" i="19"/>
  <c r="BE358" i="19"/>
  <c r="BH502" i="19"/>
  <c r="BD538" i="19"/>
  <c r="BI556" i="19"/>
  <c r="BE292" i="19"/>
  <c r="BK412" i="19"/>
  <c r="BH418" i="19"/>
  <c r="BG436" i="19"/>
  <c r="BI424" i="19"/>
  <c r="BG478" i="19"/>
  <c r="BE538" i="19"/>
  <c r="BH244" i="19"/>
  <c r="BK418" i="19"/>
  <c r="BH490" i="19"/>
  <c r="BD574" i="19"/>
  <c r="BE364" i="19"/>
  <c r="BJ358" i="19"/>
  <c r="BH322" i="19"/>
  <c r="BJ544" i="19"/>
  <c r="BG562" i="19"/>
  <c r="BF340" i="19"/>
  <c r="BD166" i="19"/>
  <c r="BH190" i="19"/>
  <c r="BJ430" i="19"/>
  <c r="BE478" i="19"/>
  <c r="BI442" i="19"/>
  <c r="BI226" i="19"/>
  <c r="BH154" i="19"/>
  <c r="BJ4" i="19"/>
  <c r="BG340" i="19"/>
  <c r="BJ226" i="19"/>
  <c r="BD334" i="19"/>
  <c r="BI274" i="19"/>
  <c r="BG286" i="19"/>
  <c r="BG352" i="19"/>
  <c r="BI244" i="19"/>
  <c r="BG274" i="19"/>
  <c r="BJ16" i="19"/>
  <c r="BI76" i="19"/>
  <c r="BH28" i="19"/>
  <c r="BD550" i="19"/>
  <c r="BD358" i="19"/>
  <c r="BK274" i="19"/>
  <c r="BJ370" i="19"/>
  <c r="BF220" i="19"/>
  <c r="BE508" i="19"/>
  <c r="BH184" i="19"/>
  <c r="BG268" i="19"/>
  <c r="BJ106" i="19"/>
  <c r="BE166" i="19"/>
  <c r="BJ208" i="19"/>
  <c r="BG76" i="19"/>
  <c r="BD148" i="19"/>
  <c r="BH52" i="19"/>
  <c r="BG10" i="19"/>
  <c r="BD76" i="19"/>
  <c r="BK106" i="19"/>
  <c r="BJ526" i="19"/>
  <c r="BI208" i="19"/>
  <c r="BG88" i="19"/>
  <c r="BK118" i="19"/>
  <c r="BK28" i="19"/>
  <c r="BH376" i="19"/>
  <c r="BG334" i="19"/>
  <c r="BI88" i="19"/>
  <c r="BG64" i="19"/>
  <c r="BE4" i="19"/>
  <c r="BD22" i="19"/>
  <c r="BJ136" i="19"/>
  <c r="BE40" i="19"/>
  <c r="BF58" i="19"/>
  <c r="BF268" i="19"/>
  <c r="BD106" i="19"/>
  <c r="BD10" i="19"/>
  <c r="BK40" i="19"/>
  <c r="BG292" i="19"/>
  <c r="BE58" i="19"/>
  <c r="BG82" i="19"/>
  <c r="BI148" i="19"/>
  <c r="BI16" i="19"/>
  <c r="BF136" i="19"/>
  <c r="BK172" i="19"/>
  <c r="BI256" i="19"/>
  <c r="BJ538" i="19"/>
  <c r="BG412" i="19"/>
  <c r="BJ550" i="19"/>
  <c r="BE436" i="19"/>
  <c r="BH550" i="19"/>
  <c r="BE340" i="19"/>
  <c r="BK460" i="19"/>
  <c r="BG484" i="19"/>
  <c r="BF424" i="19"/>
  <c r="BK514" i="19"/>
  <c r="BF292" i="19"/>
  <c r="BH178" i="19"/>
  <c r="BD436" i="19"/>
  <c r="BJ496" i="19"/>
  <c r="BI376" i="19"/>
  <c r="BJ52" i="19"/>
  <c r="BH46" i="19"/>
  <c r="BE214" i="19"/>
  <c r="BF274" i="19"/>
  <c r="BG184" i="19"/>
  <c r="BI310" i="19"/>
  <c r="BI292" i="19"/>
  <c r="BG124" i="19"/>
  <c r="BG58" i="19"/>
  <c r="BG136" i="19"/>
  <c r="BI202" i="19"/>
  <c r="BK484" i="19"/>
  <c r="BJ472" i="19"/>
  <c r="BH508" i="19"/>
  <c r="BD544" i="19"/>
  <c r="BE370" i="19"/>
  <c r="BK448" i="19"/>
  <c r="BJ484" i="19"/>
  <c r="BG520" i="19"/>
  <c r="BD556" i="19"/>
  <c r="BK478" i="19"/>
  <c r="BJ466" i="19"/>
  <c r="BH484" i="19"/>
  <c r="BG502" i="19"/>
  <c r="BF496" i="19"/>
  <c r="BE514" i="19"/>
  <c r="BF346" i="19"/>
  <c r="BD316" i="19"/>
  <c r="BK574" i="19"/>
  <c r="BF430" i="19"/>
  <c r="BE448" i="19"/>
  <c r="BD472" i="19"/>
  <c r="BF328" i="19"/>
  <c r="BE274" i="19"/>
  <c r="BD346" i="19"/>
  <c r="BE202" i="19"/>
  <c r="BD172" i="19"/>
  <c r="BK256" i="19"/>
  <c r="BJ280" i="19"/>
  <c r="BI190" i="19"/>
  <c r="BF484" i="19"/>
  <c r="BD340" i="19"/>
  <c r="BK286" i="19"/>
  <c r="BI268" i="19"/>
  <c r="BJ268" i="19"/>
  <c r="BJ478" i="19"/>
  <c r="BE526" i="19"/>
  <c r="BG400" i="19"/>
  <c r="BE460" i="19"/>
  <c r="BF310" i="19"/>
  <c r="BE172" i="19"/>
  <c r="BK202" i="19"/>
  <c r="BI328" i="19"/>
  <c r="BG418" i="19"/>
  <c r="BK568" i="19"/>
  <c r="BF436" i="19"/>
  <c r="BE346" i="19"/>
  <c r="BJ364" i="19"/>
  <c r="BG154" i="19"/>
  <c r="BD304" i="19"/>
  <c r="BF232" i="19"/>
  <c r="BJ34" i="19"/>
  <c r="BF250" i="19"/>
  <c r="BI508" i="19"/>
  <c r="BD262" i="19"/>
  <c r="BK178" i="19"/>
  <c r="BI166" i="19"/>
  <c r="BJ220" i="19"/>
  <c r="BG256" i="19"/>
  <c r="BG244" i="19"/>
  <c r="BD160" i="19"/>
  <c r="BG526" i="19"/>
  <c r="BI340" i="19"/>
  <c r="BE142" i="19"/>
  <c r="BJ28" i="19"/>
  <c r="BI100" i="19"/>
  <c r="BH88" i="19"/>
  <c r="BK520" i="19"/>
  <c r="BE352" i="19"/>
  <c r="BK166" i="19"/>
  <c r="BH160" i="19"/>
  <c r="BF226" i="19"/>
  <c r="BK154" i="19"/>
  <c r="BE430" i="19"/>
  <c r="BD274" i="19"/>
  <c r="BH316" i="19"/>
  <c r="BG208" i="19"/>
  <c r="BJ238" i="19"/>
  <c r="BD34" i="19"/>
  <c r="BF178" i="19"/>
  <c r="BK58" i="19"/>
  <c r="BK406" i="19"/>
  <c r="BI214" i="19"/>
  <c r="BH10" i="19"/>
  <c r="BG304" i="19"/>
  <c r="BF40" i="19"/>
  <c r="BF64" i="19"/>
  <c r="BD370" i="19"/>
  <c r="BI370" i="19"/>
  <c r="BG328" i="19"/>
  <c r="BK112" i="19"/>
  <c r="BI94" i="19"/>
  <c r="BG22" i="19"/>
  <c r="BF52" i="19"/>
  <c r="BE10" i="19"/>
  <c r="BJ94" i="19"/>
  <c r="BG142" i="19"/>
  <c r="BK124" i="19"/>
  <c r="BF172" i="19"/>
  <c r="BF28" i="19"/>
  <c r="BJ70" i="19"/>
  <c r="BJ148" i="19"/>
  <c r="BE16" i="19"/>
  <c r="BD94" i="19"/>
  <c r="BG148" i="19"/>
  <c r="BE112" i="19"/>
  <c r="BG508" i="19"/>
  <c r="BF502" i="19"/>
  <c r="BE520" i="19"/>
  <c r="BF352" i="19"/>
  <c r="BF514" i="19"/>
  <c r="BE532" i="19"/>
  <c r="BF364" i="19"/>
  <c r="BE310" i="19"/>
  <c r="BD490" i="19"/>
  <c r="BE244" i="19"/>
  <c r="BK556" i="19"/>
  <c r="BJ562" i="19"/>
  <c r="BJ382" i="19"/>
  <c r="BH370" i="19"/>
  <c r="BG388" i="19"/>
  <c r="BG382" i="19"/>
  <c r="BE442" i="19"/>
  <c r="BF322" i="19"/>
  <c r="BI466" i="19"/>
  <c r="BH196" i="19"/>
  <c r="BJ520" i="19"/>
  <c r="BH424" i="19"/>
  <c r="BD478" i="19"/>
  <c r="BE286" i="19"/>
  <c r="BJ310" i="19"/>
  <c r="BH274" i="19"/>
  <c r="BG226" i="19"/>
  <c r="BJ412" i="19"/>
  <c r="BG466" i="19"/>
  <c r="BH544" i="19"/>
  <c r="BH334" i="19"/>
  <c r="BK490" i="19"/>
  <c r="BH562" i="19"/>
  <c r="BF556" i="19"/>
  <c r="BE118" i="19"/>
  <c r="BK148" i="19"/>
  <c r="BI58" i="19"/>
  <c r="BH112" i="19"/>
  <c r="BG394" i="19"/>
  <c r="BD406" i="19"/>
  <c r="BI484" i="19"/>
  <c r="BI196" i="19"/>
  <c r="BG178" i="19"/>
  <c r="BH142" i="19"/>
  <c r="BF334" i="19"/>
  <c r="BD226" i="19"/>
  <c r="BI400" i="19"/>
  <c r="BJ172" i="19"/>
  <c r="BF214" i="19"/>
  <c r="BI82" i="19"/>
  <c r="BF202" i="19"/>
  <c r="BJ394" i="19"/>
  <c r="BG448" i="19"/>
  <c r="BK220" i="19"/>
  <c r="BI262" i="19"/>
  <c r="BH214" i="19"/>
  <c r="BD178" i="19"/>
  <c r="BI388" i="19"/>
  <c r="BG346" i="19"/>
  <c r="BJ58" i="19"/>
  <c r="BI136" i="19"/>
  <c r="BH118" i="19"/>
  <c r="BE382" i="19"/>
  <c r="BJ88" i="19"/>
  <c r="BH100" i="19"/>
  <c r="BG28" i="19"/>
  <c r="BD124" i="19"/>
  <c r="BG172" i="19"/>
  <c r="BF532" i="19"/>
  <c r="BI448" i="19"/>
  <c r="BJ40" i="19"/>
  <c r="BF76" i="19"/>
  <c r="BD58" i="19"/>
  <c r="BE268" i="19"/>
  <c r="BH304" i="19"/>
  <c r="BH4" i="19"/>
  <c r="BG40" i="19"/>
  <c r="BF70" i="19"/>
  <c r="BF46" i="19"/>
  <c r="BK262" i="19"/>
  <c r="BE136" i="19"/>
  <c r="BG238" i="19"/>
  <c r="BI28" i="19"/>
  <c r="BD82" i="19"/>
  <c r="BF238" i="19"/>
  <c r="BG16" i="19"/>
  <c r="BD280" i="19"/>
  <c r="BH256" i="19"/>
  <c r="BE28" i="19"/>
  <c r="BG322" i="19"/>
  <c r="BK94" i="19"/>
  <c r="BD142" i="19"/>
  <c r="BG34" i="19"/>
  <c r="BJ340" i="19"/>
  <c r="BK226" i="19"/>
  <c r="BH394" i="19"/>
  <c r="BH292" i="19"/>
  <c r="BG442" i="19"/>
  <c r="BH448" i="19"/>
  <c r="BE256" i="19"/>
  <c r="BH16" i="19"/>
  <c r="BD502" i="19"/>
  <c r="BH76" i="19"/>
  <c r="BK268" i="19"/>
  <c r="BH22" i="19"/>
  <c r="BF142" i="19"/>
  <c r="BE22" i="19"/>
  <c r="BH130" i="19"/>
  <c r="BK436" i="19"/>
  <c r="BJ424" i="19"/>
  <c r="BD496" i="19"/>
  <c r="BK400" i="19"/>
  <c r="BJ436" i="19"/>
  <c r="BH454" i="19"/>
  <c r="BG472" i="19"/>
  <c r="BD508" i="19"/>
  <c r="BK430" i="19"/>
  <c r="BJ400" i="19"/>
  <c r="BH436" i="19"/>
  <c r="BG454" i="19"/>
  <c r="BF448" i="19"/>
  <c r="BE466" i="19"/>
  <c r="BF298" i="19"/>
  <c r="BD268" i="19"/>
  <c r="BF574" i="19"/>
  <c r="BF382" i="19"/>
  <c r="BE400" i="19"/>
  <c r="BD424" i="19"/>
  <c r="BF280" i="19"/>
  <c r="BE226" i="19"/>
  <c r="BD298" i="19"/>
  <c r="BK550" i="19"/>
  <c r="BH526" i="19"/>
  <c r="BK208" i="19"/>
  <c r="BI334" i="19"/>
  <c r="BF388" i="19"/>
  <c r="BD256" i="19"/>
  <c r="BK238" i="19"/>
  <c r="BI220" i="19"/>
  <c r="BF184" i="19"/>
  <c r="BH478" i="19"/>
  <c r="BF538" i="19"/>
  <c r="BK346" i="19"/>
  <c r="BI280" i="19"/>
  <c r="BJ508" i="19"/>
  <c r="BD466" i="19"/>
  <c r="BE262" i="19"/>
  <c r="BJ286" i="19"/>
  <c r="BH352" i="19"/>
  <c r="BG358" i="19"/>
  <c r="BF244" i="19"/>
  <c r="BD196" i="19"/>
  <c r="BJ334" i="19"/>
  <c r="BE148" i="19"/>
  <c r="BK466" i="19"/>
  <c r="BJ304" i="19"/>
  <c r="BH346" i="19"/>
  <c r="BE130" i="19"/>
  <c r="BG250" i="19"/>
  <c r="BK160" i="19"/>
  <c r="BH412" i="19"/>
  <c r="BF286" i="19"/>
  <c r="BK196" i="19"/>
  <c r="BE94" i="19"/>
  <c r="BJ202" i="19"/>
  <c r="BI106" i="19"/>
  <c r="BH40" i="19"/>
  <c r="BJ460" i="19"/>
  <c r="BE238" i="19"/>
  <c r="BJ256" i="19"/>
  <c r="BI118" i="19"/>
  <c r="BK502" i="19"/>
  <c r="BD484" i="19"/>
  <c r="BK214" i="19"/>
  <c r="BJ46" i="19"/>
  <c r="BH58" i="19"/>
  <c r="BK16" i="19"/>
  <c r="BF112" i="19"/>
  <c r="BH310" i="19"/>
  <c r="BK100" i="19"/>
  <c r="BF22" i="19"/>
  <c r="BK364" i="19"/>
  <c r="BH232" i="19"/>
  <c r="BF148" i="19"/>
  <c r="BJ352" i="19"/>
  <c r="BJ184" i="19"/>
  <c r="BK4" i="19"/>
  <c r="BI550" i="19"/>
  <c r="BI46" i="19"/>
  <c r="BG94" i="19"/>
  <c r="BK82" i="19"/>
  <c r="BG4" i="19"/>
  <c r="BG130" i="19"/>
  <c r="BG166" i="19"/>
  <c r="BG52" i="19"/>
  <c r="BD64" i="19"/>
  <c r="BK10" i="19"/>
  <c r="BJ346" i="19"/>
  <c r="BF16" i="19"/>
  <c r="BK340" i="19"/>
  <c r="BE34" i="19"/>
  <c r="BI568" i="19"/>
  <c r="BI496" i="19"/>
  <c r="BH238" i="19"/>
  <c r="BH250" i="19"/>
  <c r="BE154" i="19"/>
  <c r="BH430" i="19"/>
  <c r="BF490" i="19"/>
  <c r="BI70" i="19"/>
  <c r="BE64" i="19"/>
  <c r="BF34" i="19"/>
  <c r="BJ406" i="19"/>
  <c r="BH442" i="19"/>
  <c r="BG460" i="19"/>
  <c r="BF454" i="19"/>
  <c r="BE472" i="19"/>
  <c r="BJ418" i="19"/>
  <c r="BF466" i="19"/>
  <c r="BE484" i="19"/>
  <c r="BF316" i="19"/>
  <c r="BD442" i="19"/>
  <c r="BE196" i="19"/>
  <c r="BK508" i="19"/>
  <c r="BJ514" i="19"/>
  <c r="BH532" i="19"/>
  <c r="BG532" i="19"/>
  <c r="BI490" i="19"/>
  <c r="BH460" i="19"/>
  <c r="BF520" i="19"/>
  <c r="BD322" i="19"/>
  <c r="BH340" i="19"/>
  <c r="BJ454" i="19"/>
  <c r="BG538" i="19"/>
  <c r="BD382" i="19"/>
  <c r="BD232" i="19"/>
  <c r="BH226" i="19"/>
  <c r="BK538" i="19"/>
  <c r="BH514" i="19"/>
  <c r="BK472" i="19"/>
  <c r="BD532" i="19"/>
  <c r="BE304" i="19"/>
  <c r="BJ322" i="19"/>
  <c r="BH286" i="19"/>
  <c r="BK394" i="19"/>
  <c r="BF460" i="19"/>
  <c r="BH538" i="19"/>
  <c r="BE190" i="19"/>
  <c r="BH328" i="19"/>
  <c r="BE70" i="19"/>
  <c r="BJ100" i="19"/>
  <c r="BI130" i="19"/>
  <c r="BH64" i="19"/>
  <c r="BK562" i="19"/>
  <c r="BE334" i="19"/>
  <c r="BI502" i="19"/>
  <c r="BH298" i="19"/>
  <c r="BF262" i="19"/>
  <c r="BH94" i="19"/>
  <c r="BJ574" i="19"/>
  <c r="BE412" i="19"/>
  <c r="BI454" i="19"/>
  <c r="BH268" i="19"/>
  <c r="BJ112" i="19"/>
  <c r="BF208" i="19"/>
  <c r="BH124" i="19"/>
  <c r="BJ232" i="19"/>
  <c r="BG544" i="19"/>
  <c r="BE328" i="19"/>
  <c r="BF472" i="19"/>
  <c r="BE280" i="19"/>
  <c r="BH166" i="19"/>
  <c r="BK322" i="19"/>
  <c r="BJ298" i="19"/>
  <c r="BG160" i="19"/>
  <c r="BG214" i="19"/>
  <c r="BJ10" i="19"/>
  <c r="BH70" i="19"/>
  <c r="BK424" i="19"/>
  <c r="BD430" i="19"/>
  <c r="BJ316" i="19"/>
  <c r="BF154" i="19"/>
  <c r="BF10" i="19"/>
  <c r="BD70" i="19"/>
  <c r="BK136" i="19"/>
  <c r="BG106" i="19"/>
  <c r="BF196" i="19"/>
  <c r="BJ274" i="19"/>
  <c r="BI10" i="19"/>
  <c r="BG280" i="19"/>
  <c r="BI382" i="19"/>
  <c r="BJ178" i="19"/>
  <c r="BG232" i="19"/>
  <c r="BJ166" i="19"/>
  <c r="BF124" i="19"/>
  <c r="BK292" i="19"/>
  <c r="BF160" i="19"/>
  <c r="BE46" i="19"/>
  <c r="BH82" i="19"/>
  <c r="BK184" i="19"/>
  <c r="BG100" i="19"/>
  <c r="BD310" i="19"/>
  <c r="BD4" i="19"/>
  <c r="BF4" i="19"/>
  <c r="BH148" i="19"/>
  <c r="BI34" i="19"/>
  <c r="BG46" i="19"/>
  <c r="BK46" i="19"/>
  <c r="BD88" i="19"/>
  <c r="BH280" i="19"/>
  <c r="BD28" i="19"/>
  <c r="BF100" i="19"/>
  <c r="BH574" i="19"/>
  <c r="BF406" i="19"/>
  <c r="BE424" i="19"/>
  <c r="BF418" i="19"/>
  <c r="BD394" i="19"/>
  <c r="BD202" i="19"/>
  <c r="BH466" i="19"/>
  <c r="BG574" i="19"/>
  <c r="BD238" i="19"/>
  <c r="BJ388" i="19"/>
  <c r="BD154" i="19"/>
  <c r="BK442" i="19"/>
  <c r="BK376" i="19"/>
  <c r="BE574" i="19"/>
  <c r="BK232" i="19"/>
  <c r="BK280" i="19"/>
  <c r="BI322" i="19"/>
  <c r="BJ64" i="19"/>
  <c r="BJ376" i="19"/>
  <c r="BH364" i="19"/>
  <c r="BJ154" i="19"/>
  <c r="BH472" i="19"/>
  <c r="BG202" i="19"/>
  <c r="BD40" i="19"/>
  <c r="BG364" i="19"/>
  <c r="BJ292" i="19"/>
  <c r="BJ118" i="19"/>
  <c r="BK388" i="19"/>
  <c r="BD448" i="19"/>
  <c r="BK544" i="19"/>
  <c r="BJ568" i="19"/>
  <c r="BH406" i="19"/>
  <c r="BG424" i="19"/>
  <c r="BD460" i="19"/>
  <c r="BK382" i="19"/>
  <c r="BH568" i="19"/>
  <c r="BH388" i="19"/>
  <c r="BG406" i="19"/>
  <c r="BF400" i="19"/>
  <c r="BE418" i="19"/>
  <c r="BD220" i="19"/>
  <c r="BF526" i="19"/>
  <c r="BE544" i="19"/>
  <c r="BD568" i="19"/>
  <c r="BD376" i="19"/>
  <c r="BE178" i="19"/>
  <c r="BD250" i="19"/>
  <c r="BK454" i="19"/>
  <c r="BD514" i="19"/>
  <c r="BE316" i="19"/>
  <c r="BK352" i="19"/>
  <c r="BI286" i="19"/>
  <c r="BE502" i="19"/>
  <c r="BI460" i="19"/>
  <c r="BE220" i="19"/>
  <c r="BD190" i="19"/>
  <c r="BK190" i="19"/>
  <c r="BI364" i="19"/>
  <c r="BI172" i="19"/>
  <c r="BF508" i="19"/>
  <c r="BH382" i="19"/>
  <c r="BF442" i="19"/>
  <c r="BD292" i="19"/>
  <c r="BK298" i="19"/>
  <c r="BI232" i="19"/>
  <c r="BH400" i="19"/>
  <c r="BE160" i="19"/>
  <c r="BK310" i="19"/>
  <c r="BI304" i="19"/>
  <c r="BI112" i="19"/>
  <c r="BE550" i="19"/>
  <c r="BE298" i="19"/>
  <c r="BK358" i="19"/>
  <c r="BI352" i="19"/>
  <c r="BH220" i="19"/>
  <c r="BE100" i="19"/>
  <c r="BJ130" i="19"/>
  <c r="BF256" i="19"/>
  <c r="BK328" i="19"/>
  <c r="BI346" i="19"/>
  <c r="BE82" i="19"/>
  <c r="BI142" i="19"/>
  <c r="BG190" i="19"/>
  <c r="BF568" i="19"/>
  <c r="BE250" i="19"/>
  <c r="BF394" i="19"/>
  <c r="BE208" i="19"/>
  <c r="BI406" i="19"/>
  <c r="BI436" i="19"/>
  <c r="BI544" i="19"/>
  <c r="BI574" i="19"/>
  <c r="BJ124" i="19"/>
  <c r="BJ190" i="19"/>
  <c r="BG430" i="19"/>
  <c r="BD388" i="19"/>
  <c r="BD352" i="19"/>
  <c r="BI514" i="19"/>
  <c r="BH262" i="19"/>
  <c r="BE124" i="19"/>
  <c r="BI64" i="19"/>
  <c r="BJ442" i="19"/>
  <c r="BF358" i="19"/>
  <c r="BI358" i="19"/>
  <c r="BE106" i="19"/>
  <c r="BI526" i="19"/>
  <c r="BJ160" i="19"/>
  <c r="BD112" i="19"/>
  <c r="BF94" i="19"/>
  <c r="BD244" i="19"/>
  <c r="BI124" i="19"/>
  <c r="BD130" i="19"/>
  <c r="BK88" i="19"/>
  <c r="BG310" i="19"/>
  <c r="BI154" i="19"/>
  <c r="BF190" i="19"/>
  <c r="BK52" i="19"/>
  <c r="BF166" i="19"/>
  <c r="BG196" i="19"/>
  <c r="BG118" i="19"/>
  <c r="BD16" i="19"/>
  <c r="BE490" i="19"/>
  <c r="BJ142" i="19"/>
  <c r="BI562" i="19"/>
  <c r="BH34" i="19"/>
  <c r="BH106" i="19"/>
  <c r="BK316" i="19"/>
  <c r="BJ262" i="19"/>
  <c r="BK76" i="19"/>
  <c r="BF130" i="19"/>
  <c r="BG112" i="19"/>
  <c r="BJ244" i="19"/>
  <c r="BI178" i="19"/>
  <c r="BJ250" i="19"/>
  <c r="BK142" i="19"/>
  <c r="BK130" i="19"/>
  <c r="BK22" i="19"/>
  <c r="BD136" i="19"/>
  <c r="AR490" i="19"/>
  <c r="AP526" i="19"/>
  <c r="AO478" i="19"/>
  <c r="AN424" i="19"/>
  <c r="AS514" i="19"/>
  <c r="AR454" i="19"/>
  <c r="AM502" i="19"/>
  <c r="AL574" i="19"/>
  <c r="AS544" i="19"/>
  <c r="AR484" i="19"/>
  <c r="AO376" i="19"/>
  <c r="AM532" i="19"/>
  <c r="AQ430" i="19"/>
  <c r="AL238" i="19"/>
  <c r="AS526" i="19"/>
  <c r="AR466" i="19"/>
  <c r="AM514" i="19"/>
  <c r="AL220" i="19"/>
  <c r="AM346" i="19"/>
  <c r="AM160" i="19"/>
  <c r="AQ304" i="19"/>
  <c r="AO412" i="19"/>
  <c r="AM568" i="19"/>
  <c r="AL298" i="19"/>
  <c r="AQ472" i="19"/>
  <c r="AS256" i="19"/>
  <c r="AP196" i="19"/>
  <c r="AP418" i="19"/>
  <c r="AN574" i="19"/>
  <c r="AR544" i="19"/>
  <c r="AM238" i="19"/>
  <c r="AS268" i="19"/>
  <c r="AR376" i="19"/>
  <c r="AP208" i="19"/>
  <c r="AR562" i="19"/>
  <c r="AM232" i="19"/>
  <c r="AQ436" i="19"/>
  <c r="AQ178" i="19"/>
  <c r="AP202" i="19"/>
  <c r="AN340" i="19"/>
  <c r="AP154" i="19"/>
  <c r="AQ196" i="19"/>
  <c r="AP220" i="19"/>
  <c r="AR274" i="19"/>
  <c r="AO322" i="19"/>
  <c r="AL400" i="19"/>
  <c r="AL190" i="19"/>
  <c r="AM112" i="19"/>
  <c r="AR94" i="19"/>
  <c r="AQ70" i="19"/>
  <c r="AP106" i="19"/>
  <c r="AP478" i="19"/>
  <c r="AS346" i="19"/>
  <c r="AQ448" i="19"/>
  <c r="AN538" i="19"/>
  <c r="AL472" i="19"/>
  <c r="AP148" i="19"/>
  <c r="AO142" i="19"/>
  <c r="AM106" i="19"/>
  <c r="AO202" i="19"/>
  <c r="AO316" i="19"/>
  <c r="AQ496" i="19"/>
  <c r="AL106" i="19"/>
  <c r="AM58" i="19"/>
  <c r="AM10" i="19"/>
  <c r="AP334" i="19"/>
  <c r="AQ142" i="19"/>
  <c r="AO292" i="19"/>
  <c r="AM46" i="19"/>
  <c r="AR154" i="19"/>
  <c r="AN232" i="19"/>
  <c r="AN214" i="19"/>
  <c r="AP124" i="19"/>
  <c r="AS244" i="19"/>
  <c r="AL16" i="19"/>
  <c r="AQ28" i="19"/>
  <c r="AR106" i="19"/>
  <c r="AS418" i="19"/>
  <c r="AM406" i="19"/>
  <c r="AP430" i="19"/>
  <c r="AR346" i="19"/>
  <c r="AL172" i="19"/>
  <c r="AS172" i="19"/>
  <c r="AP112" i="19"/>
  <c r="AO460" i="19"/>
  <c r="AL256" i="19"/>
  <c r="AL154" i="19"/>
  <c r="AR76" i="19"/>
  <c r="AO190" i="19"/>
  <c r="AQ100" i="19"/>
  <c r="AQ268" i="19"/>
  <c r="AL310" i="19"/>
  <c r="AQ562" i="19"/>
  <c r="AL100" i="19"/>
  <c r="AR424" i="19"/>
  <c r="AS502" i="19"/>
  <c r="AR574" i="19"/>
  <c r="AR442" i="19"/>
  <c r="AM490" i="19"/>
  <c r="AL562" i="19"/>
  <c r="AP376" i="19"/>
  <c r="AN532" i="19"/>
  <c r="AL430" i="19"/>
  <c r="AN334" i="19"/>
  <c r="AM328" i="19"/>
  <c r="AS400" i="19"/>
  <c r="AP406" i="19"/>
  <c r="AN562" i="19"/>
  <c r="AM388" i="19"/>
  <c r="AL460" i="19"/>
  <c r="AN364" i="19"/>
  <c r="AM358" i="19"/>
  <c r="AS382" i="19"/>
  <c r="AP388" i="19"/>
  <c r="AN544" i="19"/>
  <c r="AL442" i="19"/>
  <c r="AN346" i="19"/>
  <c r="AM340" i="19"/>
  <c r="AL202" i="19"/>
  <c r="AR394" i="19"/>
  <c r="AO544" i="19"/>
  <c r="AN490" i="19"/>
  <c r="AL388" i="19"/>
  <c r="AQ490" i="19"/>
  <c r="AS322" i="19"/>
  <c r="AR298" i="19"/>
  <c r="AQ514" i="19"/>
  <c r="AP262" i="19"/>
  <c r="AM202" i="19"/>
  <c r="AQ370" i="19"/>
  <c r="AQ334" i="19"/>
  <c r="AS508" i="19"/>
  <c r="AR448" i="19"/>
  <c r="AP448" i="19"/>
  <c r="AL502" i="19"/>
  <c r="AQ346" i="19"/>
  <c r="AP466" i="19"/>
  <c r="AM478" i="19"/>
  <c r="AN304" i="19"/>
  <c r="AP328" i="19"/>
  <c r="AM70" i="19"/>
  <c r="AR220" i="19"/>
  <c r="AR52" i="19"/>
  <c r="AR214" i="19"/>
  <c r="AP64" i="19"/>
  <c r="AN502" i="19"/>
  <c r="AM220" i="19"/>
  <c r="AL196" i="19"/>
  <c r="AQ388" i="19"/>
  <c r="AO232" i="19"/>
  <c r="AQ52" i="19"/>
  <c r="AN208" i="19"/>
  <c r="AN406" i="19"/>
  <c r="AR472" i="19"/>
  <c r="AL160" i="19"/>
  <c r="AP400" i="19"/>
  <c r="AQ262" i="19"/>
  <c r="AP286" i="19"/>
  <c r="AR160" i="19"/>
  <c r="AR28" i="19"/>
  <c r="AP40" i="19"/>
  <c r="AR538" i="19"/>
  <c r="AN460" i="19"/>
  <c r="AL376" i="19"/>
  <c r="AM304" i="19"/>
  <c r="AS82" i="19"/>
  <c r="AQ400" i="19"/>
  <c r="AM16" i="19"/>
  <c r="AQ118" i="19"/>
  <c r="AR250" i="19"/>
  <c r="AO58" i="19"/>
  <c r="AQ10" i="19"/>
  <c r="AS238" i="19"/>
  <c r="AP268" i="19"/>
  <c r="AL58" i="19"/>
  <c r="AS106" i="19"/>
  <c r="AS94" i="19"/>
  <c r="AO496" i="19"/>
  <c r="AP190" i="19"/>
  <c r="AO262" i="19"/>
  <c r="AO166" i="19"/>
  <c r="AN16" i="19"/>
  <c r="AS154" i="19"/>
  <c r="AQ16" i="19"/>
  <c r="AO340" i="19"/>
  <c r="AP118" i="19"/>
  <c r="AQ106" i="19"/>
  <c r="AM22" i="19"/>
  <c r="AQ322" i="19"/>
  <c r="AN130" i="19"/>
  <c r="AR112" i="19"/>
  <c r="AS148" i="19"/>
  <c r="AS58" i="19"/>
  <c r="AM538" i="19"/>
  <c r="AP454" i="19"/>
  <c r="AL490" i="19"/>
  <c r="AQ208" i="19"/>
  <c r="AO436" i="19"/>
  <c r="AL358" i="19"/>
  <c r="AS394" i="19"/>
  <c r="AN238" i="19"/>
  <c r="AO556" i="19"/>
  <c r="AS532" i="19"/>
  <c r="AQ124" i="19"/>
  <c r="AQ340" i="19"/>
  <c r="AP88" i="19"/>
  <c r="AO46" i="19"/>
  <c r="AQ394" i="19"/>
  <c r="AL148" i="19"/>
  <c r="AN106" i="19"/>
  <c r="AP28" i="19"/>
  <c r="AM130" i="19"/>
  <c r="AL136" i="19"/>
  <c r="AS568" i="19"/>
  <c r="AR556" i="19"/>
  <c r="AO574" i="19"/>
  <c r="AN520" i="19"/>
  <c r="AL418" i="19"/>
  <c r="AQ568" i="19"/>
  <c r="AO442" i="19"/>
  <c r="AN388" i="19"/>
  <c r="AP520" i="19"/>
  <c r="AO472" i="19"/>
  <c r="AN418" i="19"/>
  <c r="AM214" i="19"/>
  <c r="AL334" i="19"/>
  <c r="AP502" i="19"/>
  <c r="AO454" i="19"/>
  <c r="AN400" i="19"/>
  <c r="AM196" i="19"/>
  <c r="AL316" i="19"/>
  <c r="AS424" i="19"/>
  <c r="AM412" i="19"/>
  <c r="AS178" i="19"/>
  <c r="AP394" i="19"/>
  <c r="AN550" i="19"/>
  <c r="AL448" i="19"/>
  <c r="AM178" i="19"/>
  <c r="AS352" i="19"/>
  <c r="AR328" i="19"/>
  <c r="AQ190" i="19"/>
  <c r="AP292" i="19"/>
  <c r="AS538" i="19"/>
  <c r="AR478" i="19"/>
  <c r="AM526" i="19"/>
  <c r="AQ460" i="19"/>
  <c r="AL274" i="19"/>
  <c r="AS364" i="19"/>
  <c r="AR340" i="19"/>
  <c r="AQ202" i="19"/>
  <c r="AP304" i="19"/>
  <c r="AS556" i="19"/>
  <c r="AO388" i="19"/>
  <c r="AM544" i="19"/>
  <c r="AR430" i="19"/>
  <c r="AM556" i="19"/>
  <c r="AQ520" i="19"/>
  <c r="AS184" i="19"/>
  <c r="AQ328" i="19"/>
  <c r="AM88" i="19"/>
  <c r="AR268" i="19"/>
  <c r="AR70" i="19"/>
  <c r="AR262" i="19"/>
  <c r="AP82" i="19"/>
  <c r="AP442" i="19"/>
  <c r="AS334" i="19"/>
  <c r="AR364" i="19"/>
  <c r="AO178" i="19"/>
  <c r="AO172" i="19"/>
  <c r="AR208" i="19"/>
  <c r="AR496" i="19"/>
  <c r="AS202" i="19"/>
  <c r="AP172" i="19"/>
  <c r="AM100" i="19"/>
  <c r="AO346" i="19"/>
  <c r="AR82" i="19"/>
  <c r="AO328" i="19"/>
  <c r="AQ46" i="19"/>
  <c r="AP94" i="19"/>
  <c r="AN328" i="19"/>
  <c r="AQ538" i="19"/>
  <c r="AQ424" i="19"/>
  <c r="AM520" i="19"/>
  <c r="AQ316" i="19"/>
  <c r="AR322" i="19"/>
  <c r="AN154" i="19"/>
  <c r="AN46" i="19"/>
  <c r="AS376" i="19"/>
  <c r="AO76" i="19"/>
  <c r="AS46" i="19"/>
  <c r="AM40" i="19"/>
  <c r="AM28" i="19"/>
  <c r="AS118" i="19"/>
  <c r="AL52" i="19"/>
  <c r="AS190" i="19"/>
  <c r="AP232" i="19"/>
  <c r="AO40" i="19"/>
  <c r="AN94" i="19"/>
  <c r="AL22" i="19"/>
  <c r="AS166" i="19"/>
  <c r="AN268" i="19"/>
  <c r="AO34" i="19"/>
  <c r="AS28" i="19"/>
  <c r="AS70" i="19"/>
  <c r="AN64" i="19"/>
  <c r="AS22" i="19"/>
  <c r="AO16" i="19"/>
  <c r="AS130" i="19"/>
  <c r="AS64" i="19"/>
  <c r="AL4" i="19"/>
  <c r="AO52" i="19"/>
  <c r="AN112" i="19"/>
  <c r="AS100" i="19"/>
  <c r="AO268" i="19"/>
  <c r="AL88" i="19"/>
  <c r="AP424" i="19"/>
  <c r="AS448" i="19"/>
  <c r="AL280" i="19"/>
  <c r="AQ382" i="19"/>
  <c r="AR316" i="19"/>
  <c r="AQ172" i="19"/>
  <c r="AR334" i="19"/>
  <c r="AL262" i="19"/>
  <c r="AP238" i="19"/>
  <c r="AP364" i="19"/>
  <c r="AL532" i="19"/>
  <c r="AN250" i="19"/>
  <c r="AP52" i="19"/>
  <c r="AQ244" i="19"/>
  <c r="AS124" i="19"/>
  <c r="AR196" i="19"/>
  <c r="AQ94" i="19"/>
  <c r="AR568" i="19"/>
  <c r="AO430" i="19"/>
  <c r="AN376" i="19"/>
  <c r="AP568" i="19"/>
  <c r="AS466" i="19"/>
  <c r="AP472" i="19"/>
  <c r="AM454" i="19"/>
  <c r="AL526" i="19"/>
  <c r="AS496" i="19"/>
  <c r="AR436" i="19"/>
  <c r="AM484" i="19"/>
  <c r="AL556" i="19"/>
  <c r="AS478" i="19"/>
  <c r="AP484" i="19"/>
  <c r="AM466" i="19"/>
  <c r="AL538" i="19"/>
  <c r="AM268" i="19"/>
  <c r="AQ550" i="19"/>
  <c r="AQ256" i="19"/>
  <c r="AP358" i="19"/>
  <c r="AS484" i="19"/>
  <c r="AM472" i="19"/>
  <c r="AS208" i="19"/>
  <c r="AR382" i="19"/>
  <c r="AO532" i="19"/>
  <c r="AN478" i="19"/>
  <c r="AL250" i="19"/>
  <c r="AS220" i="19"/>
  <c r="AO304" i="19"/>
  <c r="AO226" i="19"/>
  <c r="AO220" i="19"/>
  <c r="AR256" i="19"/>
  <c r="AS310" i="19"/>
  <c r="AP274" i="19"/>
  <c r="AR148" i="19"/>
  <c r="AQ166" i="19"/>
  <c r="AR406" i="19"/>
  <c r="AO310" i="19"/>
  <c r="AP508" i="19"/>
  <c r="AM460" i="19"/>
  <c r="AN280" i="19"/>
  <c r="AQ292" i="19"/>
  <c r="AP316" i="19"/>
  <c r="AR46" i="19"/>
  <c r="AP58" i="19"/>
  <c r="AM274" i="19"/>
  <c r="AM142" i="19"/>
  <c r="AR124" i="19"/>
  <c r="AP136" i="19"/>
  <c r="AP562" i="19"/>
  <c r="AM496" i="19"/>
  <c r="AN310" i="19"/>
  <c r="AO94" i="19"/>
  <c r="AM34" i="19"/>
  <c r="AQ544" i="19"/>
  <c r="AO256" i="19"/>
  <c r="AQ34" i="19"/>
  <c r="AN442" i="19"/>
  <c r="AO370" i="19"/>
  <c r="AN220" i="19"/>
  <c r="AR178" i="19"/>
  <c r="AN118" i="19"/>
  <c r="AM574" i="19"/>
  <c r="AP160" i="19"/>
  <c r="AS160" i="19"/>
  <c r="AS112" i="19"/>
  <c r="AM382" i="19"/>
  <c r="AO160" i="19"/>
  <c r="AN136" i="19"/>
  <c r="AL34" i="19"/>
  <c r="AQ376" i="19"/>
  <c r="AN88" i="19"/>
  <c r="AN10" i="19"/>
  <c r="AN70" i="19"/>
  <c r="AQ4" i="19"/>
  <c r="AO70" i="19"/>
  <c r="AN190" i="19"/>
  <c r="AS250" i="19"/>
  <c r="AL118" i="19"/>
  <c r="AM124" i="19"/>
  <c r="AR244" i="19"/>
  <c r="AL178" i="19"/>
  <c r="AO250" i="19"/>
  <c r="AQ478" i="19"/>
  <c r="AL478" i="19"/>
  <c r="AL508" i="19"/>
  <c r="AP310" i="19"/>
  <c r="AN352" i="19"/>
  <c r="AN382" i="19"/>
  <c r="AL520" i="19"/>
  <c r="AR100" i="19"/>
  <c r="AN244" i="19"/>
  <c r="AL496" i="19"/>
  <c r="AP10" i="19"/>
  <c r="AO280" i="19"/>
  <c r="AL424" i="19"/>
  <c r="AO106" i="19"/>
  <c r="AL112" i="19"/>
  <c r="AS34" i="19"/>
  <c r="AM76" i="19"/>
  <c r="AL346" i="19"/>
  <c r="AS454" i="19"/>
  <c r="AP460" i="19"/>
  <c r="AM442" i="19"/>
  <c r="AL514" i="19"/>
  <c r="AR520" i="19"/>
  <c r="AR388" i="19"/>
  <c r="AO538" i="19"/>
  <c r="AN484" i="19"/>
  <c r="AL382" i="19"/>
  <c r="AN286" i="19"/>
  <c r="AM280" i="19"/>
  <c r="AR550" i="19"/>
  <c r="AR418" i="19"/>
  <c r="AO568" i="19"/>
  <c r="AN514" i="19"/>
  <c r="AL412" i="19"/>
  <c r="AN316" i="19"/>
  <c r="AM310" i="19"/>
  <c r="AR532" i="19"/>
  <c r="AR400" i="19"/>
  <c r="AO550" i="19"/>
  <c r="AN496" i="19"/>
  <c r="AL394" i="19"/>
  <c r="AN298" i="19"/>
  <c r="AM292" i="19"/>
  <c r="AP496" i="19"/>
  <c r="AO448" i="19"/>
  <c r="AN394" i="19"/>
  <c r="AS274" i="19"/>
  <c r="AM370" i="19"/>
  <c r="AP214" i="19"/>
  <c r="AM316" i="19"/>
  <c r="AL214" i="19"/>
  <c r="AQ286" i="19"/>
  <c r="AS412" i="19"/>
  <c r="AR412" i="19"/>
  <c r="AO562" i="19"/>
  <c r="AN508" i="19"/>
  <c r="AL406" i="19"/>
  <c r="AM334" i="19"/>
  <c r="AM154" i="19"/>
  <c r="AQ298" i="19"/>
  <c r="AP370" i="19"/>
  <c r="AN526" i="19"/>
  <c r="AM424" i="19"/>
  <c r="AL340" i="19"/>
  <c r="AS340" i="19"/>
  <c r="AR238" i="19"/>
  <c r="AO334" i="19"/>
  <c r="AN184" i="19"/>
  <c r="AN178" i="19"/>
  <c r="AO214" i="19"/>
  <c r="AR310" i="19"/>
  <c r="AQ226" i="19"/>
  <c r="AP250" i="19"/>
  <c r="AR4" i="19"/>
  <c r="AQ130" i="19"/>
  <c r="AP16" i="19"/>
  <c r="AN292" i="19"/>
  <c r="AR370" i="19"/>
  <c r="AS358" i="19"/>
  <c r="AP322" i="19"/>
  <c r="AM400" i="19"/>
  <c r="AS370" i="19"/>
  <c r="AL328" i="19"/>
  <c r="AS328" i="19"/>
  <c r="AM364" i="19"/>
  <c r="AR352" i="19"/>
  <c r="AQ160" i="19"/>
  <c r="AS436" i="19"/>
  <c r="AN556" i="19"/>
  <c r="AL436" i="19"/>
  <c r="AQ184" i="19"/>
  <c r="AN166" i="19"/>
  <c r="AS214" i="19"/>
  <c r="AQ58" i="19"/>
  <c r="AR202" i="19"/>
  <c r="AN34" i="19"/>
  <c r="AL130" i="19"/>
  <c r="AO244" i="19"/>
  <c r="AO10" i="19"/>
  <c r="AN358" i="19"/>
  <c r="AO136" i="19"/>
  <c r="AL124" i="19"/>
  <c r="AQ484" i="19"/>
  <c r="AR58" i="19"/>
  <c r="AO130" i="19"/>
  <c r="AL94" i="19"/>
  <c r="AR10" i="19"/>
  <c r="AO112" i="19"/>
  <c r="AN196" i="19"/>
  <c r="AN202" i="19"/>
  <c r="AN256" i="19"/>
  <c r="AP346" i="19"/>
  <c r="AO118" i="19"/>
  <c r="AQ154" i="19"/>
  <c r="AL82" i="19"/>
  <c r="AL208" i="19"/>
  <c r="AO148" i="19"/>
  <c r="AS136" i="19"/>
  <c r="AM436" i="19"/>
  <c r="AP436" i="19"/>
  <c r="AL484" i="19"/>
  <c r="AS388" i="19"/>
  <c r="AL184" i="19"/>
  <c r="AS232" i="19"/>
  <c r="AQ82" i="19"/>
  <c r="AQ214" i="19"/>
  <c r="AM172" i="19"/>
  <c r="AM94" i="19"/>
  <c r="AO514" i="19"/>
  <c r="AR88" i="19"/>
  <c r="AQ280" i="19"/>
  <c r="AL352" i="19"/>
  <c r="AQ64" i="19"/>
  <c r="AS76" i="19"/>
  <c r="AN142" i="19"/>
  <c r="AR508" i="19"/>
  <c r="AO526" i="19"/>
  <c r="AN472" i="19"/>
  <c r="AL370" i="19"/>
  <c r="AS562" i="19"/>
  <c r="AO394" i="19"/>
  <c r="AM550" i="19"/>
  <c r="AQ574" i="19"/>
  <c r="AO424" i="19"/>
  <c r="AN370" i="19"/>
  <c r="AM166" i="19"/>
  <c r="AL286" i="19"/>
  <c r="AO406" i="19"/>
  <c r="AM562" i="19"/>
  <c r="AL268" i="19"/>
  <c r="AR526" i="19"/>
  <c r="AL304" i="19"/>
  <c r="AQ352" i="19"/>
  <c r="AP556" i="19"/>
  <c r="AO508" i="19"/>
  <c r="AN454" i="19"/>
  <c r="AS304" i="19"/>
  <c r="AR280" i="19"/>
  <c r="AM376" i="19"/>
  <c r="AP244" i="19"/>
  <c r="AS442" i="19"/>
  <c r="AM430" i="19"/>
  <c r="AS316" i="19"/>
  <c r="AR292" i="19"/>
  <c r="AQ466" i="19"/>
  <c r="AP256" i="19"/>
  <c r="AS460" i="19"/>
  <c r="AM448" i="19"/>
  <c r="AL568" i="19"/>
  <c r="AP280" i="19"/>
  <c r="AR190" i="19"/>
  <c r="AR22" i="19"/>
  <c r="AQ148" i="19"/>
  <c r="AN172" i="19"/>
  <c r="AP34" i="19"/>
  <c r="AS472" i="19"/>
  <c r="AM256" i="19"/>
  <c r="AL232" i="19"/>
  <c r="AR286" i="19"/>
  <c r="AQ88" i="19"/>
  <c r="AQ112" i="19"/>
  <c r="AQ412" i="19"/>
  <c r="AR358" i="19"/>
  <c r="AQ274" i="19"/>
  <c r="AP298" i="19"/>
  <c r="AR172" i="19"/>
  <c r="AR34" i="19"/>
  <c r="AR166" i="19"/>
  <c r="AP46" i="19"/>
  <c r="AL550" i="19"/>
  <c r="AM322" i="19"/>
  <c r="AS298" i="19"/>
  <c r="AR232" i="19"/>
  <c r="AR142" i="19"/>
  <c r="AM208" i="19"/>
  <c r="AQ364" i="19"/>
  <c r="AQ40" i="19"/>
  <c r="AP382" i="19"/>
  <c r="AM352" i="19"/>
  <c r="AS292" i="19"/>
  <c r="AN262" i="19"/>
  <c r="AL64" i="19"/>
  <c r="AS16" i="19"/>
  <c r="AP178" i="19"/>
  <c r="AN160" i="19"/>
  <c r="AO28" i="19"/>
  <c r="AL46" i="19"/>
  <c r="AN52" i="19"/>
  <c r="AR40" i="19"/>
  <c r="AS88" i="19"/>
  <c r="AS40" i="19"/>
  <c r="AL28" i="19"/>
  <c r="AQ310" i="19"/>
  <c r="AR16" i="19"/>
  <c r="AP70" i="19"/>
  <c r="AQ232" i="19"/>
  <c r="AP22" i="19"/>
  <c r="AN148" i="19"/>
  <c r="AN22" i="19"/>
  <c r="AN100" i="19"/>
  <c r="AO196" i="19"/>
  <c r="AO4" i="19"/>
  <c r="AS10" i="19"/>
  <c r="AN4" i="19"/>
  <c r="AN58" i="19"/>
  <c r="AO358" i="19"/>
  <c r="AM82" i="19"/>
  <c r="AL70" i="19"/>
  <c r="AS550" i="19"/>
  <c r="AS430" i="19"/>
  <c r="AM418" i="19"/>
  <c r="AQ556" i="19"/>
  <c r="AM226" i="19"/>
  <c r="AM118" i="19"/>
  <c r="AM286" i="19"/>
  <c r="AO364" i="19"/>
  <c r="AS196" i="19"/>
  <c r="AO298" i="19"/>
  <c r="AO208" i="19"/>
  <c r="AR304" i="19"/>
  <c r="AP544" i="19"/>
  <c r="AL76" i="19"/>
  <c r="AN226" i="19"/>
  <c r="AS142" i="19"/>
  <c r="AP4" i="19"/>
  <c r="AP490" i="19"/>
  <c r="AS406" i="19"/>
  <c r="AP412" i="19"/>
  <c r="AN568" i="19"/>
  <c r="AM394" i="19"/>
  <c r="AL466" i="19"/>
  <c r="AP538" i="19"/>
  <c r="AO490" i="19"/>
  <c r="AN436" i="19"/>
  <c r="AR502" i="19"/>
  <c r="AO520" i="19"/>
  <c r="AN466" i="19"/>
  <c r="AQ508" i="19"/>
  <c r="AM262" i="19"/>
  <c r="AQ442" i="19"/>
  <c r="AP550" i="19"/>
  <c r="AO502" i="19"/>
  <c r="AN448" i="19"/>
  <c r="AM244" i="19"/>
  <c r="AL364" i="19"/>
  <c r="AS520" i="19"/>
  <c r="AR460" i="19"/>
  <c r="AM508" i="19"/>
  <c r="AM184" i="19"/>
  <c r="AS226" i="19"/>
  <c r="AP166" i="19"/>
  <c r="AL544" i="19"/>
  <c r="AN322" i="19"/>
  <c r="AL322" i="19"/>
  <c r="AQ406" i="19"/>
  <c r="AQ238" i="19"/>
  <c r="AP340" i="19"/>
  <c r="AS574" i="19"/>
  <c r="AR514" i="19"/>
  <c r="AP514" i="19"/>
  <c r="AO466" i="19"/>
  <c r="AQ502" i="19"/>
  <c r="AQ250" i="19"/>
  <c r="AP352" i="19"/>
  <c r="AP532" i="19"/>
  <c r="AO484" i="19"/>
  <c r="AN430" i="19"/>
  <c r="AS490" i="19"/>
  <c r="AO400" i="19"/>
  <c r="AS262" i="19"/>
  <c r="AP226" i="19"/>
  <c r="AM136" i="19"/>
  <c r="AR118" i="19"/>
  <c r="AP130" i="19"/>
  <c r="AQ526" i="19"/>
  <c r="AM190" i="19"/>
  <c r="AL166" i="19"/>
  <c r="AQ418" i="19"/>
  <c r="AM298" i="19"/>
  <c r="AS280" i="19"/>
  <c r="AQ220" i="19"/>
  <c r="AM148" i="19"/>
  <c r="AR130" i="19"/>
  <c r="AP142" i="19"/>
  <c r="AL454" i="19"/>
  <c r="AL226" i="19"/>
  <c r="AM250" i="19"/>
  <c r="AQ532" i="19"/>
  <c r="AQ76" i="19"/>
  <c r="AP574" i="19"/>
  <c r="AO352" i="19"/>
  <c r="AO418" i="19"/>
  <c r="AQ454" i="19"/>
  <c r="AP184" i="19"/>
  <c r="AR136" i="19"/>
  <c r="AM4" i="19"/>
  <c r="AQ358" i="19"/>
  <c r="AP100" i="19"/>
  <c r="AO124" i="19"/>
  <c r="AS52" i="19"/>
  <c r="AR184" i="19"/>
  <c r="AL244" i="19"/>
  <c r="AO184" i="19"/>
  <c r="AO286" i="19"/>
  <c r="AN274" i="19"/>
  <c r="AO88" i="19"/>
  <c r="AL10" i="19"/>
  <c r="AS4" i="19"/>
  <c r="AM64" i="19"/>
  <c r="AO238" i="19"/>
  <c r="AO82" i="19"/>
  <c r="AN28" i="19"/>
  <c r="AN82" i="19"/>
  <c r="AM52" i="19"/>
  <c r="AR226" i="19"/>
  <c r="AQ136" i="19"/>
  <c r="AO64" i="19"/>
  <c r="AN124" i="19"/>
  <c r="AO154" i="19"/>
  <c r="AR64" i="19"/>
  <c r="AO274" i="19"/>
  <c r="AN76" i="19"/>
  <c r="AP76" i="19"/>
  <c r="AQ22" i="19"/>
  <c r="AO22" i="19"/>
  <c r="AN40" i="19"/>
  <c r="AL142" i="19"/>
  <c r="AO382" i="19"/>
  <c r="AS286" i="19"/>
  <c r="AO100" i="19"/>
  <c r="G589" i="18" l="1"/>
  <c r="H589" i="18"/>
  <c r="C589" i="18"/>
  <c r="E589" i="18"/>
  <c r="F589" i="18"/>
  <c r="G593" i="18"/>
  <c r="H592" i="18"/>
  <c r="J592" i="18"/>
  <c r="C593" i="18"/>
  <c r="I589" i="18"/>
  <c r="J589" i="18"/>
  <c r="I592" i="18"/>
  <c r="D593" i="18"/>
  <c r="I593" i="18"/>
  <c r="H593" i="18"/>
  <c r="E593" i="18"/>
  <c r="D589" i="18"/>
  <c r="E592" i="18"/>
  <c r="C592" i="18"/>
  <c r="D594" i="18"/>
  <c r="C594" i="18"/>
  <c r="J594" i="18"/>
  <c r="H594" i="18"/>
  <c r="D592" i="18"/>
  <c r="E594" i="18"/>
  <c r="F594" i="18"/>
  <c r="G594" i="18"/>
  <c r="F592" i="18"/>
  <c r="G592" i="18"/>
  <c r="F593" i="18"/>
  <c r="J593" i="18"/>
  <c r="I594" i="18"/>
  <c r="D595" i="18"/>
  <c r="D591" i="18"/>
  <c r="I595" i="18"/>
  <c r="I591" i="18"/>
  <c r="J595" i="18"/>
  <c r="J591" i="18"/>
  <c r="F591" i="18"/>
  <c r="F595" i="18"/>
  <c r="J597" i="18"/>
  <c r="D597" i="18"/>
  <c r="J586" i="19"/>
  <c r="J590" i="19"/>
  <c r="F592" i="19"/>
  <c r="G597" i="19"/>
  <c r="I597" i="18"/>
  <c r="C595" i="18"/>
  <c r="C591" i="18"/>
  <c r="I596" i="18"/>
  <c r="I600" i="18"/>
  <c r="E596" i="19"/>
  <c r="E600" i="19"/>
  <c r="J592" i="19"/>
  <c r="F597" i="19"/>
  <c r="F588" i="19"/>
  <c r="F597" i="18"/>
  <c r="G598" i="18"/>
  <c r="C600" i="19"/>
  <c r="C596" i="19"/>
  <c r="F598" i="19"/>
  <c r="E595" i="18"/>
  <c r="E591" i="18"/>
  <c r="J596" i="18"/>
  <c r="J600" i="18"/>
  <c r="E597" i="18"/>
  <c r="C597" i="18"/>
  <c r="G595" i="18"/>
  <c r="G591" i="18"/>
  <c r="C600" i="18"/>
  <c r="C596" i="18"/>
  <c r="D598" i="18"/>
  <c r="E595" i="19"/>
  <c r="E591" i="19"/>
  <c r="D600" i="18"/>
  <c r="D596" i="18"/>
  <c r="F598" i="18"/>
  <c r="H591" i="18"/>
  <c r="H595" i="18"/>
  <c r="E596" i="18"/>
  <c r="E600" i="18"/>
  <c r="F595" i="19"/>
  <c r="F591" i="19"/>
  <c r="I597" i="19"/>
  <c r="G600" i="18"/>
  <c r="G596" i="18"/>
  <c r="D599" i="18"/>
  <c r="H596" i="18"/>
  <c r="H600" i="18"/>
  <c r="F596" i="18"/>
  <c r="F600" i="18"/>
  <c r="G597" i="18"/>
  <c r="H597" i="18"/>
  <c r="E598" i="18"/>
  <c r="F600" i="19"/>
  <c r="F596" i="19"/>
  <c r="H598" i="18"/>
  <c r="J598" i="18"/>
  <c r="E599" i="18"/>
  <c r="J599" i="18"/>
  <c r="C595" i="19"/>
  <c r="C591" i="19"/>
  <c r="H591" i="19"/>
  <c r="H595" i="19"/>
  <c r="E592" i="19"/>
  <c r="H597" i="19"/>
  <c r="J598" i="19"/>
  <c r="I598" i="18"/>
  <c r="C598" i="18"/>
  <c r="F599" i="18"/>
  <c r="J600" i="19"/>
  <c r="J596" i="19"/>
  <c r="D600" i="19"/>
  <c r="D596" i="19"/>
  <c r="H600" i="19"/>
  <c r="H596" i="19"/>
  <c r="D590" i="19"/>
  <c r="D586" i="19"/>
  <c r="F590" i="19"/>
  <c r="F586" i="19"/>
  <c r="F587" i="19"/>
  <c r="F593" i="19"/>
  <c r="H599" i="18"/>
  <c r="I599" i="18"/>
  <c r="C599" i="18"/>
  <c r="J595" i="19"/>
  <c r="J591" i="19"/>
  <c r="G590" i="19"/>
  <c r="G586" i="19"/>
  <c r="I588" i="19"/>
  <c r="C592" i="19"/>
  <c r="H590" i="19"/>
  <c r="H586" i="19"/>
  <c r="E597" i="19"/>
  <c r="G596" i="19"/>
  <c r="G600" i="19"/>
  <c r="I598" i="19"/>
  <c r="G599" i="18"/>
  <c r="D587" i="19"/>
  <c r="D595" i="19"/>
  <c r="D591" i="19"/>
  <c r="C590" i="19"/>
  <c r="C586" i="19"/>
  <c r="E590" i="19"/>
  <c r="E586" i="19"/>
  <c r="J587" i="19"/>
  <c r="C587" i="19"/>
  <c r="C597" i="19"/>
  <c r="G592" i="19"/>
  <c r="H598" i="19"/>
  <c r="J593" i="19"/>
  <c r="H588" i="19"/>
  <c r="C594" i="19"/>
  <c r="J594" i="19"/>
  <c r="G588" i="19"/>
  <c r="H593" i="19"/>
  <c r="H599" i="19"/>
  <c r="C588" i="19"/>
  <c r="C593" i="19"/>
  <c r="E587" i="19"/>
  <c r="I590" i="19"/>
  <c r="I586" i="19"/>
  <c r="I587" i="19"/>
  <c r="D592" i="19"/>
  <c r="E593" i="19"/>
  <c r="H587" i="19"/>
  <c r="I595" i="19"/>
  <c r="I591" i="19"/>
  <c r="I592" i="19"/>
  <c r="D597" i="19"/>
  <c r="G587" i="19"/>
  <c r="H592" i="19"/>
  <c r="I600" i="19"/>
  <c r="I596" i="19"/>
  <c r="J597" i="19"/>
  <c r="H589" i="19"/>
  <c r="H594" i="19"/>
  <c r="E599" i="19"/>
  <c r="G589" i="19"/>
  <c r="I593" i="19"/>
  <c r="C598" i="19"/>
  <c r="E588" i="19"/>
  <c r="C599" i="19"/>
  <c r="F589" i="19"/>
  <c r="F594" i="19"/>
  <c r="G593" i="19"/>
  <c r="E598" i="19"/>
  <c r="G598" i="19"/>
  <c r="J588" i="19"/>
  <c r="D588" i="19"/>
  <c r="D593" i="19"/>
  <c r="D589" i="19"/>
  <c r="F599" i="19"/>
  <c r="G594" i="19"/>
  <c r="I589" i="19"/>
  <c r="D598" i="19"/>
  <c r="D594" i="19"/>
  <c r="E589" i="19"/>
  <c r="G599" i="19"/>
  <c r="I594" i="19"/>
  <c r="D599" i="19"/>
  <c r="E594" i="19"/>
  <c r="I599" i="19"/>
  <c r="J589" i="19"/>
  <c r="C589" i="19"/>
  <c r="J599" i="19"/>
  <c r="G595" i="19"/>
  <c r="G591" i="19"/>
  <c r="G590" i="18"/>
  <c r="C590" i="18"/>
  <c r="G587" i="18"/>
  <c r="C587" i="18"/>
  <c r="C588" i="18"/>
  <c r="G588" i="18"/>
  <c r="C586" i="18"/>
  <c r="D590" i="18"/>
  <c r="D586" i="18"/>
  <c r="E590" i="18"/>
  <c r="E586" i="18"/>
  <c r="F586" i="18"/>
  <c r="F590" i="18"/>
  <c r="G586" i="18"/>
  <c r="H586" i="18"/>
  <c r="H590" i="18"/>
  <c r="I590" i="18"/>
  <c r="I586" i="18"/>
  <c r="J586" i="18"/>
  <c r="J590" i="18"/>
  <c r="E587" i="18"/>
  <c r="F587" i="18"/>
  <c r="D587" i="18"/>
  <c r="H587" i="18"/>
  <c r="I587" i="18"/>
  <c r="J587" i="18"/>
  <c r="D588" i="18"/>
  <c r="I588" i="18"/>
  <c r="J588" i="18"/>
  <c r="E588" i="18"/>
  <c r="H588" i="18"/>
  <c r="F588" i="18"/>
</calcChain>
</file>

<file path=xl/sharedStrings.xml><?xml version="1.0" encoding="utf-8"?>
<sst xmlns="http://schemas.openxmlformats.org/spreadsheetml/2006/main" count="1951" uniqueCount="235">
  <si>
    <t>qp</t>
    <phoneticPr fontId="2" type="noConversion"/>
  </si>
  <si>
    <t>bpp</t>
    <phoneticPr fontId="2" type="noConversion"/>
  </si>
  <si>
    <t>BPG</t>
    <phoneticPr fontId="2" type="noConversion"/>
  </si>
  <si>
    <t>VVC</t>
    <phoneticPr fontId="2" type="noConversion"/>
  </si>
  <si>
    <t>VVC vs. BPG (BD-rate (piecewise cubic))</t>
    <phoneticPr fontId="2" type="noConversion"/>
  </si>
  <si>
    <t>High Bitrate (1.5,1.0,0.5,0.25)</t>
    <phoneticPr fontId="2" type="noConversion"/>
  </si>
  <si>
    <t>Low Bitrate (0.5,0.25,0.12,0.06)</t>
    <phoneticPr fontId="2" type="noConversion"/>
  </si>
  <si>
    <t>Class</t>
    <phoneticPr fontId="2" type="noConversion"/>
  </si>
  <si>
    <t>Image Name</t>
    <phoneticPr fontId="2" type="noConversion"/>
  </si>
  <si>
    <t>Target bpp</t>
    <phoneticPr fontId="2" type="noConversion"/>
  </si>
  <si>
    <t>RGB psnr</t>
    <phoneticPr fontId="2" type="noConversion"/>
  </si>
  <si>
    <t>RGB msssim</t>
    <phoneticPr fontId="2" type="noConversion"/>
  </si>
  <si>
    <t>RGBmsssim(dB)</t>
    <phoneticPr fontId="2" type="noConversion"/>
  </si>
  <si>
    <t>YUV psnr</t>
    <phoneticPr fontId="2" type="noConversion"/>
  </si>
  <si>
    <t>Y msssim</t>
    <phoneticPr fontId="2" type="noConversion"/>
  </si>
  <si>
    <t>Ymsssim(dB)</t>
    <phoneticPr fontId="2" type="noConversion"/>
  </si>
  <si>
    <t>ClassA_6K</t>
    <phoneticPr fontId="2" type="noConversion"/>
  </si>
  <si>
    <t>DOG_4507.png</t>
  </si>
  <si>
    <t xml:space="preserve"> </t>
  </si>
  <si>
    <t xml:space="preserve"> </t>
    <phoneticPr fontId="2" type="noConversion"/>
  </si>
  <si>
    <t>DSC07099.png</t>
  </si>
  <si>
    <t>DSC07705.png</t>
  </si>
  <si>
    <t>DSC08582.png</t>
  </si>
  <si>
    <t>DSC08626.png</t>
  </si>
  <si>
    <t>DSC08672.png</t>
  </si>
  <si>
    <t>DSC08796.png</t>
  </si>
  <si>
    <t>DSC08892.png</t>
  </si>
  <si>
    <t>DSC08902.png</t>
  </si>
  <si>
    <t>DSC08928.png</t>
  </si>
  <si>
    <t>DSC08936.png</t>
  </si>
  <si>
    <t>DSC_3889.png</t>
  </si>
  <si>
    <t>IMG_1813.png</t>
  </si>
  <si>
    <t>IMG_3227.png</t>
  </si>
  <si>
    <t>IMG_3261.png</t>
  </si>
  <si>
    <t>IMG_3412.png</t>
  </si>
  <si>
    <t>IMG_3515.png</t>
  </si>
  <si>
    <t>IMG_3799.png</t>
  </si>
  <si>
    <t>IMG_4684.png</t>
  </si>
  <si>
    <t>IMG_4700.png</t>
  </si>
  <si>
    <t>IMG_6726.png</t>
  </si>
  <si>
    <t>IMG_7136.png</t>
  </si>
  <si>
    <t>IMG_8176.png</t>
  </si>
  <si>
    <t>IMG_8795.png</t>
  </si>
  <si>
    <t>ClassB_4K</t>
    <phoneticPr fontId="2" type="noConversion"/>
  </si>
  <si>
    <t>pexels-photo-1004517_1.png</t>
    <phoneticPr fontId="2" type="noConversion"/>
  </si>
  <si>
    <t>pexels-photo-1111766_1.png</t>
  </si>
  <si>
    <t>pexels-photo-1135448_1.png</t>
  </si>
  <si>
    <t>pexels-photo-1537168_1.png</t>
  </si>
  <si>
    <t>pexels-photo-1559818_1.png</t>
  </si>
  <si>
    <t>pexels-photo-1604141_1.png</t>
  </si>
  <si>
    <t>pexels-photo-1750378_1.png</t>
  </si>
  <si>
    <t>pexels-photo-1769361_1.png</t>
  </si>
  <si>
    <t>pexels-photo-1987174_1.png</t>
  </si>
  <si>
    <t>pexels-photo-212185_1.png</t>
  </si>
  <si>
    <t>pexels-photo-2189665_1.png</t>
  </si>
  <si>
    <t>pexels-photo-2189712_1.png</t>
  </si>
  <si>
    <t>pexels-photo-326916_1.png</t>
  </si>
  <si>
    <t>pexels-photo-376368_1.png</t>
  </si>
  <si>
    <t>pexels-photo-381541_1.png</t>
  </si>
  <si>
    <t>pexels-photo-449011_1.png</t>
  </si>
  <si>
    <t>pexels-photo-548084_1.png</t>
  </si>
  <si>
    <t>pexels-photo-564065_1.png</t>
  </si>
  <si>
    <t>pexels-photo-682361_1.png</t>
  </si>
  <si>
    <t>pexels-photo-70441_1.png</t>
  </si>
  <si>
    <t>pexels-photo-735986_1.png</t>
  </si>
  <si>
    <t>pexels-photo-777155_1.png</t>
  </si>
  <si>
    <t>pexels-photo-816233_1.png</t>
  </si>
  <si>
    <t>pexels-photo-984888_1.png</t>
  </si>
  <si>
    <t>ClassC_2K</t>
    <phoneticPr fontId="2" type="noConversion"/>
  </si>
  <si>
    <t>APC_0001.png</t>
  </si>
  <si>
    <t>APC_0034.png</t>
  </si>
  <si>
    <t>APC_0294.png</t>
  </si>
  <si>
    <t>DSC00969.png</t>
  </si>
  <si>
    <t>DSC01032.png</t>
  </si>
  <si>
    <t>DSC01285.png</t>
  </si>
  <si>
    <t>DSC02166.png</t>
  </si>
  <si>
    <t>DSC02168.png</t>
  </si>
  <si>
    <t>DSC02217.png</t>
  </si>
  <si>
    <t>DSC04565.png</t>
  </si>
  <si>
    <t>DSC04702.png</t>
  </si>
  <si>
    <t>DSC05006.png</t>
  </si>
  <si>
    <t>DSC05199.png</t>
  </si>
  <si>
    <t>DSC05392.png</t>
  </si>
  <si>
    <t>DSC05828.png</t>
  </si>
  <si>
    <t>DSC05885.png</t>
  </si>
  <si>
    <t>DSC06949.png</t>
  </si>
  <si>
    <t>DSC07111.png</t>
  </si>
  <si>
    <t>DSC08090.png</t>
  </si>
  <si>
    <t>DSC08121.png</t>
  </si>
  <si>
    <t>DSC08569.png</t>
  </si>
  <si>
    <t>DSC08723.png</t>
  </si>
  <si>
    <t>DSC08927.png</t>
  </si>
  <si>
    <t>DSC09422.png</t>
  </si>
  <si>
    <t>ClassD_Kodak</t>
    <phoneticPr fontId="2" type="noConversion"/>
  </si>
  <si>
    <t>1.png</t>
  </si>
  <si>
    <t>10.png</t>
  </si>
  <si>
    <t>11.png</t>
  </si>
  <si>
    <t>12.png</t>
  </si>
  <si>
    <t>13.png</t>
  </si>
  <si>
    <t>14.png</t>
  </si>
  <si>
    <t>15.png</t>
  </si>
  <si>
    <t>16.png</t>
  </si>
  <si>
    <t>17.png</t>
  </si>
  <si>
    <t>18.png</t>
  </si>
  <si>
    <t>19.png</t>
  </si>
  <si>
    <t>2.png</t>
  </si>
  <si>
    <t>20.png</t>
  </si>
  <si>
    <t>21.png</t>
  </si>
  <si>
    <t>22.png</t>
  </si>
  <si>
    <t>23.png</t>
  </si>
  <si>
    <t>24.png</t>
  </si>
  <si>
    <t>3.png</t>
  </si>
  <si>
    <t>4.png</t>
  </si>
  <si>
    <t>5.png</t>
  </si>
  <si>
    <t>6.png</t>
  </si>
  <si>
    <t>7.png</t>
  </si>
  <si>
    <t>8.png</t>
  </si>
  <si>
    <t>9.png</t>
  </si>
  <si>
    <t>Average</t>
    <phoneticPr fontId="2" type="noConversion"/>
  </si>
  <si>
    <t>Different Methods vs. BPG (Average BD-rate Reduction)</t>
    <phoneticPr fontId="1" type="noConversion"/>
  </si>
  <si>
    <t>Classes</t>
    <phoneticPr fontId="2" type="noConversion"/>
  </si>
  <si>
    <t>ClassA_6K</t>
  </si>
  <si>
    <t>ClassB_4K</t>
  </si>
  <si>
    <t>ClassC_2K</t>
  </si>
  <si>
    <t>ClassD_Kodak</t>
  </si>
  <si>
    <t>overall</t>
    <phoneticPr fontId="2" type="noConversion"/>
  </si>
  <si>
    <t>VVC</t>
    <phoneticPr fontId="2" type="noConversion"/>
  </si>
  <si>
    <t>lambda</t>
    <phoneticPr fontId="2" type="noConversion"/>
  </si>
  <si>
    <t>Enc time</t>
    <phoneticPr fontId="2" type="noConversion"/>
  </si>
  <si>
    <t>Dec time</t>
    <phoneticPr fontId="2" type="noConversion"/>
  </si>
  <si>
    <t>NIC-0.1(mse)</t>
    <phoneticPr fontId="2" type="noConversion"/>
  </si>
  <si>
    <t>NIC-0.1(msssim)</t>
    <phoneticPr fontId="2" type="noConversion"/>
  </si>
  <si>
    <t>NIC-0.1 (msssim)</t>
    <phoneticPr fontId="2" type="noConversion"/>
  </si>
  <si>
    <t>NIC-0.1 (mse)</t>
    <phoneticPr fontId="2" type="noConversion"/>
  </si>
  <si>
    <t>NIC-0.1 (mse) vs. BPG (BD-rate (piecewise cubic))</t>
    <phoneticPr fontId="2" type="noConversion"/>
  </si>
  <si>
    <t>NIC-0.1 (msssim) vs. BPG (BD-rate (piecewise cubic))</t>
    <phoneticPr fontId="2" type="noConversion"/>
  </si>
  <si>
    <t>NIC-0.1(mse,CfE)</t>
    <phoneticPr fontId="2" type="noConversion"/>
  </si>
  <si>
    <t>NIC-0.1(msssim,CfE)</t>
    <phoneticPr fontId="2" type="noConversion"/>
  </si>
  <si>
    <t>ClassA_6K/DOG_4507</t>
  </si>
  <si>
    <t>ClassA_6K/DSC07099</t>
  </si>
  <si>
    <t>ClassA_6K/DSC07705</t>
  </si>
  <si>
    <t>ClassA_6K/DSC08582</t>
  </si>
  <si>
    <t>ClassA_6K/DSC08626</t>
  </si>
  <si>
    <t>ClassA_6K/DSC08672</t>
  </si>
  <si>
    <t>ClassA_6K/DSC08796</t>
  </si>
  <si>
    <t>ClassA_6K/DSC08892</t>
  </si>
  <si>
    <t>ClassA_6K/DSC08902</t>
  </si>
  <si>
    <t>ClassA_6K/DSC08928</t>
  </si>
  <si>
    <t>ClassA_6K/DSC08936</t>
  </si>
  <si>
    <t>ClassA_6K/DSC_3889</t>
  </si>
  <si>
    <t>ClassA_6K/IMG_1813</t>
  </si>
  <si>
    <t>ClassA_6K/IMG_3227</t>
  </si>
  <si>
    <t>ClassA_6K/IMG_3261</t>
  </si>
  <si>
    <t>ClassA_6K/IMG_3412</t>
  </si>
  <si>
    <t>ClassA_6K/IMG_3515</t>
  </si>
  <si>
    <t>ClassA_6K/IMG_3799</t>
  </si>
  <si>
    <t>ClassA_6K/IMG_4684</t>
  </si>
  <si>
    <t>ClassA_6K/IMG_4700</t>
  </si>
  <si>
    <t>ClassA_6K/IMG_6726</t>
  </si>
  <si>
    <t>ClassA_6K/IMG_7136</t>
  </si>
  <si>
    <t>ClassA_6K/IMG_8176</t>
  </si>
  <si>
    <t>ClassA_6K/IMG_8795</t>
  </si>
  <si>
    <t>ClassB_4K/pexels-photo-1004517_1</t>
  </si>
  <si>
    <t>ClassB_4K/pexels-photo-1111766_1</t>
  </si>
  <si>
    <t>ClassB_4K/pexels-photo-1135448_1</t>
  </si>
  <si>
    <t>ClassB_4K/pexels-photo-1537168_1</t>
  </si>
  <si>
    <t>ClassB_4K/pexels-photo-1559818_1</t>
  </si>
  <si>
    <t>ClassB_4K/pexels-photo-1604141_1</t>
  </si>
  <si>
    <t>ClassB_4K/pexels-photo-1750378_1</t>
  </si>
  <si>
    <t>ClassB_4K/pexels-photo-1769361_1</t>
  </si>
  <si>
    <t>ClassB_4K/pexels-photo-1987174_1</t>
  </si>
  <si>
    <t>ClassB_4K/pexels-photo-212185_1</t>
  </si>
  <si>
    <t>ClassB_4K/pexels-photo-2189665_1</t>
  </si>
  <si>
    <t>ClassB_4K/pexels-photo-2189712_1</t>
  </si>
  <si>
    <t>ClassB_4K/pexels-photo-326916_1</t>
  </si>
  <si>
    <t>ClassB_4K/pexels-photo-376368_1</t>
  </si>
  <si>
    <t>ClassB_4K/pexels-photo-381541_1</t>
  </si>
  <si>
    <t>ClassB_4K/pexels-photo-449011_1</t>
  </si>
  <si>
    <t>ClassB_4K/pexels-photo-548084_1</t>
  </si>
  <si>
    <t>ClassB_4K/pexels-photo-564065_1</t>
  </si>
  <si>
    <t>ClassB_4K/pexels-photo-682361_1</t>
  </si>
  <si>
    <t>ClassB_4K/pexels-photo-70441_1</t>
  </si>
  <si>
    <t>ClassB_4K/pexels-photo-735986_1</t>
  </si>
  <si>
    <t>ClassB_4K/pexels-photo-777155_1</t>
  </si>
  <si>
    <t>ClassB_4K/pexels-photo-816233_1</t>
  </si>
  <si>
    <t>ClassB_4K/pexels-photo-984888_1</t>
  </si>
  <si>
    <t>ClassC_2K/APC_0001</t>
  </si>
  <si>
    <t>ClassC_2K/APC_0034</t>
  </si>
  <si>
    <t>ClassC_2K/APC_0294</t>
  </si>
  <si>
    <t>ClassC_2K/DSC00969</t>
  </si>
  <si>
    <t>ClassC_2K/DSC01032</t>
  </si>
  <si>
    <t>ClassC_2K/DSC01285</t>
  </si>
  <si>
    <t>ClassC_2K/DSC02166</t>
  </si>
  <si>
    <t>ClassC_2K/DSC02168</t>
  </si>
  <si>
    <t>ClassC_2K/DSC02217</t>
  </si>
  <si>
    <t>ClassC_2K/DSC04565</t>
  </si>
  <si>
    <t>ClassC_2K/DSC04702</t>
  </si>
  <si>
    <t>ClassC_2K/DSC05006</t>
  </si>
  <si>
    <t>ClassC_2K/DSC05199</t>
  </si>
  <si>
    <t>ClassC_2K/DSC05392</t>
  </si>
  <si>
    <t>ClassC_2K/DSC05828</t>
  </si>
  <si>
    <t>ClassC_2K/DSC05885</t>
  </si>
  <si>
    <t>ClassC_2K/DSC06949</t>
  </si>
  <si>
    <t>ClassC_2K/DSC07111</t>
  </si>
  <si>
    <t>ClassC_2K/DSC08090</t>
  </si>
  <si>
    <t>ClassC_2K/DSC08121</t>
  </si>
  <si>
    <t>ClassC_2K/DSC08569</t>
  </si>
  <si>
    <t>ClassC_2K/DSC08723</t>
  </si>
  <si>
    <t>ClassC_2K/DSC08927</t>
  </si>
  <si>
    <t>ClassC_2K/DSC09422</t>
  </si>
  <si>
    <t>ClassD_Kodak/1</t>
  </si>
  <si>
    <t>ClassD_Kodak/10</t>
  </si>
  <si>
    <t>ClassD_Kodak/11</t>
  </si>
  <si>
    <t>ClassD_Kodak/12</t>
  </si>
  <si>
    <t>ClassD_Kodak/13</t>
  </si>
  <si>
    <t>ClassD_Kodak/14</t>
  </si>
  <si>
    <t>ClassD_Kodak/15</t>
  </si>
  <si>
    <t>ClassD_Kodak/16</t>
  </si>
  <si>
    <t>ClassD_Kodak/17</t>
  </si>
  <si>
    <t>ClassD_Kodak/18</t>
  </si>
  <si>
    <t>ClassD_Kodak/19</t>
  </si>
  <si>
    <t>ClassD_Kodak/2</t>
  </si>
  <si>
    <t>ClassD_Kodak/20</t>
  </si>
  <si>
    <t>ClassD_Kodak/21</t>
  </si>
  <si>
    <t>ClassD_Kodak/22</t>
  </si>
  <si>
    <t>ClassD_Kodak/23</t>
  </si>
  <si>
    <t>ClassD_Kodak/24</t>
  </si>
  <si>
    <t>ClassD_Kodak/3</t>
  </si>
  <si>
    <t>ClassD_Kodak/4</t>
  </si>
  <si>
    <t>ClassD_Kodak/5</t>
  </si>
  <si>
    <t>ClassD_Kodak/6</t>
  </si>
  <si>
    <t>ClassD_Kodak/7</t>
  </si>
  <si>
    <t>ClassD_Kodak/8</t>
  </si>
  <si>
    <t>ClassD_Kodak/9</t>
  </si>
  <si>
    <t>Methods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</si>
</sst>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%"/>
  </numFmts>
  <fonts count="4">
    <font>
      <sz val="12"/>
      <color theme="1"/>
      <name val="宋体"/>
      <family val="2"/>
      <scheme val="minor"/>
    </font>
    <font>
      <sz val="8"/>
      <name val="Calibri"/>
      <family val="2"/>
    </font>
    <font>
      <sz val="9"/>
      <name val="宋体"/>
      <family val="3"/>
      <charset val="134"/>
      <scheme val="minor"/>
    </font>
    <font>
      <sz val="12"/>
      <color theme="1"/>
      <name val="Arial Unicode MS"/>
      <family val="2"/>
      <charset val="134"/>
    </font>
  </fonts>
  <fills count="2">
    <fill>
      <patternFill patternType="none"/>
    </fill>
    <fill>
      <patternFill patternType="gray125"/>
    </fill>
  </fills>
  <borders count="1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53">
    <xf numFmtId="0" fontId="0" fillId="0" borderId="0" xfId="0"/>
    <xf numFmtId="0" fontId="0" fillId="0" borderId="0" xfId="0" applyBorder="1"/>
    <xf numFmtId="0" fontId="0" fillId="0" borderId="0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6" xfId="0" applyBorder="1" applyAlignment="1">
      <alignment horizont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176" fontId="0" fillId="0" borderId="0" xfId="0" applyNumberFormat="1" applyBorder="1" applyAlignment="1">
      <alignment horizontal="center" vertical="center"/>
    </xf>
    <xf numFmtId="176" fontId="0" fillId="0" borderId="5" xfId="0" applyNumberFormat="1" applyBorder="1" applyAlignment="1">
      <alignment horizontal="center" vertical="center"/>
    </xf>
    <xf numFmtId="176" fontId="0" fillId="0" borderId="6" xfId="0" applyNumberFormat="1" applyBorder="1" applyAlignment="1">
      <alignment horizontal="center" vertical="center"/>
    </xf>
    <xf numFmtId="0" fontId="0" fillId="0" borderId="2" xfId="0" applyBorder="1"/>
    <xf numFmtId="0" fontId="0" fillId="0" borderId="4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3" xfId="0" applyBorder="1"/>
    <xf numFmtId="0" fontId="0" fillId="0" borderId="4" xfId="0" applyBorder="1"/>
    <xf numFmtId="176" fontId="0" fillId="0" borderId="2" xfId="0" applyNumberFormat="1" applyBorder="1" applyAlignment="1">
      <alignment horizontal="center" vertical="center"/>
    </xf>
    <xf numFmtId="176" fontId="0" fillId="0" borderId="3" xfId="0" applyNumberFormat="1" applyBorder="1" applyAlignment="1">
      <alignment horizontal="center" vertical="center"/>
    </xf>
    <xf numFmtId="176" fontId="0" fillId="0" borderId="4" xfId="0" applyNumberFormat="1" applyBorder="1" applyAlignment="1">
      <alignment horizontal="center" vertic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3" fillId="0" borderId="0" xfId="0" applyFont="1" applyBorder="1" applyAlignment="1">
      <alignment horizontal="center" vertical="center"/>
    </xf>
    <xf numFmtId="176" fontId="0" fillId="0" borderId="3" xfId="0" applyNumberFormat="1" applyBorder="1"/>
    <xf numFmtId="176" fontId="0" fillId="0" borderId="4" xfId="0" applyNumberFormat="1" applyBorder="1"/>
    <xf numFmtId="176" fontId="0" fillId="0" borderId="0" xfId="0" applyNumberFormat="1" applyBorder="1"/>
    <xf numFmtId="176" fontId="0" fillId="0" borderId="6" xfId="0" applyNumberFormat="1" applyBorder="1"/>
    <xf numFmtId="176" fontId="0" fillId="0" borderId="8" xfId="0" applyNumberFormat="1" applyBorder="1"/>
    <xf numFmtId="176" fontId="0" fillId="0" borderId="9" xfId="0" applyNumberFormat="1" applyBorder="1"/>
    <xf numFmtId="176" fontId="0" fillId="0" borderId="2" xfId="0" applyNumberFormat="1" applyBorder="1"/>
    <xf numFmtId="176" fontId="0" fillId="0" borderId="5" xfId="0" applyNumberFormat="1" applyBorder="1"/>
    <xf numFmtId="176" fontId="0" fillId="0" borderId="7" xfId="0" applyNumberFormat="1" applyBorder="1"/>
    <xf numFmtId="0" fontId="0" fillId="0" borderId="6" xfId="0" applyBorder="1" applyAlignment="1">
      <alignment vertical="center"/>
    </xf>
    <xf numFmtId="0" fontId="0" fillId="0" borderId="1" xfId="0" applyBorder="1"/>
    <xf numFmtId="176" fontId="0" fillId="0" borderId="1" xfId="0" applyNumberFormat="1" applyBorder="1"/>
    <xf numFmtId="176" fontId="0" fillId="0" borderId="10" xfId="0" applyNumberFormat="1" applyBorder="1"/>
    <xf numFmtId="176" fontId="0" fillId="0" borderId="11" xfId="0" applyNumberFormat="1" applyBorder="1"/>
    <xf numFmtId="0" fontId="0" fillId="0" borderId="1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&#21338;&#22763;&#35770;&#25991;\cfe&#27979;&#35797;&#25991;&#20214;\&#27979;&#35797;&#32467;&#26524;\CFE&#27979;&#35797;&#32467;&#26524;&#27719;&#24635;m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>
        <row r="8">
          <cell r="C8">
            <v>3.5958948135375901</v>
          </cell>
          <cell r="D8">
            <v>47.485572814941399</v>
          </cell>
          <cell r="F8">
            <v>31.230759104449795</v>
          </cell>
          <cell r="H8">
            <v>1.92795026302337</v>
          </cell>
          <cell r="I8">
            <v>41.812629699707003</v>
          </cell>
          <cell r="K8">
            <v>25.302024421242617</v>
          </cell>
          <cell r="M8">
            <v>0.98947215080261197</v>
          </cell>
          <cell r="N8">
            <v>38.436038970947202</v>
          </cell>
          <cell r="P8">
            <v>20.834677165931545</v>
          </cell>
          <cell r="R8">
            <v>0.49790799617767301</v>
          </cell>
          <cell r="S8">
            <v>35.923065185546797</v>
          </cell>
          <cell r="U8">
            <v>16.830121298249658</v>
          </cell>
          <cell r="W8">
            <v>0.23832404613494801</v>
          </cell>
          <cell r="X8">
            <v>33.160087585449197</v>
          </cell>
          <cell r="Z8">
            <v>13.044353051242901</v>
          </cell>
          <cell r="AB8">
            <v>0.111079722642898</v>
          </cell>
          <cell r="AC8">
            <v>28.8057537078857</v>
          </cell>
          <cell r="AE8">
            <v>8.8082843037130711</v>
          </cell>
        </row>
        <row r="9">
          <cell r="C9">
            <v>3.1967523097991899</v>
          </cell>
          <cell r="D9">
            <v>55.153968811035099</v>
          </cell>
          <cell r="F9">
            <v>35.221170545944801</v>
          </cell>
          <cell r="H9">
            <v>1.84130311012268</v>
          </cell>
          <cell r="I9">
            <v>50.630027770996001</v>
          </cell>
          <cell r="K9">
            <v>31.040143802768458</v>
          </cell>
          <cell r="M9">
            <v>0.89908456802368097</v>
          </cell>
          <cell r="N9">
            <v>47.293933868408203</v>
          </cell>
          <cell r="P9">
            <v>27.31708219471134</v>
          </cell>
          <cell r="R9">
            <v>0.46485185623168901</v>
          </cell>
          <cell r="S9">
            <v>44.903152465820298</v>
          </cell>
          <cell r="U9">
            <v>24.183160465722921</v>
          </cell>
          <cell r="W9">
            <v>0.24314774572849199</v>
          </cell>
          <cell r="X9">
            <v>42.919002532958899</v>
          </cell>
          <cell r="Z9">
            <v>21.722837606329136</v>
          </cell>
          <cell r="AB9">
            <v>0.11968947947025201</v>
          </cell>
          <cell r="AC9">
            <v>38.887870788574197</v>
          </cell>
          <cell r="AE9">
            <v>17.518932632823688</v>
          </cell>
        </row>
        <row r="15">
          <cell r="C15">
            <v>3.8887739181518501</v>
          </cell>
          <cell r="D15">
            <v>42.9622383117675</v>
          </cell>
          <cell r="F15">
            <v>31.461905806810677</v>
          </cell>
          <cell r="H15">
            <v>1.9362633228302</v>
          </cell>
          <cell r="I15">
            <v>36.702117919921797</v>
          </cell>
          <cell r="K15">
            <v>24.8050517112131</v>
          </cell>
          <cell r="M15">
            <v>0.99250435829162498</v>
          </cell>
          <cell r="N15">
            <v>32.7702026367187</v>
          </cell>
          <cell r="P15">
            <v>19.3818708330028</v>
          </cell>
          <cell r="R15">
            <v>0.47886532545089699</v>
          </cell>
          <cell r="S15">
            <v>29.363386154174801</v>
          </cell>
          <cell r="U15">
            <v>13.928833825944483</v>
          </cell>
          <cell r="W15">
            <v>0.23100399971008301</v>
          </cell>
          <cell r="X15">
            <v>26.198234558105401</v>
          </cell>
          <cell r="Z15">
            <v>9.516421947685572</v>
          </cell>
          <cell r="AB15">
            <v>8.4553666412830297E-2</v>
          </cell>
          <cell r="AC15">
            <v>21.732225418090799</v>
          </cell>
          <cell r="AE15">
            <v>4.8842229656232288</v>
          </cell>
        </row>
        <row r="17">
          <cell r="C17">
            <v>3.4409930706024099</v>
          </cell>
          <cell r="D17">
            <v>50.0506782531738</v>
          </cell>
          <cell r="F17">
            <v>31.282270058806695</v>
          </cell>
          <cell r="H17">
            <v>1.8139100074768</v>
          </cell>
          <cell r="I17">
            <v>44.682605743408203</v>
          </cell>
          <cell r="K17">
            <v>25.794155505991021</v>
          </cell>
          <cell r="M17">
            <v>0.99385166168212802</v>
          </cell>
          <cell r="N17">
            <v>42.262443542480398</v>
          </cell>
          <cell r="P17">
            <v>22.512641352190528</v>
          </cell>
          <cell r="R17">
            <v>0.49749866127967801</v>
          </cell>
          <cell r="S17">
            <v>40.1756172180175</v>
          </cell>
          <cell r="U17">
            <v>19.047481938890812</v>
          </cell>
          <cell r="W17">
            <v>0.24713799357414201</v>
          </cell>
          <cell r="X17">
            <v>38.098091125488203</v>
          </cell>
          <cell r="Z17">
            <v>15.934141489680156</v>
          </cell>
          <cell r="AB17">
            <v>0.117293663322925</v>
          </cell>
          <cell r="AC17">
            <v>34.712078094482401</v>
          </cell>
          <cell r="AE17">
            <v>11.610274634952937</v>
          </cell>
        </row>
        <row r="32">
          <cell r="C32">
            <v>3.9843999999999999</v>
          </cell>
          <cell r="D32">
            <v>51.329099999999997</v>
          </cell>
          <cell r="F32">
            <v>32.218487496163235</v>
          </cell>
          <cell r="H32">
            <v>1.8620000000000001</v>
          </cell>
          <cell r="I32">
            <v>45.601900000000001</v>
          </cell>
          <cell r="K32">
            <v>26.020599913279717</v>
          </cell>
          <cell r="M32">
            <v>0.98860000000000003</v>
          </cell>
          <cell r="N32">
            <v>41.746899999999997</v>
          </cell>
          <cell r="P32">
            <v>21.366771398795457</v>
          </cell>
          <cell r="R32">
            <v>0.42549999999999999</v>
          </cell>
          <cell r="S32">
            <v>38.400700000000001</v>
          </cell>
          <cell r="U32">
            <v>17.281583934634998</v>
          </cell>
          <cell r="W32">
            <v>0.24529999999999999</v>
          </cell>
          <cell r="X32">
            <v>36.823399999999999</v>
          </cell>
          <cell r="Z32">
            <v>15.466816599529627</v>
          </cell>
          <cell r="AB32">
            <v>0.10680000000000001</v>
          </cell>
          <cell r="AC32">
            <v>34.521799999999999</v>
          </cell>
          <cell r="AE32">
            <v>13.353580244438742</v>
          </cell>
        </row>
        <row r="33">
          <cell r="C33">
            <v>3.8450000000000002</v>
          </cell>
          <cell r="D33">
            <v>57.642200000000003</v>
          </cell>
          <cell r="F33">
            <v>36.989700043360671</v>
          </cell>
          <cell r="H33">
            <v>1.883</v>
          </cell>
          <cell r="I33">
            <v>53.577500000000001</v>
          </cell>
          <cell r="K33">
            <v>31.549019599857221</v>
          </cell>
          <cell r="M33">
            <v>0.89590000000000003</v>
          </cell>
          <cell r="N33">
            <v>50.375999999999998</v>
          </cell>
          <cell r="P33">
            <v>26.777807052660826</v>
          </cell>
          <cell r="R33">
            <v>0.48649999999999999</v>
          </cell>
          <cell r="S33">
            <v>48.182600000000001</v>
          </cell>
          <cell r="U33">
            <v>23.872161432802656</v>
          </cell>
          <cell r="W33">
            <v>0.2492</v>
          </cell>
          <cell r="X33">
            <v>46.109299999999998</v>
          </cell>
          <cell r="Z33">
            <v>22.291479883578546</v>
          </cell>
          <cell r="AB33">
            <v>0.1134</v>
          </cell>
          <cell r="AC33">
            <v>43.325800000000001</v>
          </cell>
          <cell r="AE33">
            <v>21.249387366083027</v>
          </cell>
        </row>
        <row r="39">
          <cell r="C39">
            <v>3.8622999999999998</v>
          </cell>
          <cell r="D39">
            <v>45.657699999999998</v>
          </cell>
          <cell r="F39">
            <v>29.999999999999996</v>
          </cell>
          <cell r="H39">
            <v>1.7966</v>
          </cell>
          <cell r="I39">
            <v>39.104199999999999</v>
          </cell>
          <cell r="K39">
            <v>22.757241303992135</v>
          </cell>
          <cell r="M39">
            <v>0.90100000000000002</v>
          </cell>
          <cell r="N39">
            <v>34.795499999999997</v>
          </cell>
          <cell r="P39">
            <v>17.878123955960426</v>
          </cell>
          <cell r="R39">
            <v>0.46989999999999998</v>
          </cell>
          <cell r="S39">
            <v>31.571000000000002</v>
          </cell>
          <cell r="U39">
            <v>14.067139329795426</v>
          </cell>
          <cell r="W39">
            <v>0.223</v>
          </cell>
          <cell r="X39">
            <v>28.637499999999999</v>
          </cell>
          <cell r="Z39">
            <v>10.690509688324767</v>
          </cell>
          <cell r="AB39">
            <v>0.113</v>
          </cell>
          <cell r="AC39">
            <v>26.5379</v>
          </cell>
          <cell r="AE39">
            <v>8.317972531573691</v>
          </cell>
        </row>
        <row r="41">
          <cell r="C41">
            <v>3.6709000000000001</v>
          </cell>
          <cell r="D41">
            <v>52.698500000000003</v>
          </cell>
          <cell r="F41">
            <v>32.218487496163235</v>
          </cell>
          <cell r="H41">
            <v>1.8626</v>
          </cell>
          <cell r="I41">
            <v>48.159300000000002</v>
          </cell>
          <cell r="K41">
            <v>27.212463990471679</v>
          </cell>
          <cell r="M41">
            <v>0.89529999999999998</v>
          </cell>
          <cell r="N41">
            <v>44.310099999999998</v>
          </cell>
          <cell r="P41">
            <v>22.596373105057602</v>
          </cell>
          <cell r="R41">
            <v>0.4491</v>
          </cell>
          <cell r="S41">
            <v>42.090800000000002</v>
          </cell>
          <cell r="U41">
            <v>19.586073148417746</v>
          </cell>
          <cell r="W41">
            <v>0.22570000000000001</v>
          </cell>
          <cell r="X41">
            <v>40.741900000000001</v>
          </cell>
          <cell r="Z41">
            <v>17.798919119599464</v>
          </cell>
          <cell r="AB41">
            <v>0.112</v>
          </cell>
          <cell r="AC41">
            <v>39.385399999999997</v>
          </cell>
          <cell r="AE41">
            <v>16.179829574251315</v>
          </cell>
        </row>
        <row r="56">
          <cell r="C56">
            <v>3.7747409343719398</v>
          </cell>
          <cell r="D56">
            <v>52.713382720947202</v>
          </cell>
          <cell r="F56">
            <v>33.970276072606218</v>
          </cell>
          <cell r="H56">
            <v>1.9768970012664699</v>
          </cell>
          <cell r="I56">
            <v>47.630794525146399</v>
          </cell>
          <cell r="K56">
            <v>28.074475423079846</v>
          </cell>
          <cell r="M56">
            <v>0.89510089159011796</v>
          </cell>
          <cell r="N56">
            <v>42.499874114990199</v>
          </cell>
          <cell r="P56">
            <v>21.93994720246355</v>
          </cell>
          <cell r="R56">
            <v>0.47007995843887301</v>
          </cell>
          <cell r="S56">
            <v>39.810317993163999</v>
          </cell>
          <cell r="U56">
            <v>18.40316297964225</v>
          </cell>
          <cell r="W56">
            <v>0.22191996872424999</v>
          </cell>
          <cell r="X56">
            <v>37.625545501708899</v>
          </cell>
          <cell r="Z56">
            <v>15.96396370449558</v>
          </cell>
          <cell r="AB56">
            <v>0.11657503247261</v>
          </cell>
          <cell r="AC56">
            <v>36.095016479492102</v>
          </cell>
          <cell r="AE56">
            <v>14.349911540650071</v>
          </cell>
        </row>
        <row r="57">
          <cell r="C57">
            <v>3.93354868888854</v>
          </cell>
          <cell r="D57">
            <v>58.905281066894503</v>
          </cell>
          <cell r="F57">
            <v>38.299181187715341</v>
          </cell>
          <cell r="H57">
            <v>1.90742540359497</v>
          </cell>
          <cell r="I57">
            <v>54.214744567871001</v>
          </cell>
          <cell r="K57">
            <v>32.422225267375836</v>
          </cell>
          <cell r="M57">
            <v>0.94701212644577004</v>
          </cell>
          <cell r="N57">
            <v>51.200729370117102</v>
          </cell>
          <cell r="P57">
            <v>27.983875942579687</v>
          </cell>
          <cell r="R57">
            <v>0.44732984900474498</v>
          </cell>
          <cell r="S57">
            <v>48.400180816650298</v>
          </cell>
          <cell r="U57">
            <v>24.3165627053957</v>
          </cell>
          <cell r="W57">
            <v>0.22040048241615201</v>
          </cell>
          <cell r="X57">
            <v>46.288116455078097</v>
          </cell>
          <cell r="Z57">
            <v>22.416306077868118</v>
          </cell>
          <cell r="AB57">
            <v>0.115033015608787</v>
          </cell>
          <cell r="AC57">
            <v>44.170173645019503</v>
          </cell>
          <cell r="AE57">
            <v>21.576081057499117</v>
          </cell>
        </row>
        <row r="63">
          <cell r="C63">
            <v>3.9790632724761901</v>
          </cell>
          <cell r="D63">
            <v>47.4836616516113</v>
          </cell>
          <cell r="F63">
            <v>32.075612974472676</v>
          </cell>
          <cell r="H63">
            <v>1.9577389955520601</v>
          </cell>
          <cell r="I63">
            <v>41.068538665771399</v>
          </cell>
          <cell r="K63">
            <v>24.90680547178291</v>
          </cell>
          <cell r="M63">
            <v>0.94206535816192605</v>
          </cell>
          <cell r="N63">
            <v>36.0664863586425</v>
          </cell>
          <cell r="P63">
            <v>18.962893219572262</v>
          </cell>
          <cell r="R63">
            <v>0.44060334563255299</v>
          </cell>
          <cell r="S63">
            <v>32.191551208496001</v>
          </cell>
          <cell r="U63">
            <v>14.453240055940693</v>
          </cell>
          <cell r="W63">
            <v>0.24930067360401101</v>
          </cell>
          <cell r="X63">
            <v>29.840467453002901</v>
          </cell>
          <cell r="Z63">
            <v>11.765947999672328</v>
          </cell>
          <cell r="AB63">
            <v>0.111574999988079</v>
          </cell>
          <cell r="AC63">
            <v>27.157594680786101</v>
          </cell>
          <cell r="AE63">
            <v>8.7448486785382151</v>
          </cell>
        </row>
        <row r="65">
          <cell r="C65">
            <v>3.7537095546722399</v>
          </cell>
          <cell r="D65">
            <v>53.9568061828613</v>
          </cell>
          <cell r="F65">
            <v>33.747479836066987</v>
          </cell>
          <cell r="H65">
            <v>1.8829250335693299</v>
          </cell>
          <cell r="I65">
            <v>49.324607849121001</v>
          </cell>
          <cell r="K65">
            <v>28.42792965298019</v>
          </cell>
          <cell r="M65">
            <v>0.863594651222229</v>
          </cell>
          <cell r="N65">
            <v>44.916080474853501</v>
          </cell>
          <cell r="P65">
            <v>23.123383970167186</v>
          </cell>
          <cell r="R65">
            <v>0.47727334499359098</v>
          </cell>
          <cell r="S65">
            <v>42.805107116699197</v>
          </cell>
          <cell r="U65">
            <v>20.387954582712627</v>
          </cell>
          <cell r="W65">
            <v>0.20840366184711401</v>
          </cell>
          <cell r="X65">
            <v>41.125862121582003</v>
          </cell>
          <cell r="Z65">
            <v>18.018675235193673</v>
          </cell>
          <cell r="AB65">
            <v>0.11216200143098801</v>
          </cell>
          <cell r="AC65">
            <v>40.0704345703125</v>
          </cell>
          <cell r="AE65">
            <v>16.738827341648562</v>
          </cell>
        </row>
        <row r="80">
          <cell r="C80">
            <v>4.5583</v>
          </cell>
          <cell r="D80">
            <v>53.859900000000003</v>
          </cell>
          <cell r="F80">
            <v>35.228787452803857</v>
          </cell>
          <cell r="H80">
            <v>2.2784</v>
          </cell>
          <cell r="I80">
            <v>47.069000000000003</v>
          </cell>
          <cell r="K80">
            <v>27.69551078621717</v>
          </cell>
          <cell r="M80">
            <v>1.1388</v>
          </cell>
          <cell r="N80">
            <v>42.506900000000002</v>
          </cell>
          <cell r="P80">
            <v>22.596373105057602</v>
          </cell>
          <cell r="R80">
            <v>0.56989999999999996</v>
          </cell>
          <cell r="S80">
            <v>39.172600000000003</v>
          </cell>
          <cell r="U80">
            <v>18.210230527068305</v>
          </cell>
          <cell r="W80">
            <v>0.28510000000000002</v>
          </cell>
          <cell r="X80">
            <v>36.373699999999999</v>
          </cell>
          <cell r="Z80">
            <v>15.016894462103998</v>
          </cell>
          <cell r="AB80">
            <v>0.1363</v>
          </cell>
          <cell r="AC80">
            <v>33.851500000000001</v>
          </cell>
          <cell r="AE80">
            <v>13.010299956639809</v>
          </cell>
        </row>
        <row r="81">
          <cell r="C81">
            <v>4.5622999999999996</v>
          </cell>
          <cell r="D81">
            <v>52.6038</v>
          </cell>
          <cell r="F81">
            <v>35.228787452803857</v>
          </cell>
          <cell r="H81">
            <v>2.2690999999999999</v>
          </cell>
          <cell r="I81">
            <v>53.8003</v>
          </cell>
          <cell r="K81">
            <v>32.218487496163235</v>
          </cell>
          <cell r="M81">
            <v>1.1311</v>
          </cell>
          <cell r="N81">
            <v>50.881700000000002</v>
          </cell>
          <cell r="P81">
            <v>27.69551078621717</v>
          </cell>
          <cell r="R81">
            <v>0.56950000000000001</v>
          </cell>
          <cell r="S81">
            <v>46.882399999999997</v>
          </cell>
          <cell r="U81">
            <v>24.948500216800969</v>
          </cell>
          <cell r="W81">
            <v>0.2828</v>
          </cell>
          <cell r="X81">
            <v>45.398899999999998</v>
          </cell>
          <cell r="Z81">
            <v>22.676062401770345</v>
          </cell>
          <cell r="AB81">
            <v>0.13650000000000001</v>
          </cell>
          <cell r="AC81">
            <v>42.125999999999998</v>
          </cell>
          <cell r="AE81">
            <v>21.611509092627436</v>
          </cell>
        </row>
        <row r="87">
          <cell r="C87">
            <v>4.5435999999999996</v>
          </cell>
          <cell r="D87">
            <v>46.459699999999998</v>
          </cell>
          <cell r="F87">
            <v>33.010299956640296</v>
          </cell>
          <cell r="H87">
            <v>2.2928999999999999</v>
          </cell>
          <cell r="I87">
            <v>39.932899999999997</v>
          </cell>
          <cell r="K87">
            <v>23.979400086720371</v>
          </cell>
          <cell r="M87">
            <v>1.1434</v>
          </cell>
          <cell r="N87">
            <v>35.928899999999999</v>
          </cell>
          <cell r="P87">
            <v>19.66576244513049</v>
          </cell>
          <cell r="R87">
            <v>0.57110000000000005</v>
          </cell>
          <cell r="S87">
            <v>31.807400000000001</v>
          </cell>
          <cell r="U87">
            <v>14.571745730408196</v>
          </cell>
          <cell r="W87">
            <v>0.28489999999999999</v>
          </cell>
          <cell r="X87">
            <v>27.8552</v>
          </cell>
          <cell r="Z87">
            <v>10.793549985932122</v>
          </cell>
          <cell r="AB87">
            <v>0.13700000000000001</v>
          </cell>
          <cell r="AC87">
            <v>25.869299999999999</v>
          </cell>
          <cell r="AE87">
            <v>7.875460389597241</v>
          </cell>
        </row>
        <row r="89">
          <cell r="C89">
            <v>4.5525000000000002</v>
          </cell>
          <cell r="D89">
            <v>55.301499999999997</v>
          </cell>
          <cell r="F89">
            <v>36.989700043360671</v>
          </cell>
          <cell r="H89">
            <v>2.2765</v>
          </cell>
          <cell r="I89">
            <v>49.935000000000002</v>
          </cell>
          <cell r="K89">
            <v>28.860566476931741</v>
          </cell>
          <cell r="M89">
            <v>1.1347</v>
          </cell>
          <cell r="N89">
            <v>45.360900000000001</v>
          </cell>
          <cell r="P89">
            <v>23.979400086720371</v>
          </cell>
          <cell r="R89">
            <v>0.5706</v>
          </cell>
          <cell r="S89">
            <v>42.6614</v>
          </cell>
          <cell r="U89">
            <v>20.506099933550864</v>
          </cell>
          <cell r="W89">
            <v>0.2848</v>
          </cell>
          <cell r="X89">
            <v>40.959400000000002</v>
          </cell>
          <cell r="Z89">
            <v>18.153085691824018</v>
          </cell>
          <cell r="AB89">
            <v>0.1366</v>
          </cell>
          <cell r="AC89">
            <v>38.856400000000001</v>
          </cell>
          <cell r="AE89">
            <v>16.003262785189616</v>
          </cell>
        </row>
        <row r="104">
          <cell r="C104">
            <v>4.1265000000000001</v>
          </cell>
          <cell r="D104">
            <v>45.936599999999999</v>
          </cell>
          <cell r="F104">
            <v>30.457574905606695</v>
          </cell>
          <cell r="H104">
            <v>1.9696</v>
          </cell>
          <cell r="I104">
            <v>41.828800000000001</v>
          </cell>
          <cell r="K104">
            <v>25.52841968657777</v>
          </cell>
          <cell r="M104">
            <v>1.0619000000000001</v>
          </cell>
          <cell r="N104">
            <v>40.246899999999997</v>
          </cell>
          <cell r="P104">
            <v>22.676062401770345</v>
          </cell>
          <cell r="R104">
            <v>0.46500000000000002</v>
          </cell>
          <cell r="S104">
            <v>38.024299999999997</v>
          </cell>
          <cell r="U104">
            <v>17.772835288524153</v>
          </cell>
          <cell r="W104">
            <v>0.22270000000000001</v>
          </cell>
          <cell r="X104">
            <v>35.7592</v>
          </cell>
          <cell r="Z104">
            <v>14.989407377822491</v>
          </cell>
          <cell r="AB104">
            <v>0.1186</v>
          </cell>
          <cell r="AC104">
            <v>33.683799999999998</v>
          </cell>
          <cell r="AE104">
            <v>13.115801779972898</v>
          </cell>
        </row>
        <row r="105">
          <cell r="C105">
            <v>2.9866000000000001</v>
          </cell>
          <cell r="D105">
            <v>47.124499999999998</v>
          </cell>
          <cell r="F105">
            <v>32.218487496163235</v>
          </cell>
          <cell r="H105">
            <v>1.8473999999999999</v>
          </cell>
          <cell r="I105">
            <v>46.945399999999999</v>
          </cell>
          <cell r="K105">
            <v>29.999999999999996</v>
          </cell>
          <cell r="M105">
            <v>1.012</v>
          </cell>
          <cell r="N105">
            <v>43.987000000000002</v>
          </cell>
          <cell r="P105">
            <v>27.69551078621717</v>
          </cell>
          <cell r="R105">
            <v>0.47539999999999999</v>
          </cell>
          <cell r="S105">
            <v>43.488300000000002</v>
          </cell>
          <cell r="U105">
            <v>24.6852108295775</v>
          </cell>
          <cell r="W105">
            <v>0.25259999999999999</v>
          </cell>
          <cell r="X105">
            <v>39.968600000000002</v>
          </cell>
          <cell r="Z105">
            <v>22.0065945054642</v>
          </cell>
          <cell r="AB105">
            <v>0.1154</v>
          </cell>
          <cell r="AC105">
            <v>41.271700000000003</v>
          </cell>
          <cell r="AE105">
            <v>20.861861476162844</v>
          </cell>
        </row>
        <row r="111">
          <cell r="C111">
            <v>4.0289000000000001</v>
          </cell>
          <cell r="D111">
            <v>42.569200000000002</v>
          </cell>
          <cell r="F111">
            <v>30.969100130080438</v>
          </cell>
          <cell r="H111">
            <v>1.9772000000000001</v>
          </cell>
          <cell r="I111">
            <v>36.6629</v>
          </cell>
          <cell r="K111">
            <v>24.814860601221163</v>
          </cell>
          <cell r="M111">
            <v>1.0138</v>
          </cell>
          <cell r="N111">
            <v>35.108699999999999</v>
          </cell>
          <cell r="P111">
            <v>20.222763947111542</v>
          </cell>
          <cell r="R111">
            <v>0.49909999999999999</v>
          </cell>
          <cell r="S111">
            <v>31.79</v>
          </cell>
          <cell r="U111">
            <v>14.762535331884356</v>
          </cell>
          <cell r="W111">
            <v>0.25190000000000001</v>
          </cell>
          <cell r="X111">
            <v>29.040800000000001</v>
          </cell>
          <cell r="Z111">
            <v>11.649438982798836</v>
          </cell>
          <cell r="AB111">
            <v>0.1449</v>
          </cell>
          <cell r="AC111">
            <v>27.069900000000001</v>
          </cell>
          <cell r="AE111">
            <v>9.3817069270530116</v>
          </cell>
        </row>
        <row r="113">
          <cell r="C113">
            <v>3.8822999999999999</v>
          </cell>
          <cell r="D113">
            <v>50.061700000000002</v>
          </cell>
          <cell r="F113">
            <v>32.218487496163235</v>
          </cell>
          <cell r="H113">
            <v>2.0360999999999998</v>
          </cell>
          <cell r="I113">
            <v>44.5807</v>
          </cell>
          <cell r="K113">
            <v>25.686362358410069</v>
          </cell>
          <cell r="M113">
            <v>0.97189999999999999</v>
          </cell>
          <cell r="N113">
            <v>43.914200000000001</v>
          </cell>
          <cell r="P113">
            <v>23.372421683184214</v>
          </cell>
          <cell r="R113">
            <v>0.49830000000000002</v>
          </cell>
          <cell r="S113">
            <v>42.128599999999999</v>
          </cell>
          <cell r="U113">
            <v>20.132282657337534</v>
          </cell>
          <cell r="W113">
            <v>0.24629999999999999</v>
          </cell>
          <cell r="X113">
            <v>40.719200000000001</v>
          </cell>
          <cell r="Z113">
            <v>17.90484985457369</v>
          </cell>
          <cell r="AB113">
            <v>0.12939999999999999</v>
          </cell>
          <cell r="AC113">
            <v>39.102600000000002</v>
          </cell>
          <cell r="AE113">
            <v>15.883802940367691</v>
          </cell>
        </row>
        <row r="129">
          <cell r="C129">
            <v>0.7087</v>
          </cell>
          <cell r="D129">
            <v>38.125300000000003</v>
          </cell>
          <cell r="F129">
            <v>17.825160557860947</v>
          </cell>
          <cell r="H129">
            <v>0.40529999999999999</v>
          </cell>
          <cell r="I129">
            <v>36.4636</v>
          </cell>
          <cell r="K129">
            <v>15.361070110140924</v>
          </cell>
          <cell r="M129">
            <v>0.25530000000000003</v>
          </cell>
          <cell r="N129">
            <v>35.1372</v>
          </cell>
          <cell r="P129">
            <v>13.925449767853317</v>
          </cell>
          <cell r="R129">
            <v>0.1706</v>
          </cell>
          <cell r="S129">
            <v>33.753799999999998</v>
          </cell>
          <cell r="U129">
            <v>12.790142558462612</v>
          </cell>
        </row>
        <row r="130">
          <cell r="C130">
            <v>0.49180000000000001</v>
          </cell>
          <cell r="D130">
            <v>41.422499999999999</v>
          </cell>
          <cell r="F130">
            <v>18.894102897007503</v>
          </cell>
          <cell r="H130">
            <v>0.30590000000000001</v>
          </cell>
          <cell r="I130">
            <v>40.458399999999997</v>
          </cell>
          <cell r="K130">
            <v>17.471469690201062</v>
          </cell>
          <cell r="M130">
            <v>0.2011</v>
          </cell>
          <cell r="N130">
            <v>38.6235</v>
          </cell>
          <cell r="P130">
            <v>16.363880201078555</v>
          </cell>
          <cell r="R130">
            <v>0.13250000000000001</v>
          </cell>
          <cell r="S130">
            <v>37.235700000000001</v>
          </cell>
          <cell r="U130">
            <v>15.243288116755698</v>
          </cell>
        </row>
        <row r="136">
          <cell r="C136">
            <v>1.0882000000000001</v>
          </cell>
          <cell r="D136">
            <v>34.610799999999998</v>
          </cell>
          <cell r="F136">
            <v>19.956786262173576</v>
          </cell>
          <cell r="M136">
            <v>0.48259999999999997</v>
          </cell>
          <cell r="N136">
            <v>30.953499999999998</v>
          </cell>
          <cell r="P136">
            <v>14.294570601181025</v>
          </cell>
          <cell r="R136">
            <v>0.309</v>
          </cell>
          <cell r="S136">
            <v>29.0715</v>
          </cell>
          <cell r="U136">
            <v>11.985962899826447</v>
          </cell>
          <cell r="W136">
            <v>0.106</v>
          </cell>
          <cell r="X136">
            <v>25.628900000000002</v>
          </cell>
          <cell r="Z136">
            <v>7.991495019089224</v>
          </cell>
        </row>
        <row r="138">
          <cell r="C138">
            <v>0.5181</v>
          </cell>
          <cell r="D138">
            <v>40.466099999999997</v>
          </cell>
          <cell r="F138">
            <v>17.544873321858514</v>
          </cell>
          <cell r="H138">
            <v>0.29459999999999997</v>
          </cell>
          <cell r="I138">
            <v>39.066000000000003</v>
          </cell>
          <cell r="K138">
            <v>15.767541260631928</v>
          </cell>
          <cell r="M138">
            <v>0.19170000000000001</v>
          </cell>
          <cell r="N138">
            <v>37.936999999999998</v>
          </cell>
          <cell r="P138">
            <v>14.571745730408196</v>
          </cell>
          <cell r="R138">
            <v>0.12709999999999999</v>
          </cell>
          <cell r="S138">
            <v>36.752800000000001</v>
          </cell>
          <cell r="U138">
            <v>13.288271572849162</v>
          </cell>
        </row>
        <row r="152">
          <cell r="C152">
            <v>0.45179999999999998</v>
          </cell>
          <cell r="D152">
            <v>37.688800000000001</v>
          </cell>
          <cell r="F152">
            <v>16.716203965612625</v>
          </cell>
          <cell r="H152">
            <v>0.23619999999999999</v>
          </cell>
          <cell r="I152">
            <v>35.938099999999999</v>
          </cell>
          <cell r="K152">
            <v>14.647058799572294</v>
          </cell>
          <cell r="M152">
            <v>0.16880000000000001</v>
          </cell>
          <cell r="N152">
            <v>34.921399999999998</v>
          </cell>
          <cell r="P152">
            <v>13.767507096020992</v>
          </cell>
          <cell r="R152">
            <v>0.1171</v>
          </cell>
          <cell r="S152">
            <v>33.697499999999998</v>
          </cell>
          <cell r="U152">
            <v>12.781893847874537</v>
          </cell>
        </row>
        <row r="153">
          <cell r="C153">
            <v>0.17730000000000001</v>
          </cell>
          <cell r="D153">
            <v>41.528599999999997</v>
          </cell>
          <cell r="F153">
            <v>19.956786262173576</v>
          </cell>
          <cell r="H153">
            <v>0.10970000000000001</v>
          </cell>
          <cell r="I153">
            <v>40.6205</v>
          </cell>
          <cell r="K153">
            <v>18.181564120552277</v>
          </cell>
          <cell r="M153">
            <v>8.1299999999999997E-2</v>
          </cell>
          <cell r="N153">
            <v>39.086599999999997</v>
          </cell>
          <cell r="P153">
            <v>17.189666327522723</v>
          </cell>
          <cell r="R153">
            <v>5.7700000000000001E-2</v>
          </cell>
          <cell r="S153">
            <v>37.3626</v>
          </cell>
          <cell r="U153">
            <v>16.197887582883936</v>
          </cell>
        </row>
        <row r="159">
          <cell r="C159">
            <v>1.0129999999999999</v>
          </cell>
          <cell r="D159">
            <v>34.9377</v>
          </cell>
          <cell r="F159">
            <v>19.788107009300639</v>
          </cell>
          <cell r="M159">
            <v>0.4834</v>
          </cell>
          <cell r="N159">
            <v>31.682400000000001</v>
          </cell>
          <cell r="P159">
            <v>14.736607226101563</v>
          </cell>
          <cell r="R159">
            <v>0.32279999999999998</v>
          </cell>
          <cell r="S159">
            <v>29.992799999999999</v>
          </cell>
          <cell r="U159">
            <v>12.596373105057557</v>
          </cell>
          <cell r="W159">
            <v>0.1032</v>
          </cell>
          <cell r="X159">
            <v>26.157499999999999</v>
          </cell>
          <cell r="Z159">
            <v>8.3416237530987178</v>
          </cell>
        </row>
        <row r="161">
          <cell r="C161">
            <v>0.20119999999999999</v>
          </cell>
          <cell r="D161">
            <v>39.7607</v>
          </cell>
          <cell r="F161">
            <v>16.777807052660801</v>
          </cell>
          <cell r="H161">
            <v>0.124</v>
          </cell>
          <cell r="I161">
            <v>38.539299999999997</v>
          </cell>
          <cell r="K161">
            <v>15.228787452803372</v>
          </cell>
          <cell r="M161">
            <v>9.06E-2</v>
          </cell>
          <cell r="N161">
            <v>37.515900000000002</v>
          </cell>
          <cell r="P161">
            <v>14.17936637088291</v>
          </cell>
          <cell r="R161">
            <v>6.1100000000000002E-2</v>
          </cell>
          <cell r="S161">
            <v>36.370899999999999</v>
          </cell>
          <cell r="U161">
            <v>13.106911408763793</v>
          </cell>
        </row>
        <row r="176">
          <cell r="M176">
            <v>0.52099514007568304</v>
          </cell>
          <cell r="N176">
            <v>36.644016265869098</v>
          </cell>
          <cell r="P176">
            <v>16.461104802784504</v>
          </cell>
          <cell r="R176">
            <v>0.222307384014129</v>
          </cell>
          <cell r="S176">
            <v>32.113037109375</v>
          </cell>
          <cell r="U176">
            <v>14.037451481472781</v>
          </cell>
          <cell r="W176">
            <v>0.10598118603229501</v>
          </cell>
          <cell r="X176">
            <v>33.546070098876903</v>
          </cell>
          <cell r="Z176">
            <v>12.764468268102284</v>
          </cell>
        </row>
        <row r="177">
          <cell r="H177">
            <v>1.0317139625549301</v>
          </cell>
          <cell r="I177">
            <v>45.086856842041001</v>
          </cell>
          <cell r="K177">
            <v>23.370688434542437</v>
          </cell>
          <cell r="R177">
            <v>0.25543853640556302</v>
          </cell>
          <cell r="S177">
            <v>41.190155029296797</v>
          </cell>
          <cell r="U177">
            <v>19.26517657489071</v>
          </cell>
          <cell r="W177">
            <v>0.107161737978458</v>
          </cell>
          <cell r="X177">
            <v>39.826759338378899</v>
          </cell>
          <cell r="Z177">
            <v>18.921764100548327</v>
          </cell>
        </row>
        <row r="183">
          <cell r="C183">
            <v>2.1830315589904701</v>
          </cell>
          <cell r="D183">
            <v>38.836654663085902</v>
          </cell>
          <cell r="F183">
            <v>26.133046321126542</v>
          </cell>
          <cell r="H183">
            <v>1.03367495536804</v>
          </cell>
          <cell r="I183">
            <v>34.577491760253899</v>
          </cell>
          <cell r="K183">
            <v>18.195375158691565</v>
          </cell>
          <cell r="M183">
            <v>0.57010000944137496</v>
          </cell>
          <cell r="N183">
            <v>31.8037109375</v>
          </cell>
          <cell r="P183">
            <v>15.223022851133676</v>
          </cell>
          <cell r="R183">
            <v>0.286163330078125</v>
          </cell>
          <cell r="S183">
            <v>28.980705261230401</v>
          </cell>
          <cell r="U183">
            <v>11.735318593026506</v>
          </cell>
        </row>
        <row r="185">
          <cell r="H185">
            <v>1.01047039031982</v>
          </cell>
          <cell r="I185">
            <v>41.472900390625</v>
          </cell>
          <cell r="K185">
            <v>21.315224206295472</v>
          </cell>
          <cell r="M185">
            <v>0.45317834615707298</v>
          </cell>
          <cell r="N185">
            <v>37.245899200439403</v>
          </cell>
          <cell r="P185">
            <v>16.45922581139142</v>
          </cell>
          <cell r="R185">
            <v>0.247566327452659</v>
          </cell>
          <cell r="S185">
            <v>38.259872436523402</v>
          </cell>
          <cell r="U185">
            <v>16.200187556075324</v>
          </cell>
          <cell r="W185">
            <v>0.1191146671772</v>
          </cell>
          <cell r="X185">
            <v>36.288558959960902</v>
          </cell>
          <cell r="Z185">
            <v>14.715475812032876</v>
          </cell>
        </row>
        <row r="200">
          <cell r="M200">
            <v>1.1314740180969201</v>
          </cell>
          <cell r="N200">
            <v>43.242412567138601</v>
          </cell>
          <cell r="P200">
            <v>23.077871714152725</v>
          </cell>
          <cell r="R200">
            <v>0.46363463997840798</v>
          </cell>
          <cell r="S200">
            <v>39.122100830078097</v>
          </cell>
          <cell r="U200">
            <v>18.034615680577698</v>
          </cell>
          <cell r="AB200">
            <v>0.11585778743028601</v>
          </cell>
          <cell r="AC200">
            <v>34.960384368896399</v>
          </cell>
          <cell r="AE200">
            <v>13.628397403375814</v>
          </cell>
        </row>
        <row r="207">
          <cell r="C207">
            <v>4.0830340385437003</v>
          </cell>
          <cell r="D207">
            <v>46.711418151855398</v>
          </cell>
          <cell r="F207">
            <v>33.126041668561996</v>
          </cell>
          <cell r="H207">
            <v>1.9457219839096001</v>
          </cell>
          <cell r="I207">
            <v>40.962337493896399</v>
          </cell>
          <cell r="K207">
            <v>25.298077286069791</v>
          </cell>
          <cell r="M207">
            <v>1.07839596271514</v>
          </cell>
          <cell r="N207">
            <v>36.900485992431598</v>
          </cell>
          <cell r="P207">
            <v>20.370130887653197</v>
          </cell>
          <cell r="R207">
            <v>0.59387266635894698</v>
          </cell>
          <cell r="S207">
            <v>33.503341674804602</v>
          </cell>
          <cell r="U207">
            <v>16.58380234139679</v>
          </cell>
        </row>
        <row r="209">
          <cell r="R209">
            <v>0.55586498975753695</v>
          </cell>
          <cell r="S209">
            <v>42.919914245605398</v>
          </cell>
          <cell r="U209">
            <v>20.640533212721365</v>
          </cell>
          <cell r="W209">
            <v>0.27525433897972101</v>
          </cell>
          <cell r="X209">
            <v>41.170204162597599</v>
          </cell>
          <cell r="Z209">
            <v>18.283740645647512</v>
          </cell>
          <cell r="AB209">
            <v>0.13709867000579801</v>
          </cell>
          <cell r="AC209">
            <v>39.549190521240199</v>
          </cell>
          <cell r="AE209">
            <v>16.146999372876284</v>
          </cell>
        </row>
        <row r="225">
          <cell r="C225">
            <v>0.56950000000000001</v>
          </cell>
          <cell r="D225">
            <v>40.335599999999999</v>
          </cell>
          <cell r="H225">
            <v>0.3306</v>
          </cell>
          <cell r="I225">
            <v>38.458500000000001</v>
          </cell>
          <cell r="M225">
            <v>0.18909999999999999</v>
          </cell>
          <cell r="N225">
            <v>37.127600000000001</v>
          </cell>
          <cell r="R225">
            <v>0.12959999999999999</v>
          </cell>
          <cell r="S225">
            <v>36.209099999999999</v>
          </cell>
        </row>
        <row r="226">
          <cell r="C226">
            <v>0.15959999999999999</v>
          </cell>
          <cell r="D226">
            <v>45.196399999999997</v>
          </cell>
          <cell r="H226">
            <v>0.11840000000000001</v>
          </cell>
          <cell r="I226">
            <v>43.616700000000002</v>
          </cell>
          <cell r="M226">
            <v>8.3900000000000002E-2</v>
          </cell>
          <cell r="N226">
            <v>42.586799999999997</v>
          </cell>
          <cell r="R226">
            <v>6.1899999999999997E-2</v>
          </cell>
          <cell r="S226">
            <v>41.151400000000002</v>
          </cell>
        </row>
        <row r="232">
          <cell r="H232">
            <v>0.91110000000000002</v>
          </cell>
          <cell r="I232">
            <v>36.465400000000002</v>
          </cell>
          <cell r="K232">
            <v>20.087739243075035</v>
          </cell>
          <cell r="M232">
            <v>0.64370000000000005</v>
          </cell>
          <cell r="N232">
            <v>34.552199999999999</v>
          </cell>
          <cell r="P232">
            <v>17.520267336381924</v>
          </cell>
          <cell r="R232">
            <v>0.4511</v>
          </cell>
          <cell r="S232">
            <v>32.707799999999999</v>
          </cell>
          <cell r="U232">
            <v>15.171264163912465</v>
          </cell>
          <cell r="W232">
            <v>0.31719999999999998</v>
          </cell>
          <cell r="X232">
            <v>31.090399999999999</v>
          </cell>
          <cell r="Z232">
            <v>13.115801779972898</v>
          </cell>
        </row>
        <row r="234">
          <cell r="C234">
            <v>0.21460000000000001</v>
          </cell>
          <cell r="D234">
            <v>41.059199999999997</v>
          </cell>
          <cell r="H234">
            <v>0.1409</v>
          </cell>
          <cell r="I234">
            <v>40.310699999999997</v>
          </cell>
          <cell r="M234">
            <v>9.3899999999999997E-2</v>
          </cell>
          <cell r="N234">
            <v>39.527099999999997</v>
          </cell>
          <cell r="R234">
            <v>6.6699999999999995E-2</v>
          </cell>
          <cell r="S234">
            <v>38.7181</v>
          </cell>
        </row>
        <row r="248">
          <cell r="C248">
            <v>0.54620000000000002</v>
          </cell>
          <cell r="F248">
            <v>21.611509092627436</v>
          </cell>
          <cell r="H248">
            <v>0.39750000000000002</v>
          </cell>
          <cell r="K248">
            <v>19.999999999999996</v>
          </cell>
          <cell r="M248">
            <v>0.25540000000000002</v>
          </cell>
          <cell r="P248">
            <v>17.931741239681504</v>
          </cell>
          <cell r="R248">
            <v>0.15210000000000001</v>
          </cell>
          <cell r="U248">
            <v>16.038006529042629</v>
          </cell>
        </row>
        <row r="249">
          <cell r="C249">
            <v>0.16889999999999999</v>
          </cell>
          <cell r="F249">
            <v>23.979400086720371</v>
          </cell>
          <cell r="H249">
            <v>9.69E-2</v>
          </cell>
          <cell r="K249">
            <v>22.596373105057602</v>
          </cell>
          <cell r="M249">
            <v>5.74E-2</v>
          </cell>
          <cell r="P249">
            <v>21.611509092627436</v>
          </cell>
          <cell r="R249">
            <v>3.9100000000000003E-2</v>
          </cell>
          <cell r="U249">
            <v>20.757207139381201</v>
          </cell>
        </row>
        <row r="257">
          <cell r="C257">
            <v>0.46129999999999999</v>
          </cell>
          <cell r="F257">
            <v>21.804560644581279</v>
          </cell>
          <cell r="H257">
            <v>0.30649999999999999</v>
          </cell>
          <cell r="K257">
            <v>20.043648054024491</v>
          </cell>
          <cell r="M257">
            <v>0.15620000000000001</v>
          </cell>
          <cell r="P257">
            <v>17.986028756795477</v>
          </cell>
          <cell r="R257">
            <v>9.6299999999999997E-2</v>
          </cell>
          <cell r="U257">
            <v>16.882461389442465</v>
          </cell>
        </row>
        <row r="318">
          <cell r="C318">
            <v>4.53045606613159</v>
          </cell>
          <cell r="D318">
            <v>54.0070190429687</v>
          </cell>
          <cell r="F318">
            <v>35.070493929326666</v>
          </cell>
          <cell r="H318">
            <v>2.2853949069976802</v>
          </cell>
          <cell r="I318">
            <v>47.898097991943303</v>
          </cell>
          <cell r="K318">
            <v>28.003610333450979</v>
          </cell>
          <cell r="M318">
            <v>1.1240781545639</v>
          </cell>
          <cell r="N318">
            <v>42.726177215576101</v>
          </cell>
          <cell r="P318">
            <v>21.938328980045767</v>
          </cell>
          <cell r="R318">
            <v>0.57398104667663497</v>
          </cell>
          <cell r="S318">
            <v>39.664230346679602</v>
          </cell>
          <cell r="U318">
            <v>18.387223974037386</v>
          </cell>
          <cell r="W318">
            <v>0.28004416823387102</v>
          </cell>
          <cell r="X318">
            <v>37.022342681884702</v>
          </cell>
          <cell r="Z318">
            <v>15.688182734364261</v>
          </cell>
          <cell r="AB318">
            <v>0.13207823038101099</v>
          </cell>
          <cell r="AC318">
            <v>35.269447326660099</v>
          </cell>
          <cell r="AE318">
            <v>13.935459336972439</v>
          </cell>
        </row>
        <row r="319">
          <cell r="C319">
            <v>3.01381134986877</v>
          </cell>
          <cell r="D319">
            <v>58.422966003417898</v>
          </cell>
          <cell r="F319">
            <v>36.853928323950051</v>
          </cell>
          <cell r="H319">
            <v>2.2440006732940598</v>
          </cell>
          <cell r="I319">
            <v>56.368507385253899</v>
          </cell>
          <cell r="K319">
            <v>34.098067146597316</v>
          </cell>
          <cell r="M319">
            <v>1.1426466703414899</v>
          </cell>
          <cell r="N319">
            <v>52.036220550537102</v>
          </cell>
          <cell r="P319">
            <v>28.371343252200077</v>
          </cell>
          <cell r="R319">
            <v>0.564569652080535</v>
          </cell>
          <cell r="S319">
            <v>49.113483428955</v>
          </cell>
          <cell r="U319">
            <v>25.10499142692829</v>
          </cell>
          <cell r="W319">
            <v>0.277643471956253</v>
          </cell>
          <cell r="X319">
            <v>46.960376739501903</v>
          </cell>
          <cell r="Z319">
            <v>23.145385479502998</v>
          </cell>
          <cell r="AB319">
            <v>0.13292308151721899</v>
          </cell>
          <cell r="AC319">
            <v>44.476367950439403</v>
          </cell>
          <cell r="AE319">
            <v>22.016774303667734</v>
          </cell>
        </row>
        <row r="325">
          <cell r="C325">
            <v>4.5658173561096103</v>
          </cell>
          <cell r="D325">
            <v>48.961254119872997</v>
          </cell>
          <cell r="F325">
            <v>33.020463280763181</v>
          </cell>
          <cell r="H325">
            <v>2.2200644016265798</v>
          </cell>
          <cell r="I325">
            <v>41.797718048095703</v>
          </cell>
          <cell r="K325">
            <v>24.921331592233781</v>
          </cell>
          <cell r="M325">
            <v>1.1295746564865099</v>
          </cell>
          <cell r="N325">
            <v>36.906764984130803</v>
          </cell>
          <cell r="P325">
            <v>19.49788859538749</v>
          </cell>
          <cell r="R325">
            <v>0.55756700038909901</v>
          </cell>
          <cell r="S325">
            <v>33.051185607910099</v>
          </cell>
          <cell r="U325">
            <v>15.262722275536035</v>
          </cell>
          <cell r="W325">
            <v>0.28624600172042802</v>
          </cell>
          <cell r="X325">
            <v>30.177898406982401</v>
          </cell>
          <cell r="Z325">
            <v>12.061978940345446</v>
          </cell>
          <cell r="AB325">
            <v>0.15686833858489899</v>
          </cell>
          <cell r="AC325">
            <v>27.728303909301701</v>
          </cell>
          <cell r="AE325">
            <v>9.6154534766157145</v>
          </cell>
        </row>
        <row r="327">
          <cell r="C327">
            <v>4.5184755325317303</v>
          </cell>
          <cell r="D327">
            <v>56.64546585083</v>
          </cell>
          <cell r="F327">
            <v>36.4791800010535</v>
          </cell>
          <cell r="H327">
            <v>2.2683074474334699</v>
          </cell>
          <cell r="I327">
            <v>50.3765258789062</v>
          </cell>
          <cell r="K327">
            <v>29.092113649452045</v>
          </cell>
          <cell r="M327">
            <v>1.1198383569717401</v>
          </cell>
          <cell r="N327">
            <v>45.179580688476499</v>
          </cell>
          <cell r="P327">
            <v>22.919975992354576</v>
          </cell>
          <cell r="R327">
            <v>0.57203966379165605</v>
          </cell>
          <cell r="S327">
            <v>42.739288330078097</v>
          </cell>
          <cell r="U327">
            <v>19.901418761830591</v>
          </cell>
          <cell r="W327">
            <v>0.27586001157760598</v>
          </cell>
          <cell r="X327">
            <v>41.255760192871001</v>
          </cell>
          <cell r="Z327">
            <v>18.07926330926384</v>
          </cell>
          <cell r="AB327">
            <v>0.13640633225440901</v>
          </cell>
          <cell r="AC327">
            <v>39.908821105957003</v>
          </cell>
          <cell r="AE327">
            <v>16.544011659098867</v>
          </cell>
        </row>
        <row r="343">
          <cell r="H343">
            <v>1.0113000000000001</v>
          </cell>
          <cell r="I343">
            <v>40.115200000000002</v>
          </cell>
          <cell r="K343">
            <v>21.870866433571479</v>
          </cell>
          <cell r="M343">
            <v>0.2387</v>
          </cell>
          <cell r="N343">
            <v>35.462699999999998</v>
          </cell>
          <cell r="P343">
            <v>14.710832997223447</v>
          </cell>
          <cell r="R343">
            <v>7.1099999999999997E-2</v>
          </cell>
          <cell r="S343">
            <v>30.6496</v>
          </cell>
          <cell r="U343">
            <v>10.883098412461386</v>
          </cell>
        </row>
        <row r="344">
          <cell r="C344">
            <v>1.3242</v>
          </cell>
          <cell r="D344">
            <v>45.598300000000002</v>
          </cell>
          <cell r="F344">
            <v>27.212463990471679</v>
          </cell>
          <cell r="H344">
            <v>0.54500000000000004</v>
          </cell>
          <cell r="I344">
            <v>43.751899999999999</v>
          </cell>
          <cell r="K344">
            <v>23.467874862246614</v>
          </cell>
          <cell r="M344">
            <v>0.15390000000000001</v>
          </cell>
          <cell r="N344">
            <v>39.801699999999997</v>
          </cell>
          <cell r="P344">
            <v>20.315170514460661</v>
          </cell>
          <cell r="R344">
            <v>4.5900000000000003E-2</v>
          </cell>
          <cell r="S344">
            <v>34.1828</v>
          </cell>
          <cell r="U344">
            <v>16.675615400843956</v>
          </cell>
        </row>
        <row r="350">
          <cell r="C350">
            <v>2.5175000000000001</v>
          </cell>
          <cell r="D350">
            <v>36.65</v>
          </cell>
          <cell r="F350">
            <v>25.228787452803374</v>
          </cell>
          <cell r="H350">
            <v>1.5350999999999999</v>
          </cell>
          <cell r="I350">
            <v>35.701799999999999</v>
          </cell>
          <cell r="K350">
            <v>22.596373105057602</v>
          </cell>
          <cell r="M350">
            <v>0.58130000000000004</v>
          </cell>
          <cell r="N350">
            <v>31.0792</v>
          </cell>
          <cell r="P350">
            <v>14.710832997223447</v>
          </cell>
        </row>
        <row r="352">
          <cell r="H352">
            <v>0.72650000000000003</v>
          </cell>
          <cell r="I352">
            <v>42.721800000000002</v>
          </cell>
          <cell r="K352">
            <v>21.307682802690259</v>
          </cell>
          <cell r="M352">
            <v>0.1449</v>
          </cell>
          <cell r="N352">
            <v>38.405999999999999</v>
          </cell>
          <cell r="P352">
            <v>15.301779840218375</v>
          </cell>
          <cell r="R352">
            <v>4.3299999999999998E-2</v>
          </cell>
          <cell r="S352">
            <v>34.6402</v>
          </cell>
          <cell r="U352">
            <v>11.586405295451449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3CCEC-8B09-450A-A016-2DEA45CAE843}">
  <dimension ref="A1:BK600"/>
  <sheetViews>
    <sheetView topLeftCell="A568" zoomScaleNormal="100" workbookViewId="0">
      <selection activeCell="B603" sqref="B603"/>
    </sheetView>
  </sheetViews>
  <sheetFormatPr defaultRowHeight="14.25"/>
  <cols>
    <col min="1" max="1" width="25.25" customWidth="1"/>
    <col min="2" max="2" width="13.5" customWidth="1"/>
  </cols>
  <sheetData>
    <row r="1" spans="1:63" ht="15" thickBot="1">
      <c r="D1" s="42" t="s">
        <v>2</v>
      </c>
      <c r="E1" s="43"/>
      <c r="F1" s="43"/>
      <c r="G1" s="43"/>
      <c r="H1" s="43"/>
      <c r="I1" s="43"/>
      <c r="J1" s="43"/>
      <c r="K1" s="44"/>
      <c r="L1" s="42" t="s">
        <v>3</v>
      </c>
      <c r="M1" s="43"/>
      <c r="N1" s="43"/>
      <c r="O1" s="43"/>
      <c r="P1" s="43"/>
      <c r="Q1" s="43"/>
      <c r="R1" s="43"/>
      <c r="S1" s="44"/>
      <c r="T1" s="42" t="s">
        <v>4</v>
      </c>
      <c r="U1" s="43"/>
      <c r="V1" s="43"/>
      <c r="W1" s="43"/>
      <c r="X1" s="43"/>
      <c r="Y1" s="43"/>
      <c r="Z1" s="43"/>
      <c r="AA1" s="44"/>
      <c r="AB1" s="42" t="s">
        <v>133</v>
      </c>
      <c r="AC1" s="43"/>
      <c r="AD1" s="43"/>
      <c r="AE1" s="43"/>
      <c r="AF1" s="43"/>
      <c r="AG1" s="43"/>
      <c r="AH1" s="43"/>
      <c r="AI1" s="43"/>
      <c r="AJ1" s="43"/>
      <c r="AK1" s="44"/>
      <c r="AL1" s="42" t="s">
        <v>134</v>
      </c>
      <c r="AM1" s="43"/>
      <c r="AN1" s="43"/>
      <c r="AO1" s="43"/>
      <c r="AP1" s="43"/>
      <c r="AQ1" s="43"/>
      <c r="AR1" s="43"/>
      <c r="AS1" s="44"/>
      <c r="AT1" s="42" t="s">
        <v>132</v>
      </c>
      <c r="AU1" s="43"/>
      <c r="AV1" s="43"/>
      <c r="AW1" s="43"/>
      <c r="AX1" s="43"/>
      <c r="AY1" s="43"/>
      <c r="AZ1" s="43"/>
      <c r="BA1" s="43"/>
      <c r="BB1" s="43"/>
      <c r="BC1" s="44"/>
      <c r="BD1" s="42" t="s">
        <v>135</v>
      </c>
      <c r="BE1" s="43"/>
      <c r="BF1" s="43"/>
      <c r="BG1" s="43"/>
      <c r="BH1" s="43"/>
      <c r="BI1" s="43"/>
      <c r="BJ1" s="43"/>
      <c r="BK1" s="44"/>
    </row>
    <row r="2" spans="1:63">
      <c r="D2" s="4"/>
      <c r="E2" s="5"/>
      <c r="F2" s="5"/>
      <c r="G2" s="5"/>
      <c r="H2" s="5"/>
      <c r="I2" s="5"/>
      <c r="J2" s="5"/>
      <c r="K2" s="6"/>
      <c r="L2" s="4"/>
      <c r="M2" s="5"/>
      <c r="N2" s="5"/>
      <c r="O2" s="5"/>
      <c r="P2" s="5"/>
      <c r="Q2" s="5"/>
      <c r="R2" s="5"/>
      <c r="S2" s="2"/>
      <c r="T2" s="45" t="s">
        <v>5</v>
      </c>
      <c r="U2" s="46"/>
      <c r="V2" s="46"/>
      <c r="W2" s="47"/>
      <c r="X2" s="45" t="s">
        <v>6</v>
      </c>
      <c r="Y2" s="46"/>
      <c r="Z2" s="46"/>
      <c r="AA2" s="47"/>
      <c r="AB2" s="4"/>
      <c r="AC2" s="5"/>
      <c r="AD2" s="5"/>
      <c r="AE2" s="5"/>
      <c r="AF2" s="5"/>
      <c r="AG2" s="5"/>
      <c r="AH2" s="5"/>
      <c r="AI2" s="3"/>
      <c r="AJ2" s="3"/>
      <c r="AK2" s="3"/>
      <c r="AL2" s="45" t="s">
        <v>5</v>
      </c>
      <c r="AM2" s="46"/>
      <c r="AN2" s="46"/>
      <c r="AO2" s="47"/>
      <c r="AP2" s="45" t="s">
        <v>6</v>
      </c>
      <c r="AQ2" s="46"/>
      <c r="AR2" s="46"/>
      <c r="AS2" s="47"/>
      <c r="AT2" s="4"/>
      <c r="AU2" s="5"/>
      <c r="AV2" s="5"/>
      <c r="AW2" s="5"/>
      <c r="AX2" s="5"/>
      <c r="AY2" s="5"/>
      <c r="AZ2" s="5"/>
      <c r="BA2" s="3"/>
      <c r="BB2" s="3"/>
      <c r="BC2" s="3"/>
      <c r="BD2" s="45" t="s">
        <v>5</v>
      </c>
      <c r="BE2" s="46"/>
      <c r="BF2" s="46"/>
      <c r="BG2" s="47"/>
      <c r="BH2" s="45" t="s">
        <v>6</v>
      </c>
      <c r="BI2" s="46"/>
      <c r="BJ2" s="46"/>
      <c r="BK2" s="47"/>
    </row>
    <row r="3" spans="1:63" ht="15" thickBot="1">
      <c r="A3" t="s">
        <v>7</v>
      </c>
      <c r="B3" t="s">
        <v>8</v>
      </c>
      <c r="C3" t="s">
        <v>9</v>
      </c>
      <c r="D3" s="4" t="s">
        <v>0</v>
      </c>
      <c r="E3" s="5" t="s">
        <v>1</v>
      </c>
      <c r="F3" s="5" t="s">
        <v>10</v>
      </c>
      <c r="G3" s="5" t="s">
        <v>11</v>
      </c>
      <c r="H3" s="5" t="s">
        <v>12</v>
      </c>
      <c r="I3" s="5" t="s">
        <v>13</v>
      </c>
      <c r="J3" s="5" t="s">
        <v>14</v>
      </c>
      <c r="K3" s="6" t="s">
        <v>15</v>
      </c>
      <c r="L3" s="4" t="s">
        <v>0</v>
      </c>
      <c r="M3" s="5" t="s">
        <v>1</v>
      </c>
      <c r="N3" s="5" t="s">
        <v>10</v>
      </c>
      <c r="O3" s="5" t="s">
        <v>11</v>
      </c>
      <c r="P3" s="5" t="s">
        <v>12</v>
      </c>
      <c r="Q3" s="5" t="s">
        <v>13</v>
      </c>
      <c r="R3" s="5" t="s">
        <v>14</v>
      </c>
      <c r="S3" s="2" t="s">
        <v>15</v>
      </c>
      <c r="T3" s="24" t="s">
        <v>10</v>
      </c>
      <c r="U3" s="25" t="s">
        <v>11</v>
      </c>
      <c r="V3" s="25" t="s">
        <v>13</v>
      </c>
      <c r="W3" s="26" t="s">
        <v>14</v>
      </c>
      <c r="X3" s="24" t="s">
        <v>10</v>
      </c>
      <c r="Y3" s="25" t="s">
        <v>11</v>
      </c>
      <c r="Z3" s="25" t="s">
        <v>13</v>
      </c>
      <c r="AA3" s="26" t="s">
        <v>14</v>
      </c>
      <c r="AB3" s="4" t="s">
        <v>127</v>
      </c>
      <c r="AC3" s="5" t="s">
        <v>1</v>
      </c>
      <c r="AD3" s="5" t="s">
        <v>10</v>
      </c>
      <c r="AE3" s="5" t="s">
        <v>11</v>
      </c>
      <c r="AF3" s="5" t="s">
        <v>12</v>
      </c>
      <c r="AG3" s="5" t="s">
        <v>13</v>
      </c>
      <c r="AH3" s="5" t="s">
        <v>14</v>
      </c>
      <c r="AI3" s="3" t="s">
        <v>15</v>
      </c>
      <c r="AJ3" s="3" t="s">
        <v>128</v>
      </c>
      <c r="AK3" s="3" t="s">
        <v>129</v>
      </c>
      <c r="AL3" s="4" t="s">
        <v>10</v>
      </c>
      <c r="AM3" s="3" t="s">
        <v>11</v>
      </c>
      <c r="AN3" s="3" t="s">
        <v>13</v>
      </c>
      <c r="AO3" s="6" t="s">
        <v>14</v>
      </c>
      <c r="AP3" s="4" t="s">
        <v>10</v>
      </c>
      <c r="AQ3" s="3" t="s">
        <v>11</v>
      </c>
      <c r="AR3" s="3" t="s">
        <v>13</v>
      </c>
      <c r="AS3" s="6" t="s">
        <v>14</v>
      </c>
      <c r="AT3" s="4" t="s">
        <v>127</v>
      </c>
      <c r="AU3" s="5" t="s">
        <v>1</v>
      </c>
      <c r="AV3" s="5" t="s">
        <v>10</v>
      </c>
      <c r="AW3" s="5" t="s">
        <v>11</v>
      </c>
      <c r="AX3" s="5" t="s">
        <v>12</v>
      </c>
      <c r="AY3" s="5" t="s">
        <v>13</v>
      </c>
      <c r="AZ3" s="5" t="s">
        <v>14</v>
      </c>
      <c r="BA3" s="3" t="s">
        <v>15</v>
      </c>
      <c r="BB3" s="3" t="s">
        <v>128</v>
      </c>
      <c r="BC3" s="3" t="s">
        <v>129</v>
      </c>
      <c r="BD3" s="4" t="s">
        <v>10</v>
      </c>
      <c r="BE3" s="3" t="s">
        <v>11</v>
      </c>
      <c r="BF3" s="3" t="s">
        <v>13</v>
      </c>
      <c r="BG3" s="6" t="s">
        <v>14</v>
      </c>
      <c r="BH3" s="4" t="s">
        <v>10</v>
      </c>
      <c r="BI3" s="3" t="s">
        <v>11</v>
      </c>
      <c r="BJ3" s="3" t="s">
        <v>13</v>
      </c>
      <c r="BK3" s="6" t="s">
        <v>14</v>
      </c>
    </row>
    <row r="4" spans="1:63">
      <c r="A4" s="48" t="s">
        <v>16</v>
      </c>
      <c r="B4" s="15" t="s">
        <v>17</v>
      </c>
      <c r="C4" s="16">
        <v>1.5</v>
      </c>
      <c r="D4" s="15">
        <v>19</v>
      </c>
      <c r="E4" s="19">
        <v>1.35300169100914</v>
      </c>
      <c r="F4" s="19">
        <v>44.894428314424196</v>
      </c>
      <c r="G4" s="19">
        <v>0.99693261667365896</v>
      </c>
      <c r="H4" s="19">
        <v>25.132319474894</v>
      </c>
      <c r="I4" s="19">
        <v>48.120356005489498</v>
      </c>
      <c r="J4" s="19">
        <v>0.99812840178549</v>
      </c>
      <c r="K4" s="20">
        <v>27.277873777931799</v>
      </c>
      <c r="L4" s="15">
        <v>16</v>
      </c>
      <c r="M4" s="19">
        <v>1.42743952458553</v>
      </c>
      <c r="N4" s="19">
        <v>45.596859224816598</v>
      </c>
      <c r="O4" s="19">
        <v>0.99743202388835805</v>
      </c>
      <c r="P4" s="19">
        <v>25.904090205683602</v>
      </c>
      <c r="Q4" s="19">
        <v>48.985511664881997</v>
      </c>
      <c r="R4" s="19">
        <v>0.99845155966667798</v>
      </c>
      <c r="S4" s="20">
        <v>28.101055248299801</v>
      </c>
      <c r="T4" s="21">
        <f>bdrate(E4:E7,F4:F7,M4:M7,N4:N7)</f>
        <v>-0.14515405042739604</v>
      </c>
      <c r="U4" s="22">
        <f>bdrate(E4:E7,H4:H7,M4:M7,P4:P7)</f>
        <v>-0.16521862575263546</v>
      </c>
      <c r="V4" s="22">
        <f>bdrate(E4:E7,I4:I7,M4:M7,Q4:Q7)</f>
        <v>-0.15926353252852343</v>
      </c>
      <c r="W4" s="23">
        <f>bdrate(E4:E7,K4:K7,M4:M7,S4:S7)</f>
        <v>-0.15147778690616831</v>
      </c>
      <c r="X4" s="21">
        <f>bdrate(E6:E9,F6:F9,M6:M9,N6:N9)</f>
        <v>-0.20729788028702756</v>
      </c>
      <c r="Y4" s="22">
        <f>bdrate(E6:E9,H6:H9,M6:M9,P6:P9)</f>
        <v>-0.22048354270467729</v>
      </c>
      <c r="Z4" s="22">
        <f>bdrate(E6:E9,I6:I9,M6:M9,Q6:Q9)</f>
        <v>-0.21297597287154435</v>
      </c>
      <c r="AA4" s="23">
        <f>bdrate(E6:E9,K6:K9,M6:M9,S6:S9)</f>
        <v>-0.18762461522768625</v>
      </c>
      <c r="AB4" s="15"/>
      <c r="AC4" s="19"/>
      <c r="AD4" s="19"/>
      <c r="AE4" s="19"/>
      <c r="AF4" s="19"/>
      <c r="AG4" s="19"/>
      <c r="AH4" s="19"/>
      <c r="AI4" s="19"/>
      <c r="AJ4" s="19"/>
      <c r="AK4" s="19"/>
      <c r="AL4" s="21" t="e">
        <f>bdrate(E4:E7,F4:F7,AC4:AC7,AD4:AD7)</f>
        <v>#VALUE!</v>
      </c>
      <c r="AM4" s="22" t="e">
        <f>bdrate(E4:E7,H4:H7,AC4:AC7,AF4:AF7)</f>
        <v>#VALUE!</v>
      </c>
      <c r="AN4" s="22" t="e">
        <f>bdrate(E4:E7,I4:I7,AC4:AC7,AG4:AG7)</f>
        <v>#VALUE!</v>
      </c>
      <c r="AO4" s="23" t="e">
        <f>bdrate(E4:E7,K4:K7,AC4:AC7,AI4:AI7)</f>
        <v>#VALUE!</v>
      </c>
      <c r="AP4" s="22">
        <f>bdrate(E6:E9,F6:F9,AC6:AC9,AD6:AD9)</f>
        <v>-0.17393824624161736</v>
      </c>
      <c r="AQ4" s="22">
        <f>bdrate(E6:E9,H6:H9,AC6:AC9,AF6:AF9)</f>
        <v>-0.2225052590293789</v>
      </c>
      <c r="AR4" s="22">
        <f>bdrate(E6:E9,I6:I9,AC6:AC9,AG6:AG9)</f>
        <v>-0.1671455722703642</v>
      </c>
      <c r="AS4" s="23">
        <f>bdrate(E6:E9,K6:K9,AC6:AC9,AI6:AI9)</f>
        <v>-0.16730865486932656</v>
      </c>
      <c r="AT4" s="15"/>
      <c r="AU4" s="19"/>
      <c r="AV4" s="19"/>
      <c r="AW4" s="19"/>
      <c r="AX4" s="19"/>
      <c r="AY4" s="19"/>
      <c r="AZ4" s="19"/>
      <c r="BA4" s="19"/>
      <c r="BB4" s="19"/>
      <c r="BC4" s="19"/>
      <c r="BD4" s="21" t="e">
        <f>bdrate(E4:E7,F4:F7,AU4:AU7,AV4:AV7)</f>
        <v>#VALUE!</v>
      </c>
      <c r="BE4" s="22" t="e">
        <f>bdrate(E4:E7,H4:H7,AU4:AU7,AX4:AX7)</f>
        <v>#VALUE!</v>
      </c>
      <c r="BF4" s="22" t="e">
        <f>bdrate(E4:E7,I4:I7,AU4:AU7,AY4:AY7)</f>
        <v>#VALUE!</v>
      </c>
      <c r="BG4" s="23" t="e">
        <f>bdrate(E4:E7,K4:K7,AU4:AU7,BA4:BA7)</f>
        <v>#VALUE!</v>
      </c>
      <c r="BH4" s="22">
        <f>bdrate(E6:E9,F6:F9,AU6:AU9,AV6:AV9)</f>
        <v>6.6684637205941533E-2</v>
      </c>
      <c r="BI4" s="22">
        <f>bdrate(E6:E9,H6:H9,AU6:AU9,AX6:AX9)</f>
        <v>-0.34988070188202514</v>
      </c>
      <c r="BJ4" s="22">
        <f>bdrate(E6:E9,I6:I9,AU6:AU9,AY6:AY9)</f>
        <v>0.12875236001584378</v>
      </c>
      <c r="BK4" s="23">
        <f>bdrate(E6:E9,K6:K9,AU6:AU9,BA6:BA9)</f>
        <v>-0.32297642184265385</v>
      </c>
    </row>
    <row r="5" spans="1:63">
      <c r="A5" s="49"/>
      <c r="B5" s="7" t="s">
        <v>18</v>
      </c>
      <c r="C5" s="17">
        <v>1</v>
      </c>
      <c r="D5" s="7">
        <v>22</v>
      </c>
      <c r="E5" s="1">
        <v>0.99923041813553504</v>
      </c>
      <c r="F5" s="1">
        <v>43.265080436527299</v>
      </c>
      <c r="G5" s="1">
        <v>0.99607421512008198</v>
      </c>
      <c r="H5" s="1">
        <v>24.0607350199131</v>
      </c>
      <c r="I5" s="1">
        <v>46.442526762987299</v>
      </c>
      <c r="J5" s="1">
        <v>0.99750913600660096</v>
      </c>
      <c r="K5" s="8">
        <v>26.036499852411701</v>
      </c>
      <c r="L5" s="7">
        <v>20</v>
      </c>
      <c r="M5" s="1">
        <v>0.91041246111688501</v>
      </c>
      <c r="N5" s="1">
        <v>43.416164317303199</v>
      </c>
      <c r="O5" s="1">
        <v>0.996220229280953</v>
      </c>
      <c r="P5" s="1">
        <v>24.2253454367413</v>
      </c>
      <c r="Q5" s="1">
        <v>46.717701334164303</v>
      </c>
      <c r="R5" s="1">
        <v>0.99756461433745702</v>
      </c>
      <c r="S5" s="8">
        <v>26.1343225504408</v>
      </c>
      <c r="T5" s="7"/>
      <c r="U5" s="1"/>
      <c r="V5" s="1"/>
      <c r="W5" s="8"/>
      <c r="X5" s="7"/>
      <c r="Y5" s="1"/>
      <c r="Z5" s="1"/>
      <c r="AA5" s="8"/>
      <c r="AB5" s="7">
        <v>64</v>
      </c>
      <c r="AC5" s="1">
        <v>0.39177301084907001</v>
      </c>
      <c r="AD5" s="1">
        <v>39.146118880999701</v>
      </c>
      <c r="AE5" s="1">
        <v>0.992985377709799</v>
      </c>
      <c r="AF5" s="1">
        <v>21.5399570905441</v>
      </c>
      <c r="AG5" s="1">
        <v>42.527703728730501</v>
      </c>
      <c r="AH5" s="1">
        <v>0.99559789847922697</v>
      </c>
      <c r="AI5" s="1">
        <v>23.563399460164401</v>
      </c>
      <c r="AJ5" s="1">
        <v>697.88647389411904</v>
      </c>
      <c r="AK5" s="1">
        <v>272.41119956970198</v>
      </c>
      <c r="AL5" s="7"/>
      <c r="AM5" s="1"/>
      <c r="AN5" s="1"/>
      <c r="AO5" s="8"/>
      <c r="AP5" s="1"/>
      <c r="AQ5" s="1"/>
      <c r="AR5" s="1"/>
      <c r="AS5" s="8"/>
      <c r="AT5" s="7">
        <v>0.64</v>
      </c>
      <c r="AU5" s="1">
        <v>0.36149682452253901</v>
      </c>
      <c r="AV5" s="1">
        <v>37.545207071738702</v>
      </c>
      <c r="AW5" s="1">
        <v>0.99392431725335395</v>
      </c>
      <c r="AX5" s="1">
        <v>22.164049117313301</v>
      </c>
      <c r="AY5" s="1">
        <v>40.5140673610344</v>
      </c>
      <c r="AZ5" s="1">
        <v>0.99568888739325401</v>
      </c>
      <c r="BA5" s="1">
        <v>23.654106331772599</v>
      </c>
      <c r="BB5" s="1">
        <v>346.921207427978</v>
      </c>
      <c r="BC5" s="1">
        <v>215.98759627342201</v>
      </c>
      <c r="BD5" s="7"/>
      <c r="BE5" s="1"/>
      <c r="BF5" s="1"/>
      <c r="BG5" s="8"/>
      <c r="BH5" s="1"/>
      <c r="BI5" s="1"/>
      <c r="BJ5" s="1"/>
      <c r="BK5" s="8"/>
    </row>
    <row r="6" spans="1:63">
      <c r="A6" s="49"/>
      <c r="B6" s="7" t="s">
        <v>18</v>
      </c>
      <c r="C6" s="17">
        <v>0.5</v>
      </c>
      <c r="D6" s="7">
        <v>29</v>
      </c>
      <c r="E6" s="1">
        <v>0.46427923462513299</v>
      </c>
      <c r="F6" s="1">
        <v>39.190290412262797</v>
      </c>
      <c r="G6" s="1">
        <v>0.99211546102627701</v>
      </c>
      <c r="H6" s="1">
        <v>21.032236957430602</v>
      </c>
      <c r="I6" s="1">
        <v>42.381068682674297</v>
      </c>
      <c r="J6" s="1">
        <v>0.99482697847419399</v>
      </c>
      <c r="K6" s="8">
        <v>22.8625571441539</v>
      </c>
      <c r="L6" s="7">
        <v>26</v>
      </c>
      <c r="M6" s="1">
        <v>0.46594724137260202</v>
      </c>
      <c r="N6" s="1">
        <v>40.076723709133198</v>
      </c>
      <c r="O6" s="1">
        <v>0.99345111882549397</v>
      </c>
      <c r="P6" s="1">
        <v>21.838328895108202</v>
      </c>
      <c r="Q6" s="1">
        <v>43.329245960803298</v>
      </c>
      <c r="R6" s="1">
        <v>0.99569903757425404</v>
      </c>
      <c r="S6" s="8">
        <v>23.664343515316101</v>
      </c>
      <c r="T6" s="7"/>
      <c r="U6" s="1"/>
      <c r="V6" s="1"/>
      <c r="W6" s="8"/>
      <c r="X6" s="7"/>
      <c r="Y6" s="1"/>
      <c r="Z6" s="1"/>
      <c r="AA6" s="8"/>
      <c r="AB6" s="7">
        <v>32</v>
      </c>
      <c r="AC6" s="1">
        <v>0.31346544895468098</v>
      </c>
      <c r="AD6" s="1">
        <v>37.599167741819997</v>
      </c>
      <c r="AE6" s="1">
        <v>0.99038848212038399</v>
      </c>
      <c r="AF6" s="1">
        <v>20.172080218333601</v>
      </c>
      <c r="AG6" s="1">
        <v>40.950205421840899</v>
      </c>
      <c r="AH6" s="1">
        <v>0.99362991049261995</v>
      </c>
      <c r="AI6" s="1">
        <v>21.958544652646498</v>
      </c>
      <c r="AJ6" s="1">
        <v>651.07928252220097</v>
      </c>
      <c r="AK6" s="1">
        <v>413.36879897117598</v>
      </c>
      <c r="AL6" s="7"/>
      <c r="AM6" s="1"/>
      <c r="AN6" s="1"/>
      <c r="AO6" s="8"/>
      <c r="AP6" s="1"/>
      <c r="AQ6" s="1"/>
      <c r="AR6" s="1"/>
      <c r="AS6" s="8"/>
      <c r="AT6" s="7">
        <v>0.32</v>
      </c>
      <c r="AU6" s="1">
        <v>0.26278739222987801</v>
      </c>
      <c r="AV6" s="1">
        <v>36.245679729063298</v>
      </c>
      <c r="AW6" s="1">
        <v>0.991318404809028</v>
      </c>
      <c r="AX6" s="1">
        <v>20.614004684888101</v>
      </c>
      <c r="AY6" s="1">
        <v>39.212858266438602</v>
      </c>
      <c r="AZ6" s="1">
        <v>0.99389357373462495</v>
      </c>
      <c r="BA6" s="1">
        <v>22.142128826055899</v>
      </c>
      <c r="BB6" s="1">
        <v>473.37006497383101</v>
      </c>
      <c r="BC6" s="1">
        <v>344.14189887046803</v>
      </c>
      <c r="BD6" s="7"/>
      <c r="BE6" s="1"/>
      <c r="BF6" s="1"/>
      <c r="BG6" s="8"/>
      <c r="BH6" s="1"/>
      <c r="BI6" s="1"/>
      <c r="BJ6" s="1"/>
      <c r="BK6" s="8"/>
    </row>
    <row r="7" spans="1:63">
      <c r="A7" s="49"/>
      <c r="B7" s="7" t="s">
        <v>19</v>
      </c>
      <c r="C7" s="17">
        <v>0.25</v>
      </c>
      <c r="D7" s="7">
        <v>35</v>
      </c>
      <c r="E7" s="1">
        <v>0.24301982592287499</v>
      </c>
      <c r="F7" s="1">
        <v>35.8922289049993</v>
      </c>
      <c r="G7" s="1">
        <v>0.98440875634963398</v>
      </c>
      <c r="H7" s="1">
        <v>18.071192415174099</v>
      </c>
      <c r="I7" s="1">
        <v>39.1531718657087</v>
      </c>
      <c r="J7" s="1">
        <v>0.98957016226675198</v>
      </c>
      <c r="K7" s="8">
        <v>19.8172244824685</v>
      </c>
      <c r="L7" s="7">
        <v>32</v>
      </c>
      <c r="M7" s="1">
        <v>0.23661524804610801</v>
      </c>
      <c r="N7" s="1">
        <v>36.881227796835198</v>
      </c>
      <c r="O7" s="1">
        <v>0.98747929364855802</v>
      </c>
      <c r="P7" s="1">
        <v>19.023711698571901</v>
      </c>
      <c r="Q7" s="1">
        <v>40.159771985545902</v>
      </c>
      <c r="R7" s="1">
        <v>0.99140290159645705</v>
      </c>
      <c r="S7" s="8">
        <v>20.656481022403501</v>
      </c>
      <c r="T7" s="7"/>
      <c r="U7" s="1"/>
      <c r="V7" s="1"/>
      <c r="W7" s="8"/>
      <c r="X7" s="7"/>
      <c r="Y7" s="1"/>
      <c r="Z7" s="1"/>
      <c r="AA7" s="8"/>
      <c r="AB7" s="7">
        <v>16</v>
      </c>
      <c r="AC7" s="1">
        <v>0.207681040897747</v>
      </c>
      <c r="AD7" s="1">
        <v>36.166776105500297</v>
      </c>
      <c r="AE7" s="1">
        <v>0.98630153728405101</v>
      </c>
      <c r="AF7" s="1">
        <v>18.6332816798528</v>
      </c>
      <c r="AG7" s="1">
        <v>39.413335208499198</v>
      </c>
      <c r="AH7" s="1">
        <v>0.99036223561655701</v>
      </c>
      <c r="AI7" s="1">
        <v>20.160236951982601</v>
      </c>
      <c r="AJ7" s="1">
        <v>432.76113867759699</v>
      </c>
      <c r="AK7" s="1">
        <v>313.75013184547402</v>
      </c>
      <c r="AL7" s="7"/>
      <c r="AM7" s="1"/>
      <c r="AN7" s="1"/>
      <c r="AO7" s="8"/>
      <c r="AP7" s="1"/>
      <c r="AQ7" s="1"/>
      <c r="AR7" s="1"/>
      <c r="AS7" s="8"/>
      <c r="AT7" s="7">
        <v>0.16</v>
      </c>
      <c r="AU7" s="1">
        <v>0.18618097237130801</v>
      </c>
      <c r="AV7" s="1">
        <v>34.354762252245997</v>
      </c>
      <c r="AW7" s="1">
        <v>0.98706154883582997</v>
      </c>
      <c r="AX7" s="1">
        <v>18.881177090702501</v>
      </c>
      <c r="AY7" s="1">
        <v>37.346640538726199</v>
      </c>
      <c r="AZ7" s="1">
        <v>0.99089747209498802</v>
      </c>
      <c r="BA7" s="1">
        <v>20.408379810044099</v>
      </c>
      <c r="BB7" s="1">
        <v>455.39016199111899</v>
      </c>
      <c r="BC7" s="1">
        <v>325.61183547973599</v>
      </c>
      <c r="BD7" s="7"/>
      <c r="BE7" s="1"/>
      <c r="BF7" s="1"/>
      <c r="BG7" s="8"/>
      <c r="BH7" s="1"/>
      <c r="BI7" s="1"/>
      <c r="BJ7" s="1"/>
      <c r="BK7" s="8"/>
    </row>
    <row r="8" spans="1:63">
      <c r="A8" s="49"/>
      <c r="B8" s="7" t="s">
        <v>18</v>
      </c>
      <c r="C8" s="17">
        <v>0.12</v>
      </c>
      <c r="D8" s="7">
        <v>41</v>
      </c>
      <c r="E8" s="1">
        <v>0.11842907077187199</v>
      </c>
      <c r="F8" s="1">
        <v>32.3600864604647</v>
      </c>
      <c r="G8" s="1">
        <v>0.96677953562282903</v>
      </c>
      <c r="H8" s="1">
        <v>14.785943009925999</v>
      </c>
      <c r="I8" s="1">
        <v>35.659989806949497</v>
      </c>
      <c r="J8" s="1">
        <v>0.97675870718638003</v>
      </c>
      <c r="K8" s="8">
        <v>16.3373971766704</v>
      </c>
      <c r="L8" s="7">
        <v>38</v>
      </c>
      <c r="M8" s="1">
        <v>0.118559245118961</v>
      </c>
      <c r="N8" s="1">
        <v>33.495276357365597</v>
      </c>
      <c r="O8" s="1">
        <v>0.97452444551247297</v>
      </c>
      <c r="P8" s="1">
        <v>15.9387635459327</v>
      </c>
      <c r="Q8" s="1">
        <v>36.824945717675803</v>
      </c>
      <c r="R8" s="1">
        <v>0.98164265357925895</v>
      </c>
      <c r="S8" s="8">
        <v>17.361900964527901</v>
      </c>
      <c r="T8" s="7"/>
      <c r="U8" s="1"/>
      <c r="V8" s="1"/>
      <c r="W8" s="8"/>
      <c r="X8" s="7"/>
      <c r="Y8" s="1"/>
      <c r="Z8" s="1"/>
      <c r="AA8" s="8"/>
      <c r="AB8" s="7">
        <v>8</v>
      </c>
      <c r="AC8" s="1">
        <v>0.15362377646283601</v>
      </c>
      <c r="AD8" s="1">
        <v>34.6185680579853</v>
      </c>
      <c r="AE8" s="1">
        <v>0.98053317254894901</v>
      </c>
      <c r="AF8" s="1">
        <v>17.107048205790601</v>
      </c>
      <c r="AG8" s="1">
        <v>37.812190320705298</v>
      </c>
      <c r="AH8" s="1">
        <v>0.98538428144582002</v>
      </c>
      <c r="AI8" s="1">
        <v>18.351798285142699</v>
      </c>
      <c r="AJ8" s="1">
        <v>328.27705764770502</v>
      </c>
      <c r="AK8" s="1">
        <v>218.30626511573701</v>
      </c>
      <c r="AL8" s="7"/>
      <c r="AM8" s="1"/>
      <c r="AN8" s="1"/>
      <c r="AO8" s="8"/>
      <c r="AP8" s="1"/>
      <c r="AQ8" s="1"/>
      <c r="AR8" s="1"/>
      <c r="AS8" s="8"/>
      <c r="AT8" s="7">
        <v>0.08</v>
      </c>
      <c r="AU8" s="1">
        <v>0.129336793505542</v>
      </c>
      <c r="AV8" s="1">
        <v>32.477864588422598</v>
      </c>
      <c r="AW8" s="1">
        <v>0.98035302498608301</v>
      </c>
      <c r="AX8" s="1">
        <v>17.067043071661299</v>
      </c>
      <c r="AY8" s="1">
        <v>35.556255199154101</v>
      </c>
      <c r="AZ8" s="1">
        <v>0.98626594358632902</v>
      </c>
      <c r="BA8" s="1">
        <v>18.622011730408801</v>
      </c>
      <c r="BB8" s="1">
        <v>320.18374228477398</v>
      </c>
      <c r="BC8" s="1">
        <v>223.94885420799201</v>
      </c>
      <c r="BD8" s="7"/>
      <c r="BE8" s="1"/>
      <c r="BF8" s="1"/>
      <c r="BG8" s="8"/>
      <c r="BH8" s="1"/>
      <c r="BI8" s="1"/>
      <c r="BJ8" s="1"/>
      <c r="BK8" s="8"/>
    </row>
    <row r="9" spans="1:63">
      <c r="A9" s="49"/>
      <c r="B9" s="7" t="s">
        <v>18</v>
      </c>
      <c r="C9" s="17">
        <v>0.06</v>
      </c>
      <c r="D9" s="7">
        <v>46</v>
      </c>
      <c r="E9" s="1">
        <v>5.8595615535686998E-2</v>
      </c>
      <c r="F9" s="1">
        <v>29.406569631615799</v>
      </c>
      <c r="G9" s="1">
        <v>0.93743734259403999</v>
      </c>
      <c r="H9" s="1">
        <v>12.0368481250202</v>
      </c>
      <c r="I9" s="1">
        <v>32.704158070368102</v>
      </c>
      <c r="J9" s="1">
        <v>0.95306184136580196</v>
      </c>
      <c r="K9" s="8">
        <v>13.2847395160774</v>
      </c>
      <c r="L9" s="7">
        <v>44</v>
      </c>
      <c r="M9" s="1">
        <v>5.3140718691091E-2</v>
      </c>
      <c r="N9" s="1">
        <v>30.028950947886901</v>
      </c>
      <c r="O9" s="1">
        <v>0.94600426274973504</v>
      </c>
      <c r="P9" s="1">
        <v>12.676405246541</v>
      </c>
      <c r="Q9" s="1">
        <v>33.324933109032401</v>
      </c>
      <c r="R9" s="1">
        <v>0.95761563420667295</v>
      </c>
      <c r="S9" s="8">
        <v>13.7279431090278</v>
      </c>
      <c r="T9" s="7"/>
      <c r="U9" s="1"/>
      <c r="V9" s="1"/>
      <c r="W9" s="8"/>
      <c r="X9" s="7"/>
      <c r="Y9" s="1"/>
      <c r="Z9" s="1"/>
      <c r="AA9" s="8"/>
      <c r="AB9" s="7">
        <v>4</v>
      </c>
      <c r="AC9" s="1">
        <v>0.113005829961682</v>
      </c>
      <c r="AD9" s="1">
        <v>32.987516216664602</v>
      </c>
      <c r="AE9" s="1">
        <v>0.97191955192188095</v>
      </c>
      <c r="AF9" s="1">
        <v>15.515959664745001</v>
      </c>
      <c r="AG9" s="1">
        <v>36.163326377070803</v>
      </c>
      <c r="AH9" s="1">
        <v>0.97798578467411001</v>
      </c>
      <c r="AI9" s="1">
        <v>16.572967899096302</v>
      </c>
      <c r="AJ9" s="1">
        <v>313.52552700042702</v>
      </c>
      <c r="AK9" s="1">
        <v>212.69223928451501</v>
      </c>
      <c r="AL9" s="7"/>
      <c r="AM9" s="1"/>
      <c r="AN9" s="1"/>
      <c r="AO9" s="8"/>
      <c r="AP9" s="1"/>
      <c r="AQ9" s="1"/>
      <c r="AR9" s="1"/>
      <c r="AS9" s="8"/>
      <c r="AT9" s="7">
        <v>0.04</v>
      </c>
      <c r="AU9" s="1">
        <v>8.9765567095297705E-2</v>
      </c>
      <c r="AV9" s="1">
        <v>30.370854060924501</v>
      </c>
      <c r="AW9" s="1">
        <v>0.97034675596313102</v>
      </c>
      <c r="AX9" s="1">
        <v>15.2792778829486</v>
      </c>
      <c r="AY9" s="1">
        <v>33.409747259901899</v>
      </c>
      <c r="AZ9" s="1">
        <v>0.97910231069803899</v>
      </c>
      <c r="BA9" s="1">
        <v>16.799017320174801</v>
      </c>
      <c r="BB9" s="1">
        <v>337.759228467941</v>
      </c>
      <c r="BC9" s="1">
        <v>227.843592882156</v>
      </c>
      <c r="BD9" s="7"/>
      <c r="BE9" s="1"/>
      <c r="BF9" s="1"/>
      <c r="BG9" s="8"/>
      <c r="BH9" s="1"/>
      <c r="BI9" s="1"/>
      <c r="BJ9" s="1"/>
      <c r="BK9" s="8"/>
    </row>
    <row r="10" spans="1:63">
      <c r="A10" s="49"/>
      <c r="B10" s="7" t="s">
        <v>20</v>
      </c>
      <c r="C10" s="17">
        <v>1.5</v>
      </c>
      <c r="D10" s="7">
        <v>25</v>
      </c>
      <c r="E10" s="1">
        <v>1.3616280000000001</v>
      </c>
      <c r="F10" s="1">
        <v>38.7832325219795</v>
      </c>
      <c r="G10" s="1">
        <v>0.99112872487830095</v>
      </c>
      <c r="H10" s="1">
        <v>20.520139519251401</v>
      </c>
      <c r="I10" s="1">
        <v>41.819221817080901</v>
      </c>
      <c r="J10" s="1">
        <v>0.99428442542873596</v>
      </c>
      <c r="K10" s="8">
        <v>22.429401046236499</v>
      </c>
      <c r="L10" s="7">
        <v>22</v>
      </c>
      <c r="M10" s="1">
        <v>1.46082166666666</v>
      </c>
      <c r="N10" s="1">
        <v>40.064147077452198</v>
      </c>
      <c r="O10" s="1">
        <v>0.99319538317529199</v>
      </c>
      <c r="P10" s="1">
        <v>21.671963253615299</v>
      </c>
      <c r="Q10" s="1">
        <v>43.130127960434201</v>
      </c>
      <c r="R10" s="1">
        <v>0.99568203846710301</v>
      </c>
      <c r="S10" s="8">
        <v>23.647212309516199</v>
      </c>
      <c r="T10" s="13">
        <f>bdrate(E10:E13,F10:F13,M10:M13,N10:N13)</f>
        <v>-0.19160814826676054</v>
      </c>
      <c r="U10" s="12">
        <f>bdrate(E10:E13,H10:H13,M10:M13,P10:P13)</f>
        <v>-0.16337855560859182</v>
      </c>
      <c r="V10" s="12">
        <f>bdrate(E10:E13,I10:I13,M10:M13,Q10:Q13)</f>
        <v>-0.19442478918909722</v>
      </c>
      <c r="W10" s="14">
        <f>bdrate(E10:E13,K10:K13,M10:M13,S10:S13)</f>
        <v>-0.14042761234637036</v>
      </c>
      <c r="X10" s="13">
        <f>bdrate(E12:E15,F12:F15,M12:M15,N12:N15)</f>
        <v>-0.30452636994178428</v>
      </c>
      <c r="Y10" s="12">
        <f>bdrate(E12:E15,H12:H15,M12:M15,P12:P15)</f>
        <v>-0.25690705876229525</v>
      </c>
      <c r="Z10" s="12">
        <f>bdrate(E12:E15,I12:I15,M12:M15,Q12:Q15)</f>
        <v>-0.31027127264539567</v>
      </c>
      <c r="AA10" s="14">
        <f>bdrate(E12:E15,K12:K15,M12:M15,S12:S15)</f>
        <v>-0.22370283700137594</v>
      </c>
      <c r="AB10" s="7"/>
      <c r="AC10" s="1"/>
      <c r="AD10" s="1"/>
      <c r="AE10" s="1"/>
      <c r="AF10" s="1"/>
      <c r="AG10" s="1"/>
      <c r="AH10" s="1"/>
      <c r="AI10" s="1"/>
      <c r="AJ10" s="1"/>
      <c r="AK10" s="1"/>
      <c r="AL10" s="13" t="e">
        <f>bdrate(E10:E13,F10:F13,AC10:AC13,AD10:AD13)</f>
        <v>#VALUE!</v>
      </c>
      <c r="AM10" s="12" t="e">
        <f>bdrate(E10:E13,H10:H13,AC10:AC13,AF10:AF13)</f>
        <v>#VALUE!</v>
      </c>
      <c r="AN10" s="12" t="e">
        <f>bdrate(E10:E13,I10:I13,AC10:AC13,AG10:AG13)</f>
        <v>#VALUE!</v>
      </c>
      <c r="AO10" s="14" t="e">
        <f>bdrate(E10:E13,K10:K13,AC10:AC13,AI10:AI13)</f>
        <v>#VALUE!</v>
      </c>
      <c r="AP10" s="12">
        <f>bdrate(E12:E15,F12:F15,AC12:AC15,AD12:AD15)</f>
        <v>-9.6521185546418309E-2</v>
      </c>
      <c r="AQ10" s="12">
        <f>bdrate(E12:E15,H12:H15,AC12:AC15,AF12:AF15)</f>
        <v>-0.15450146535267051</v>
      </c>
      <c r="AR10" s="12">
        <f>bdrate(E12:E15,I12:I15,AC12:AC15,AG12:AG15)</f>
        <v>-0.11392864927752955</v>
      </c>
      <c r="AS10" s="14">
        <f>bdrate(E12:E15,K12:K15,AC12:AC15,AI12:AI15)</f>
        <v>-0.10398839001248894</v>
      </c>
      <c r="AT10" s="7"/>
      <c r="AU10" s="1"/>
      <c r="AV10" s="1"/>
      <c r="AW10" s="1"/>
      <c r="AX10" s="1"/>
      <c r="AY10" s="1"/>
      <c r="AZ10" s="1"/>
      <c r="BA10" s="1"/>
      <c r="BB10" s="1"/>
      <c r="BC10" s="1"/>
      <c r="BD10" s="13" t="e">
        <f>bdrate(E10:E13,F10:F13,AU10:AU13,AV10:AV13)</f>
        <v>#VALUE!</v>
      </c>
      <c r="BE10" s="12" t="e">
        <f>bdrate(E10:E13,H10:H13,AU10:AU13,AX10:AX13)</f>
        <v>#VALUE!</v>
      </c>
      <c r="BF10" s="12" t="e">
        <f>bdrate(E10:E13,I10:I13,AU10:AU13,AY10:AY13)</f>
        <v>#VALUE!</v>
      </c>
      <c r="BG10" s="14" t="e">
        <f>bdrate(E10:E13,K10:K13,AU10:AU13,BA10:BA13)</f>
        <v>#VALUE!</v>
      </c>
      <c r="BH10" s="12">
        <f>bdrate(E12:E15,F12:F15,AU12:AU15,AV12:AV15)</f>
        <v>0.84227773732572331</v>
      </c>
      <c r="BI10" s="12">
        <f>bdrate(E12:E15,H12:H15,AU12:AU15,AX12:AX15)</f>
        <v>-0.49195711130925102</v>
      </c>
      <c r="BJ10" s="12">
        <f>bdrate(E12:E15,I12:I15,AU12:AU15,AY12:AY15)</f>
        <v>0.90899472410186011</v>
      </c>
      <c r="BK10" s="14">
        <f>bdrate(E12:E15,K12:K15,AU12:AU15,BA12:BA15)</f>
        <v>-0.47224598405387064</v>
      </c>
    </row>
    <row r="11" spans="1:63">
      <c r="A11" s="49"/>
      <c r="B11" s="7" t="s">
        <v>18</v>
      </c>
      <c r="C11" s="17">
        <v>1</v>
      </c>
      <c r="D11" s="7">
        <v>28</v>
      </c>
      <c r="E11" s="1">
        <v>0.87215799999999999</v>
      </c>
      <c r="F11" s="1">
        <v>36.597576413648397</v>
      </c>
      <c r="G11" s="1">
        <v>0.98492537749612996</v>
      </c>
      <c r="H11" s="1">
        <v>18.217535545800999</v>
      </c>
      <c r="I11" s="1">
        <v>39.570381081453</v>
      </c>
      <c r="J11" s="1">
        <v>0.98923819286692705</v>
      </c>
      <c r="K11" s="8">
        <v>19.681147953960799</v>
      </c>
      <c r="L11" s="7">
        <v>25</v>
      </c>
      <c r="M11" s="1">
        <v>0.96985600000000005</v>
      </c>
      <c r="N11" s="1">
        <v>37.9028686952878</v>
      </c>
      <c r="O11" s="1">
        <v>0.98861298784218499</v>
      </c>
      <c r="P11" s="1">
        <v>19.435902156573601</v>
      </c>
      <c r="Q11" s="1">
        <v>40.901308546075299</v>
      </c>
      <c r="R11" s="1">
        <v>0.99200080987329797</v>
      </c>
      <c r="S11" s="8">
        <v>20.969539806716899</v>
      </c>
      <c r="T11" s="7"/>
      <c r="U11" s="1"/>
      <c r="V11" s="1"/>
      <c r="W11" s="8"/>
      <c r="X11" s="7"/>
      <c r="Y11" s="1"/>
      <c r="Z11" s="1"/>
      <c r="AA11" s="8"/>
      <c r="AB11" s="7">
        <v>64</v>
      </c>
      <c r="AC11" s="1">
        <v>0.70441366666666605</v>
      </c>
      <c r="AD11" s="1">
        <v>35.974860492889</v>
      </c>
      <c r="AE11" s="1">
        <v>0.98422988489517305</v>
      </c>
      <c r="AF11" s="1">
        <v>18.021651367783399</v>
      </c>
      <c r="AG11" s="1">
        <v>38.993782214993097</v>
      </c>
      <c r="AH11" s="1">
        <v>0.98869824329913303</v>
      </c>
      <c r="AI11" s="1">
        <v>19.468540462337</v>
      </c>
      <c r="AJ11" s="1">
        <v>903.89432048797596</v>
      </c>
      <c r="AK11" s="1">
        <v>390.93482565879799</v>
      </c>
      <c r="AL11" s="7"/>
      <c r="AM11" s="1"/>
      <c r="AN11" s="1"/>
      <c r="AO11" s="8"/>
      <c r="AP11" s="1"/>
      <c r="AQ11" s="1"/>
      <c r="AR11" s="1"/>
      <c r="AS11" s="8"/>
      <c r="AT11" s="7">
        <v>0.64</v>
      </c>
      <c r="AU11" s="1">
        <v>0.61889066666666603</v>
      </c>
      <c r="AV11" s="1">
        <v>33.022035030362503</v>
      </c>
      <c r="AW11" s="1">
        <v>0.98967986076548697</v>
      </c>
      <c r="AX11" s="1">
        <v>19.863144433703798</v>
      </c>
      <c r="AY11" s="1">
        <v>35.8631326880028</v>
      </c>
      <c r="AZ11" s="1">
        <v>0.99220748162624905</v>
      </c>
      <c r="BA11" s="1">
        <v>21.083221650396801</v>
      </c>
      <c r="BB11" s="1">
        <v>316.17826318740799</v>
      </c>
      <c r="BC11" s="1">
        <v>188.71057152748099</v>
      </c>
      <c r="BD11" s="7"/>
      <c r="BE11" s="1"/>
      <c r="BF11" s="1"/>
      <c r="BG11" s="8"/>
      <c r="BH11" s="1"/>
      <c r="BI11" s="1"/>
      <c r="BJ11" s="1"/>
      <c r="BK11" s="8"/>
    </row>
    <row r="12" spans="1:63">
      <c r="A12" s="49"/>
      <c r="B12" s="7" t="s">
        <v>18</v>
      </c>
      <c r="C12" s="17">
        <v>0.5</v>
      </c>
      <c r="D12" s="7">
        <v>32</v>
      </c>
      <c r="E12" s="1">
        <v>0.43616233333333299</v>
      </c>
      <c r="F12" s="1">
        <v>34.101541494680603</v>
      </c>
      <c r="G12" s="1">
        <v>0.97075652941935597</v>
      </c>
      <c r="H12" s="1">
        <v>15.339710870979101</v>
      </c>
      <c r="I12" s="1">
        <v>37.0478868311125</v>
      </c>
      <c r="J12" s="1">
        <v>0.97694494752773997</v>
      </c>
      <c r="K12" s="8">
        <v>16.372338850087999</v>
      </c>
      <c r="L12" s="7">
        <v>29</v>
      </c>
      <c r="M12" s="1">
        <v>0.497049666666666</v>
      </c>
      <c r="N12" s="1">
        <v>35.266823987422001</v>
      </c>
      <c r="O12" s="1">
        <v>0.97792651513115803</v>
      </c>
      <c r="P12" s="1">
        <v>16.561290968413999</v>
      </c>
      <c r="Q12" s="1">
        <v>38.245356999155398</v>
      </c>
      <c r="R12" s="1">
        <v>0.98278950211632299</v>
      </c>
      <c r="S12" s="8">
        <v>17.642065657557801</v>
      </c>
      <c r="T12" s="7"/>
      <c r="U12" s="1"/>
      <c r="V12" s="1"/>
      <c r="W12" s="8"/>
      <c r="X12" s="7"/>
      <c r="Y12" s="1"/>
      <c r="Z12" s="1"/>
      <c r="AA12" s="8"/>
      <c r="AB12" s="7">
        <v>32</v>
      </c>
      <c r="AC12" s="1">
        <v>0.43811266666666598</v>
      </c>
      <c r="AD12" s="1">
        <v>34.331855609463403</v>
      </c>
      <c r="AE12" s="1">
        <v>0.97476118019425695</v>
      </c>
      <c r="AF12" s="1">
        <v>15.9793095702841</v>
      </c>
      <c r="AG12" s="1">
        <v>37.319310131515103</v>
      </c>
      <c r="AH12" s="1">
        <v>0.98014684836940402</v>
      </c>
      <c r="AI12" s="1">
        <v>17.021705404308701</v>
      </c>
      <c r="AJ12" s="1">
        <v>594.08133029937699</v>
      </c>
      <c r="AK12" s="1">
        <v>357.82047319412197</v>
      </c>
      <c r="AL12" s="7"/>
      <c r="AM12" s="1"/>
      <c r="AN12" s="1"/>
      <c r="AO12" s="8"/>
      <c r="AP12" s="1"/>
      <c r="AQ12" s="1"/>
      <c r="AR12" s="1"/>
      <c r="AS12" s="8"/>
      <c r="AT12" s="7">
        <v>0.32</v>
      </c>
      <c r="AU12" s="1">
        <v>0.46038099999999998</v>
      </c>
      <c r="AV12" s="1">
        <v>32.180117954613799</v>
      </c>
      <c r="AW12" s="1">
        <v>0.985822544408262</v>
      </c>
      <c r="AX12" s="1">
        <v>18.484017043871098</v>
      </c>
      <c r="AY12" s="1">
        <v>35.0105158712446</v>
      </c>
      <c r="AZ12" s="1">
        <v>0.98905890745263203</v>
      </c>
      <c r="BA12" s="1">
        <v>19.609393083863399</v>
      </c>
      <c r="BB12" s="1">
        <v>428.62923789024302</v>
      </c>
      <c r="BC12" s="1">
        <v>292.70569801330498</v>
      </c>
      <c r="BD12" s="7"/>
      <c r="BE12" s="1"/>
      <c r="BF12" s="1"/>
      <c r="BG12" s="8"/>
      <c r="BH12" s="1"/>
      <c r="BI12" s="1"/>
      <c r="BJ12" s="1"/>
      <c r="BK12" s="8"/>
    </row>
    <row r="13" spans="1:63">
      <c r="A13" s="49"/>
      <c r="B13" s="7" t="s">
        <v>18</v>
      </c>
      <c r="C13" s="17">
        <v>0.25</v>
      </c>
      <c r="D13" s="7">
        <v>36</v>
      </c>
      <c r="E13" s="1">
        <v>0.234454</v>
      </c>
      <c r="F13" s="1">
        <v>32.235254638981701</v>
      </c>
      <c r="G13" s="1">
        <v>0.95475575708883098</v>
      </c>
      <c r="H13" s="1">
        <v>13.444366746019201</v>
      </c>
      <c r="I13" s="1">
        <v>35.1719164140573</v>
      </c>
      <c r="J13" s="1">
        <v>0.96335946717091503</v>
      </c>
      <c r="K13" s="8">
        <v>14.360382194187901</v>
      </c>
      <c r="L13" s="7">
        <v>33</v>
      </c>
      <c r="M13" s="1">
        <v>0.248627666666666</v>
      </c>
      <c r="N13" s="1">
        <v>33.316201104443799</v>
      </c>
      <c r="O13" s="1">
        <v>0.96312461960874995</v>
      </c>
      <c r="P13" s="1">
        <v>14.3326349098751</v>
      </c>
      <c r="Q13" s="1">
        <v>36.288345726168899</v>
      </c>
      <c r="R13" s="1">
        <v>0.96963404023564204</v>
      </c>
      <c r="S13" s="8">
        <v>15.176129877580401</v>
      </c>
      <c r="T13" s="7"/>
      <c r="U13" s="1"/>
      <c r="V13" s="1"/>
      <c r="W13" s="8"/>
      <c r="X13" s="7"/>
      <c r="Y13" s="1"/>
      <c r="Z13" s="1"/>
      <c r="AA13" s="8"/>
      <c r="AB13" s="7">
        <v>16</v>
      </c>
      <c r="AC13" s="1">
        <v>0.27242333333333302</v>
      </c>
      <c r="AD13" s="1">
        <v>32.9952410240398</v>
      </c>
      <c r="AE13" s="1">
        <v>0.96360825469626299</v>
      </c>
      <c r="AF13" s="1">
        <v>14.3899711568043</v>
      </c>
      <c r="AG13" s="1">
        <v>35.9850642851926</v>
      </c>
      <c r="AH13" s="1">
        <v>0.969923770531118</v>
      </c>
      <c r="AI13" s="1">
        <v>15.2177661035097</v>
      </c>
      <c r="AJ13" s="1">
        <v>404.25614619254998</v>
      </c>
      <c r="AK13" s="1">
        <v>281.87385749816798</v>
      </c>
      <c r="AL13" s="7"/>
      <c r="AM13" s="1"/>
      <c r="AN13" s="1"/>
      <c r="AO13" s="8"/>
      <c r="AP13" s="1"/>
      <c r="AQ13" s="1"/>
      <c r="AR13" s="1"/>
      <c r="AS13" s="8"/>
      <c r="AT13" s="7">
        <v>0.16</v>
      </c>
      <c r="AU13" s="1">
        <v>0.30442766666666599</v>
      </c>
      <c r="AV13" s="1">
        <v>31.023694496598399</v>
      </c>
      <c r="AW13" s="1">
        <v>0.978237414263321</v>
      </c>
      <c r="AX13" s="1">
        <v>16.6228950490882</v>
      </c>
      <c r="AY13" s="1">
        <v>33.842350734750603</v>
      </c>
      <c r="AZ13" s="1">
        <v>0.98275660048740199</v>
      </c>
      <c r="BA13" s="1">
        <v>17.633771095078998</v>
      </c>
      <c r="BB13" s="1">
        <v>400.369004011154</v>
      </c>
      <c r="BC13" s="1">
        <v>289.08051156997601</v>
      </c>
      <c r="BD13" s="7"/>
      <c r="BE13" s="1"/>
      <c r="BF13" s="1"/>
      <c r="BG13" s="8"/>
      <c r="BH13" s="1"/>
      <c r="BI13" s="1"/>
      <c r="BJ13" s="1"/>
      <c r="BK13" s="8"/>
    </row>
    <row r="14" spans="1:63">
      <c r="A14" s="49"/>
      <c r="B14" s="7" t="s">
        <v>18</v>
      </c>
      <c r="C14" s="17">
        <v>0.12</v>
      </c>
      <c r="D14" s="7">
        <v>41</v>
      </c>
      <c r="E14" s="1">
        <v>0.11190899999999999</v>
      </c>
      <c r="F14" s="1">
        <v>30.003379585357202</v>
      </c>
      <c r="G14" s="1">
        <v>0.93002900170093605</v>
      </c>
      <c r="H14" s="1">
        <v>11.550819298225701</v>
      </c>
      <c r="I14" s="1">
        <v>32.930745741396798</v>
      </c>
      <c r="J14" s="1">
        <v>0.94182354322690598</v>
      </c>
      <c r="K14" s="8">
        <v>12.3525273291283</v>
      </c>
      <c r="L14" s="7">
        <v>38</v>
      </c>
      <c r="M14" s="1">
        <v>0.116659333333333</v>
      </c>
      <c r="N14" s="1">
        <v>31.290655335635702</v>
      </c>
      <c r="O14" s="1">
        <v>0.94299658632851602</v>
      </c>
      <c r="P14" s="1">
        <v>12.440991356556401</v>
      </c>
      <c r="Q14" s="1">
        <v>34.242411755752201</v>
      </c>
      <c r="R14" s="1">
        <v>0.95191285001173398</v>
      </c>
      <c r="S14" s="8">
        <v>13.1797096177102</v>
      </c>
      <c r="T14" s="7"/>
      <c r="U14" s="1"/>
      <c r="V14" s="1"/>
      <c r="W14" s="8"/>
      <c r="X14" s="7"/>
      <c r="Y14" s="1"/>
      <c r="Z14" s="1"/>
      <c r="AA14" s="8"/>
      <c r="AB14" s="7">
        <v>8</v>
      </c>
      <c r="AC14" s="1">
        <v>0.18578233333333299</v>
      </c>
      <c r="AD14" s="1">
        <v>31.859492254611801</v>
      </c>
      <c r="AE14" s="1">
        <v>0.95310913461150204</v>
      </c>
      <c r="AF14" s="1">
        <v>13.2891175211972</v>
      </c>
      <c r="AG14" s="1">
        <v>34.857392276023603</v>
      </c>
      <c r="AH14" s="1">
        <v>0.96010578816533798</v>
      </c>
      <c r="AI14" s="1">
        <v>13.9909011059436</v>
      </c>
      <c r="AJ14" s="1">
        <v>292.82754755020102</v>
      </c>
      <c r="AK14" s="1">
        <v>192.46335411071701</v>
      </c>
      <c r="AL14" s="7"/>
      <c r="AM14" s="1"/>
      <c r="AN14" s="1"/>
      <c r="AO14" s="8"/>
      <c r="AP14" s="1"/>
      <c r="AQ14" s="1"/>
      <c r="AR14" s="1"/>
      <c r="AS14" s="8"/>
      <c r="AT14" s="7">
        <v>0.08</v>
      </c>
      <c r="AU14" s="1">
        <v>0.18654333333333301</v>
      </c>
      <c r="AV14" s="1">
        <v>29.835215553734699</v>
      </c>
      <c r="AW14" s="1">
        <v>0.96691836925186303</v>
      </c>
      <c r="AX14" s="1">
        <v>14.8041309018778</v>
      </c>
      <c r="AY14" s="1">
        <v>32.6617377913159</v>
      </c>
      <c r="AZ14" s="1">
        <v>0.97288949996260898</v>
      </c>
      <c r="BA14" s="1">
        <v>15.668624720367401</v>
      </c>
      <c r="BB14" s="1">
        <v>289.64767575263897</v>
      </c>
      <c r="BC14" s="1">
        <v>196.39530158042899</v>
      </c>
      <c r="BD14" s="7"/>
      <c r="BE14" s="1"/>
      <c r="BF14" s="1"/>
      <c r="BG14" s="8"/>
      <c r="BH14" s="1"/>
      <c r="BI14" s="1"/>
      <c r="BJ14" s="1"/>
      <c r="BK14" s="8"/>
    </row>
    <row r="15" spans="1:63">
      <c r="A15" s="49"/>
      <c r="B15" s="7" t="s">
        <v>18</v>
      </c>
      <c r="C15" s="17">
        <v>0.06</v>
      </c>
      <c r="D15" s="7">
        <v>46</v>
      </c>
      <c r="E15" s="1">
        <v>5.1748666666666603E-2</v>
      </c>
      <c r="F15" s="1">
        <v>27.685229153925</v>
      </c>
      <c r="G15" s="1">
        <v>0.89339895811777903</v>
      </c>
      <c r="H15" s="1">
        <v>9.7223855064258</v>
      </c>
      <c r="I15" s="1">
        <v>30.612615647563601</v>
      </c>
      <c r="J15" s="1">
        <v>0.90762354202371798</v>
      </c>
      <c r="K15" s="8">
        <v>10.3443869407958</v>
      </c>
      <c r="L15" s="7">
        <v>43</v>
      </c>
      <c r="M15" s="1">
        <v>5.5893999999999999E-2</v>
      </c>
      <c r="N15" s="1">
        <v>29.205680454314301</v>
      </c>
      <c r="O15" s="1">
        <v>0.91766281117836201</v>
      </c>
      <c r="P15" s="1">
        <v>10.844039648839701</v>
      </c>
      <c r="Q15" s="1">
        <v>32.156212580852703</v>
      </c>
      <c r="R15" s="1">
        <v>0.92857954438253598</v>
      </c>
      <c r="S15" s="8">
        <v>11.461773836095</v>
      </c>
      <c r="T15" s="7"/>
      <c r="U15" s="1"/>
      <c r="V15" s="1"/>
      <c r="W15" s="8"/>
      <c r="X15" s="7"/>
      <c r="Y15" s="1"/>
      <c r="Z15" s="1"/>
      <c r="AA15" s="8"/>
      <c r="AB15" s="7">
        <v>4</v>
      </c>
      <c r="AC15" s="1">
        <v>0.126641</v>
      </c>
      <c r="AD15" s="1">
        <v>30.6781292804299</v>
      </c>
      <c r="AE15" s="1">
        <v>0.939075969322271</v>
      </c>
      <c r="AF15" s="1">
        <v>12.1521137186277</v>
      </c>
      <c r="AG15" s="1">
        <v>33.690361219230901</v>
      </c>
      <c r="AH15" s="1">
        <v>0.94706722257727005</v>
      </c>
      <c r="AI15" s="1">
        <v>12.7627531765205</v>
      </c>
      <c r="AJ15" s="1">
        <v>343.43106746673499</v>
      </c>
      <c r="AK15" s="1">
        <v>218.083565235137</v>
      </c>
      <c r="AL15" s="7"/>
      <c r="AM15" s="1"/>
      <c r="AN15" s="1"/>
      <c r="AO15" s="8"/>
      <c r="AP15" s="1"/>
      <c r="AQ15" s="1"/>
      <c r="AR15" s="1"/>
      <c r="AS15" s="8"/>
      <c r="AT15" s="7">
        <v>0.04</v>
      </c>
      <c r="AU15" s="1">
        <v>0.118888333333333</v>
      </c>
      <c r="AV15" s="1">
        <v>28.640489827785501</v>
      </c>
      <c r="AW15" s="1">
        <v>0.95416403000073202</v>
      </c>
      <c r="AX15" s="1">
        <v>13.3879357350181</v>
      </c>
      <c r="AY15" s="1">
        <v>31.4434139850154</v>
      </c>
      <c r="AZ15" s="1">
        <v>0.96189929037717303</v>
      </c>
      <c r="BA15" s="1">
        <v>14.1906693554727</v>
      </c>
      <c r="BB15" s="1">
        <v>362.66913032531698</v>
      </c>
      <c r="BC15" s="1">
        <v>257.50948095321598</v>
      </c>
      <c r="BD15" s="7"/>
      <c r="BE15" s="1"/>
      <c r="BF15" s="1"/>
      <c r="BG15" s="8"/>
      <c r="BH15" s="1"/>
      <c r="BI15" s="1"/>
      <c r="BJ15" s="1"/>
      <c r="BK15" s="8"/>
    </row>
    <row r="16" spans="1:63">
      <c r="A16" s="49"/>
      <c r="B16" s="7" t="s">
        <v>21</v>
      </c>
      <c r="C16" s="17">
        <v>1.5</v>
      </c>
      <c r="D16" s="7">
        <v>26</v>
      </c>
      <c r="E16" s="1">
        <v>1.43440733333333</v>
      </c>
      <c r="F16" s="1">
        <v>38.087415838617503</v>
      </c>
      <c r="G16" s="1">
        <v>0.99300436275270898</v>
      </c>
      <c r="H16" s="1">
        <v>21.551727185736301</v>
      </c>
      <c r="I16" s="1">
        <v>41.168952972714798</v>
      </c>
      <c r="J16" s="1">
        <v>0.99643405503047799</v>
      </c>
      <c r="K16" s="8">
        <v>24.4782536324077</v>
      </c>
      <c r="L16" s="7">
        <v>23</v>
      </c>
      <c r="M16" s="1">
        <v>1.4730226666666599</v>
      </c>
      <c r="N16" s="1">
        <v>39.317528738746198</v>
      </c>
      <c r="O16" s="1">
        <v>0.99420200956499905</v>
      </c>
      <c r="P16" s="1">
        <v>22.367225054401199</v>
      </c>
      <c r="Q16" s="1">
        <v>42.497375942838801</v>
      </c>
      <c r="R16" s="1">
        <v>0.99730144557588996</v>
      </c>
      <c r="S16" s="8">
        <v>25.688688187134201</v>
      </c>
      <c r="T16" s="13">
        <f>bdrate(E16:E19,F16:F19,M16:M19,N16:N19)</f>
        <v>-0.2397788426298797</v>
      </c>
      <c r="U16" s="12">
        <f>bdrate(E16:E19,H16:H19,M16:M19,P16:P19)</f>
        <v>-0.20188713402243208</v>
      </c>
      <c r="V16" s="12">
        <f>bdrate(E16:E19,I16:I19,M16:M19,Q16:Q19)</f>
        <v>-0.24237617252426458</v>
      </c>
      <c r="W16" s="14">
        <f>bdrate(E16:E19,K16:K19,M16:M19,S16:S19)</f>
        <v>-0.17651882312782197</v>
      </c>
      <c r="X16" s="13">
        <f>bdrate(E18:E21,F18:F21,M18:M21,N18:N21)</f>
        <v>-0.32784302380075947</v>
      </c>
      <c r="Y16" s="12">
        <f>bdrate(E18:E21,H18:H21,M18:M21,P18:P21)</f>
        <v>-0.3083007521123754</v>
      </c>
      <c r="Z16" s="12">
        <f>bdrate(E18:E21,I18:I21,M18:M21,Q18:Q21)</f>
        <v>-0.32321638956255438</v>
      </c>
      <c r="AA16" s="14">
        <f>bdrate(E18:E21,K18:K21,M18:M21,S18:S21)</f>
        <v>-0.21406018420353401</v>
      </c>
      <c r="AB16" s="7"/>
      <c r="AC16" s="1"/>
      <c r="AD16" s="1"/>
      <c r="AE16" s="1"/>
      <c r="AF16" s="1"/>
      <c r="AG16" s="1"/>
      <c r="AH16" s="1"/>
      <c r="AI16" s="1"/>
      <c r="AJ16" s="1"/>
      <c r="AK16" s="1"/>
      <c r="AL16" s="13" t="e">
        <f>bdrate(E16:E19,F16:F19,AC16:AC19,AD16:AD19)</f>
        <v>#VALUE!</v>
      </c>
      <c r="AM16" s="12" t="e">
        <f>bdrate(E16:E19,H16:H19,AC16:AC19,AF16:AF19)</f>
        <v>#VALUE!</v>
      </c>
      <c r="AN16" s="12" t="e">
        <f>bdrate(E16:E19,I16:I19,AC16:AC19,AG16:AG19)</f>
        <v>#VALUE!</v>
      </c>
      <c r="AO16" s="14" t="e">
        <f>bdrate(E16:E19,K16:K19,AC16:AC19,AI16:AI19)</f>
        <v>#VALUE!</v>
      </c>
      <c r="AP16" s="12">
        <f>bdrate(E18:E21,F18:F21,AC18:AC21,AD18:AD21)</f>
        <v>-0.27062352045369309</v>
      </c>
      <c r="AQ16" s="12">
        <f>bdrate(E18:E21,H18:H21,AC18:AC21,AF18:AF21)</f>
        <v>-0.27598164286659099</v>
      </c>
      <c r="AR16" s="12">
        <f>bdrate(E18:E21,I18:I21,AC18:AC21,AG18:AG21)</f>
        <v>-0.2739469300387154</v>
      </c>
      <c r="AS16" s="14">
        <f>bdrate(E18:E21,K18:K21,AC18:AC21,AI18:AI21)</f>
        <v>-0.15996702211250291</v>
      </c>
      <c r="AT16" s="7"/>
      <c r="AU16" s="1"/>
      <c r="AV16" s="1"/>
      <c r="AW16" s="1"/>
      <c r="AX16" s="1"/>
      <c r="AY16" s="1"/>
      <c r="AZ16" s="1"/>
      <c r="BA16" s="1"/>
      <c r="BB16" s="1"/>
      <c r="BC16" s="1"/>
      <c r="BD16" s="13" t="e">
        <f>bdrate(E16:E19,F16:F19,AU16:AU19,AV16:AV19)</f>
        <v>#VALUE!</v>
      </c>
      <c r="BE16" s="12" t="e">
        <f>bdrate(E16:E19,H16:H19,AU16:AU19,AX16:AX19)</f>
        <v>#VALUE!</v>
      </c>
      <c r="BF16" s="12" t="e">
        <f>bdrate(E16:E19,I16:I19,AU16:AU19,AY16:AY19)</f>
        <v>#VALUE!</v>
      </c>
      <c r="BG16" s="14" t="e">
        <f>bdrate(E16:E19,K16:K19,AU16:AU19,BA16:BA19)</f>
        <v>#VALUE!</v>
      </c>
      <c r="BH16" s="12">
        <f>bdrate(E18:E21,F18:F21,AU18:AU21,AV18:AV21)</f>
        <v>-0.11726032705515499</v>
      </c>
      <c r="BI16" s="12">
        <f>bdrate(E18:E21,H18:H21,AU18:AU21,AX18:AX21)</f>
        <v>-0.43852540239957294</v>
      </c>
      <c r="BJ16" s="12">
        <f>bdrate(E18:E21,I18:I21,AU18:AU21,AY18:AY21)</f>
        <v>-5.9014508970796742E-2</v>
      </c>
      <c r="BK16" s="14">
        <f>bdrate(E18:E21,K18:K21,AU18:AU21,BA18:BA21)</f>
        <v>-0.32924174211597368</v>
      </c>
    </row>
    <row r="17" spans="1:63">
      <c r="A17" s="49"/>
      <c r="B17" s="7" t="s">
        <v>18</v>
      </c>
      <c r="C17" s="17">
        <v>1</v>
      </c>
      <c r="D17" s="7">
        <v>29</v>
      </c>
      <c r="E17" s="1">
        <v>0.98344833333333304</v>
      </c>
      <c r="F17" s="1">
        <v>35.937715581993203</v>
      </c>
      <c r="G17" s="1">
        <v>0.98775291890342098</v>
      </c>
      <c r="H17" s="1">
        <v>19.119674063771001</v>
      </c>
      <c r="I17" s="1">
        <v>38.968034051325198</v>
      </c>
      <c r="J17" s="1">
        <v>0.99319576964969902</v>
      </c>
      <c r="K17" s="8">
        <v>21.6722099221249</v>
      </c>
      <c r="L17" s="7">
        <v>27</v>
      </c>
      <c r="M17" s="1">
        <v>0.87855266666666598</v>
      </c>
      <c r="N17" s="1">
        <v>36.486109445095202</v>
      </c>
      <c r="O17" s="1">
        <v>0.98848968686828498</v>
      </c>
      <c r="P17" s="1">
        <v>19.389128614678501</v>
      </c>
      <c r="Q17" s="1">
        <v>39.555443556869598</v>
      </c>
      <c r="R17" s="1">
        <v>0.99374976765349199</v>
      </c>
      <c r="S17" s="8">
        <v>22.041038378670599</v>
      </c>
      <c r="T17" s="7"/>
      <c r="U17" s="1"/>
      <c r="V17" s="1"/>
      <c r="W17" s="8"/>
      <c r="X17" s="7"/>
      <c r="Y17" s="1"/>
      <c r="Z17" s="1"/>
      <c r="AA17" s="8"/>
      <c r="AB17" s="7">
        <v>64</v>
      </c>
      <c r="AC17" s="1">
        <v>0.83183366666666603</v>
      </c>
      <c r="AD17" s="1">
        <v>36.303925724019997</v>
      </c>
      <c r="AE17" s="1">
        <v>0.98884378642244997</v>
      </c>
      <c r="AF17" s="1">
        <v>19.524831800761799</v>
      </c>
      <c r="AG17" s="1">
        <v>39.370195942743401</v>
      </c>
      <c r="AH17" s="1">
        <v>0.99402444724076799</v>
      </c>
      <c r="AI17" s="1">
        <v>22.236219147847802</v>
      </c>
      <c r="AJ17" s="1">
        <v>993.58559417724598</v>
      </c>
      <c r="AK17" s="1">
        <v>421.30450153350802</v>
      </c>
      <c r="AL17" s="7"/>
      <c r="AM17" s="1"/>
      <c r="AN17" s="1"/>
      <c r="AO17" s="8"/>
      <c r="AP17" s="1"/>
      <c r="AQ17" s="1"/>
      <c r="AR17" s="1"/>
      <c r="AS17" s="8"/>
      <c r="AT17" s="7">
        <v>0.64</v>
      </c>
      <c r="AU17" s="1">
        <v>0.66822833333333298</v>
      </c>
      <c r="AV17" s="1">
        <v>34.395002874592997</v>
      </c>
      <c r="AW17" s="1">
        <v>0.99034366206704405</v>
      </c>
      <c r="AX17" s="1">
        <v>20.151875440861598</v>
      </c>
      <c r="AY17" s="1">
        <v>37.167935870266199</v>
      </c>
      <c r="AZ17" s="1">
        <v>0.99330947916424295</v>
      </c>
      <c r="BA17" s="1">
        <v>21.745400724727801</v>
      </c>
      <c r="BB17" s="1">
        <v>320.49874138832001</v>
      </c>
      <c r="BC17" s="1">
        <v>186.88337635993901</v>
      </c>
      <c r="BD17" s="7"/>
      <c r="BE17" s="1"/>
      <c r="BF17" s="1"/>
      <c r="BG17" s="8"/>
      <c r="BH17" s="1"/>
      <c r="BI17" s="1"/>
      <c r="BJ17" s="1"/>
      <c r="BK17" s="8"/>
    </row>
    <row r="18" spans="1:63">
      <c r="A18" s="49"/>
      <c r="B18" s="7" t="s">
        <v>18</v>
      </c>
      <c r="C18" s="17">
        <v>0.5</v>
      </c>
      <c r="D18" s="7">
        <v>35</v>
      </c>
      <c r="E18" s="1">
        <v>0.451832333333333</v>
      </c>
      <c r="F18" s="1">
        <v>32.416632243097197</v>
      </c>
      <c r="G18" s="1">
        <v>0.96767658816110802</v>
      </c>
      <c r="H18" s="1">
        <v>14.9048280431454</v>
      </c>
      <c r="I18" s="1">
        <v>35.377837978383099</v>
      </c>
      <c r="J18" s="1">
        <v>0.98038525573139401</v>
      </c>
      <c r="K18" s="8">
        <v>17.0741734970407</v>
      </c>
      <c r="L18" s="7">
        <v>31</v>
      </c>
      <c r="M18" s="1">
        <v>0.49682833333333298</v>
      </c>
      <c r="N18" s="1">
        <v>34.072754035628698</v>
      </c>
      <c r="O18" s="1">
        <v>0.97850381825113497</v>
      </c>
      <c r="P18" s="1">
        <v>16.6763867462683</v>
      </c>
      <c r="Q18" s="1">
        <v>37.083837738640298</v>
      </c>
      <c r="R18" s="1">
        <v>0.98667995926799201</v>
      </c>
      <c r="S18" s="8">
        <v>18.754944471132401</v>
      </c>
      <c r="T18" s="7"/>
      <c r="U18" s="1"/>
      <c r="V18" s="1"/>
      <c r="W18" s="8"/>
      <c r="X18" s="7"/>
      <c r="Y18" s="1"/>
      <c r="Z18" s="1"/>
      <c r="AA18" s="8"/>
      <c r="AB18" s="7">
        <v>32</v>
      </c>
      <c r="AC18" s="1">
        <v>0.55643433333333303</v>
      </c>
      <c r="AD18" s="1">
        <v>34.509715425069999</v>
      </c>
      <c r="AE18" s="1">
        <v>0.98234146557496604</v>
      </c>
      <c r="AF18" s="1">
        <v>17.5304534365386</v>
      </c>
      <c r="AG18" s="1">
        <v>37.523242252444497</v>
      </c>
      <c r="AH18" s="1">
        <v>0.98907741714456898</v>
      </c>
      <c r="AI18" s="1">
        <v>19.6167465217851</v>
      </c>
      <c r="AJ18" s="1">
        <v>625.24923372268597</v>
      </c>
      <c r="AK18" s="1">
        <v>357.75649023056002</v>
      </c>
      <c r="AL18" s="7"/>
      <c r="AM18" s="1"/>
      <c r="AN18" s="1"/>
      <c r="AO18" s="8"/>
      <c r="AP18" s="1"/>
      <c r="AQ18" s="1"/>
      <c r="AR18" s="1"/>
      <c r="AS18" s="8"/>
      <c r="AT18" s="7">
        <v>0.32</v>
      </c>
      <c r="AU18" s="1">
        <v>0.51192566666666595</v>
      </c>
      <c r="AV18" s="1">
        <v>33.357798051775198</v>
      </c>
      <c r="AW18" s="1">
        <v>0.98612940840316698</v>
      </c>
      <c r="AX18" s="1">
        <v>18.579050153679098</v>
      </c>
      <c r="AY18" s="1">
        <v>36.0707872682786</v>
      </c>
      <c r="AZ18" s="1">
        <v>0.99017152774678596</v>
      </c>
      <c r="BA18" s="1">
        <v>20.075139840562699</v>
      </c>
      <c r="BB18" s="1">
        <v>438.19266939163202</v>
      </c>
      <c r="BC18" s="1">
        <v>308.60081791877701</v>
      </c>
      <c r="BD18" s="7"/>
      <c r="BE18" s="1"/>
      <c r="BF18" s="1"/>
      <c r="BG18" s="8"/>
      <c r="BH18" s="1"/>
      <c r="BI18" s="1"/>
      <c r="BJ18" s="1"/>
      <c r="BK18" s="8"/>
    </row>
    <row r="19" spans="1:63">
      <c r="A19" s="49"/>
      <c r="B19" s="7" t="s">
        <v>18</v>
      </c>
      <c r="C19" s="17">
        <v>0.25</v>
      </c>
      <c r="D19" s="7">
        <v>40</v>
      </c>
      <c r="E19" s="1">
        <v>0.23082066666666601</v>
      </c>
      <c r="F19" s="1">
        <v>29.797321169372101</v>
      </c>
      <c r="G19" s="1">
        <v>0.93534136992807304</v>
      </c>
      <c r="H19" s="1">
        <v>11.8937350106231</v>
      </c>
      <c r="I19" s="1">
        <v>32.683942507881603</v>
      </c>
      <c r="J19" s="1">
        <v>0.95689539593585604</v>
      </c>
      <c r="K19" s="8">
        <v>13.654763397496501</v>
      </c>
      <c r="L19" s="7">
        <v>37</v>
      </c>
      <c r="M19" s="1">
        <v>0.22199533333333299</v>
      </c>
      <c r="N19" s="1">
        <v>31.068206947378499</v>
      </c>
      <c r="O19" s="1">
        <v>0.952402713397001</v>
      </c>
      <c r="P19" s="1">
        <v>13.224178045680199</v>
      </c>
      <c r="Q19" s="1">
        <v>33.979568322417201</v>
      </c>
      <c r="R19" s="1">
        <v>0.96572053320553097</v>
      </c>
      <c r="S19" s="8">
        <v>14.6496594200032</v>
      </c>
      <c r="T19" s="7"/>
      <c r="U19" s="1"/>
      <c r="V19" s="1"/>
      <c r="W19" s="8"/>
      <c r="X19" s="7"/>
      <c r="Y19" s="1"/>
      <c r="Z19" s="1"/>
      <c r="AA19" s="8"/>
      <c r="AB19" s="7">
        <v>16</v>
      </c>
      <c r="AC19" s="1">
        <v>0.372103666666666</v>
      </c>
      <c r="AD19" s="1">
        <v>32.918275607143897</v>
      </c>
      <c r="AE19" s="1">
        <v>0.97211786001059197</v>
      </c>
      <c r="AF19" s="1">
        <v>15.5467389664561</v>
      </c>
      <c r="AG19" s="1">
        <v>35.896295540360001</v>
      </c>
      <c r="AH19" s="1">
        <v>0.98079773077381005</v>
      </c>
      <c r="AI19" s="1">
        <v>17.166474455579799</v>
      </c>
      <c r="AJ19" s="1">
        <v>417.53270745277399</v>
      </c>
      <c r="AK19" s="1">
        <v>283.11527585983202</v>
      </c>
      <c r="AL19" s="7"/>
      <c r="AM19" s="1"/>
      <c r="AN19" s="1"/>
      <c r="AO19" s="8"/>
      <c r="AP19" s="1"/>
      <c r="AQ19" s="1"/>
      <c r="AR19" s="1"/>
      <c r="AS19" s="8"/>
      <c r="AT19" s="7">
        <v>0.16</v>
      </c>
      <c r="AU19" s="1">
        <v>0.36267566666666601</v>
      </c>
      <c r="AV19" s="1">
        <v>31.965146051618401</v>
      </c>
      <c r="AW19" s="1">
        <v>0.97808338047763399</v>
      </c>
      <c r="AX19" s="1">
        <v>16.5922643175704</v>
      </c>
      <c r="AY19" s="1">
        <v>34.644067854651297</v>
      </c>
      <c r="AZ19" s="1">
        <v>0.98406653048996595</v>
      </c>
      <c r="BA19" s="1">
        <v>17.976896463583699</v>
      </c>
      <c r="BB19" s="1">
        <v>392.74309325218201</v>
      </c>
      <c r="BC19" s="1">
        <v>265.78010129928498</v>
      </c>
      <c r="BD19" s="7"/>
      <c r="BE19" s="1"/>
      <c r="BF19" s="1"/>
      <c r="BG19" s="8"/>
      <c r="BH19" s="1"/>
      <c r="BI19" s="1"/>
      <c r="BJ19" s="1"/>
      <c r="BK19" s="8"/>
    </row>
    <row r="20" spans="1:63">
      <c r="A20" s="49"/>
      <c r="B20" s="7" t="s">
        <v>18</v>
      </c>
      <c r="C20" s="17">
        <v>0.12</v>
      </c>
      <c r="D20" s="7">
        <v>45</v>
      </c>
      <c r="E20" s="1">
        <v>0.110788</v>
      </c>
      <c r="F20" s="1">
        <v>27.326769475297901</v>
      </c>
      <c r="G20" s="1">
        <v>0.88111301884901605</v>
      </c>
      <c r="H20" s="1">
        <v>9.24865700670221</v>
      </c>
      <c r="I20" s="1">
        <v>30.107158323630799</v>
      </c>
      <c r="J20" s="1">
        <v>0.90992291288145599</v>
      </c>
      <c r="K20" s="8">
        <v>10.4538566632928</v>
      </c>
      <c r="L20" s="7">
        <v>42</v>
      </c>
      <c r="M20" s="1">
        <v>0.110667666666666</v>
      </c>
      <c r="N20" s="1">
        <v>28.677345017216201</v>
      </c>
      <c r="O20" s="1">
        <v>0.91227191368302896</v>
      </c>
      <c r="P20" s="1">
        <v>10.5686134415157</v>
      </c>
      <c r="Q20" s="1">
        <v>31.484069292776599</v>
      </c>
      <c r="R20" s="1">
        <v>0.92828848952519005</v>
      </c>
      <c r="S20" s="8">
        <v>11.444111297648201</v>
      </c>
      <c r="T20" s="7"/>
      <c r="U20" s="1"/>
      <c r="V20" s="1"/>
      <c r="W20" s="8"/>
      <c r="X20" s="7"/>
      <c r="Y20" s="1"/>
      <c r="Z20" s="1"/>
      <c r="AA20" s="8"/>
      <c r="AB20" s="7">
        <v>8</v>
      </c>
      <c r="AC20" s="1">
        <v>0.25743500000000002</v>
      </c>
      <c r="AD20" s="1">
        <v>31.4006382942401</v>
      </c>
      <c r="AE20" s="1">
        <v>0.95778434942884205</v>
      </c>
      <c r="AF20" s="1">
        <v>13.745265135733501</v>
      </c>
      <c r="AG20" s="1">
        <v>34.357321415132503</v>
      </c>
      <c r="AH20" s="1">
        <v>0.96858168196973904</v>
      </c>
      <c r="AI20" s="1">
        <v>15.0281706849174</v>
      </c>
      <c r="AJ20" s="1">
        <v>301.980073451995</v>
      </c>
      <c r="AK20" s="1">
        <v>191.38247752189599</v>
      </c>
      <c r="AL20" s="7"/>
      <c r="AM20" s="1"/>
      <c r="AN20" s="1"/>
      <c r="AO20" s="8"/>
      <c r="AP20" s="1"/>
      <c r="AQ20" s="1"/>
      <c r="AR20" s="1"/>
      <c r="AS20" s="8"/>
      <c r="AT20" s="7">
        <v>0.08</v>
      </c>
      <c r="AU20" s="1">
        <v>0.24272966666666601</v>
      </c>
      <c r="AV20" s="1">
        <v>30.457390404066</v>
      </c>
      <c r="AW20" s="1">
        <v>0.96552856295123202</v>
      </c>
      <c r="AX20" s="1">
        <v>14.625406113022001</v>
      </c>
      <c r="AY20" s="1">
        <v>33.132110333339497</v>
      </c>
      <c r="AZ20" s="1">
        <v>0.97411822200628395</v>
      </c>
      <c r="BA20" s="1">
        <v>15.8700589236438</v>
      </c>
      <c r="BB20" s="1">
        <v>289.77604651451099</v>
      </c>
      <c r="BC20" s="1">
        <v>195.481037616729</v>
      </c>
      <c r="BD20" s="7"/>
      <c r="BE20" s="1"/>
      <c r="BF20" s="1"/>
      <c r="BG20" s="8"/>
      <c r="BH20" s="1"/>
      <c r="BI20" s="1"/>
      <c r="BJ20" s="1"/>
      <c r="BK20" s="8"/>
    </row>
    <row r="21" spans="1:63">
      <c r="A21" s="49"/>
      <c r="B21" s="7" t="s">
        <v>18</v>
      </c>
      <c r="C21" s="17">
        <v>0.06</v>
      </c>
      <c r="D21" s="7">
        <v>49</v>
      </c>
      <c r="E21" s="1">
        <v>5.88366666666666E-2</v>
      </c>
      <c r="F21" s="1">
        <v>25.469246888620798</v>
      </c>
      <c r="G21" s="1">
        <v>0.81888268374236695</v>
      </c>
      <c r="H21" s="1">
        <v>7.4204002569023402</v>
      </c>
      <c r="I21" s="1">
        <v>28.163564273191898</v>
      </c>
      <c r="J21" s="1">
        <v>0.84810101787401604</v>
      </c>
      <c r="K21" s="8">
        <v>8.1844513633174607</v>
      </c>
      <c r="L21" s="7">
        <v>47</v>
      </c>
      <c r="M21" s="1">
        <v>5.2971999999999998E-2</v>
      </c>
      <c r="N21" s="1">
        <v>26.326034330689499</v>
      </c>
      <c r="O21" s="1">
        <v>0.84669968454021705</v>
      </c>
      <c r="P21" s="1">
        <v>8.14456951458072</v>
      </c>
      <c r="Q21" s="1">
        <v>29.0383937455085</v>
      </c>
      <c r="R21" s="1">
        <v>0.861868176000819</v>
      </c>
      <c r="S21" s="8">
        <v>8.5970625339084705</v>
      </c>
      <c r="T21" s="7"/>
      <c r="U21" s="1"/>
      <c r="V21" s="1"/>
      <c r="W21" s="8"/>
      <c r="X21" s="7"/>
      <c r="Y21" s="1"/>
      <c r="Z21" s="1"/>
      <c r="AA21" s="8"/>
      <c r="AB21" s="7">
        <v>4</v>
      </c>
      <c r="AC21" s="1">
        <v>0.182163666666666</v>
      </c>
      <c r="AD21" s="1">
        <v>30.090962181360801</v>
      </c>
      <c r="AE21" s="1">
        <v>0.94020099897599696</v>
      </c>
      <c r="AF21" s="1">
        <v>12.2330607108495</v>
      </c>
      <c r="AG21" s="1">
        <v>33.009634716543701</v>
      </c>
      <c r="AH21" s="1">
        <v>0.95174257189049105</v>
      </c>
      <c r="AI21" s="1">
        <v>13.164358276326199</v>
      </c>
      <c r="AJ21" s="1">
        <v>414.356054544448</v>
      </c>
      <c r="AK21" s="1">
        <v>290.22713565826399</v>
      </c>
      <c r="AL21" s="7"/>
      <c r="AM21" s="1"/>
      <c r="AN21" s="1"/>
      <c r="AO21" s="8"/>
      <c r="AP21" s="1"/>
      <c r="AQ21" s="1"/>
      <c r="AR21" s="1"/>
      <c r="AS21" s="8"/>
      <c r="AT21" s="7">
        <v>0.04</v>
      </c>
      <c r="AU21" s="1">
        <v>0.16157299999999999</v>
      </c>
      <c r="AV21" s="1">
        <v>29.022841651355002</v>
      </c>
      <c r="AW21" s="1">
        <v>0.94829603859998901</v>
      </c>
      <c r="AX21" s="1">
        <v>12.864761813111301</v>
      </c>
      <c r="AY21" s="1">
        <v>31.663422574202102</v>
      </c>
      <c r="AZ21" s="1">
        <v>0.95930443172058799</v>
      </c>
      <c r="BA21" s="1">
        <v>13.9045288258291</v>
      </c>
      <c r="BB21" s="1">
        <v>385.550298213958</v>
      </c>
      <c r="BC21" s="1">
        <v>286.53042364120398</v>
      </c>
      <c r="BD21" s="7"/>
      <c r="BE21" s="1"/>
      <c r="BF21" s="1"/>
      <c r="BG21" s="8"/>
      <c r="BH21" s="1"/>
      <c r="BI21" s="1"/>
      <c r="BJ21" s="1"/>
      <c r="BK21" s="8"/>
    </row>
    <row r="22" spans="1:63">
      <c r="A22" s="49"/>
      <c r="B22" s="7" t="s">
        <v>22</v>
      </c>
      <c r="C22" s="17">
        <v>1.5</v>
      </c>
      <c r="D22" s="7">
        <v>23</v>
      </c>
      <c r="E22" s="1">
        <v>1.37533966666666</v>
      </c>
      <c r="F22" s="1">
        <v>41.004136559036901</v>
      </c>
      <c r="G22" s="1">
        <v>0.99215017306373599</v>
      </c>
      <c r="H22" s="1">
        <v>21.051399179622699</v>
      </c>
      <c r="I22" s="1">
        <v>44.0569871133685</v>
      </c>
      <c r="J22" s="1">
        <v>0.99429671878116899</v>
      </c>
      <c r="K22" s="8">
        <v>22.438752135849601</v>
      </c>
      <c r="L22" s="7">
        <v>20</v>
      </c>
      <c r="M22" s="1">
        <v>1.4965696666666599</v>
      </c>
      <c r="N22" s="1">
        <v>42.139378922999903</v>
      </c>
      <c r="O22" s="1">
        <v>0.99402898406058204</v>
      </c>
      <c r="P22" s="1">
        <v>22.239517694827601</v>
      </c>
      <c r="Q22" s="1">
        <v>45.186318246619102</v>
      </c>
      <c r="R22" s="1">
        <v>0.99573996369520801</v>
      </c>
      <c r="S22" s="8">
        <v>23.705866997462799</v>
      </c>
      <c r="T22" s="13">
        <f>bdrate(E22:E25,F22:F25,M22:M25,N22:N25)</f>
        <v>-0.12353802932765345</v>
      </c>
      <c r="U22" s="12">
        <f>bdrate(E22:E25,H22:H25,M22:M25,P22:P25)</f>
        <v>-0.13390634422409042</v>
      </c>
      <c r="V22" s="12">
        <f>bdrate(E22:E25,I22:I25,M22:M25,Q22:Q25)</f>
        <v>-0.13393261831372971</v>
      </c>
      <c r="W22" s="14">
        <f>bdrate(E22:E25,K22:K25,M22:M25,S22:S25)</f>
        <v>-0.10807754136787384</v>
      </c>
      <c r="X22" s="13">
        <f>bdrate(E24:E27,F24:F27,M24:M27,N24:N27)</f>
        <v>-0.18090264222517172</v>
      </c>
      <c r="Y22" s="12">
        <f>bdrate(E24:E27,H24:H27,M24:M27,P24:P27)</f>
        <v>-0.19608606493735403</v>
      </c>
      <c r="Z22" s="12">
        <f>bdrate(E24:E27,I24:I27,M24:M27,Q24:Q27)</f>
        <v>-0.20755579075150377</v>
      </c>
      <c r="AA22" s="14">
        <f>bdrate(E24:E27,K24:K27,M24:M27,S24:S27)</f>
        <v>-0.1591392104680307</v>
      </c>
      <c r="AB22" s="7"/>
      <c r="AC22" s="1"/>
      <c r="AD22" s="1"/>
      <c r="AE22" s="1"/>
      <c r="AF22" s="1"/>
      <c r="AG22" s="1"/>
      <c r="AH22" s="1"/>
      <c r="AI22" s="1"/>
      <c r="AJ22" s="1"/>
      <c r="AK22" s="1"/>
      <c r="AL22" s="13" t="e">
        <f>bdrate(E22:E25,F22:F25,AC22:AC25,AD22:AD25)</f>
        <v>#VALUE!</v>
      </c>
      <c r="AM22" s="12" t="e">
        <f>bdrate(E22:E25,H22:H25,AC22:AC25,AF22:AF25)</f>
        <v>#VALUE!</v>
      </c>
      <c r="AN22" s="12" t="e">
        <f>bdrate(E22:E25,I22:I25,AC22:AC25,AG22:AG25)</f>
        <v>#VALUE!</v>
      </c>
      <c r="AO22" s="14" t="e">
        <f>bdrate(E22:E25,K22:K25,AC22:AC25,AI22:AI25)</f>
        <v>#VALUE!</v>
      </c>
      <c r="AP22" s="12">
        <f>bdrate(E24:E27,F24:F27,AC24:AC27,AD24:AD27)</f>
        <v>-0.12287338878220644</v>
      </c>
      <c r="AQ22" s="12">
        <f>bdrate(E24:E27,H24:H27,AC24:AC27,AF24:AF27)</f>
        <v>-0.19512479941825556</v>
      </c>
      <c r="AR22" s="12">
        <f>bdrate(E24:E27,I24:I27,AC24:AC27,AG24:AG27)</f>
        <v>-0.208897215852347</v>
      </c>
      <c r="AS22" s="14">
        <f>bdrate(E24:E27,K24:K27,AC24:AC27,AI24:AI27)</f>
        <v>-9.4636587447589071E-2</v>
      </c>
      <c r="AT22" s="7"/>
      <c r="AU22" s="1"/>
      <c r="AV22" s="1"/>
      <c r="AW22" s="1"/>
      <c r="AX22" s="1"/>
      <c r="AY22" s="1"/>
      <c r="AZ22" s="1"/>
      <c r="BA22" s="1"/>
      <c r="BB22" s="1"/>
      <c r="BC22" s="1"/>
      <c r="BD22" s="13" t="e">
        <f>bdrate(E22:E25,F22:F25,AU22:AU25,AV22:AV25)</f>
        <v>#VALUE!</v>
      </c>
      <c r="BE22" s="12" t="e">
        <f>bdrate(E22:E25,H22:H25,AU22:AU25,AX22:AX25)</f>
        <v>#VALUE!</v>
      </c>
      <c r="BF22" s="12" t="e">
        <f>bdrate(E22:E25,I22:I25,AU22:AU25,AY22:AY25)</f>
        <v>#VALUE!</v>
      </c>
      <c r="BG22" s="14" t="e">
        <f>bdrate(E22:E25,K22:K25,AU22:AU25,BA22:BA25)</f>
        <v>#VALUE!</v>
      </c>
      <c r="BH22" s="12">
        <f>bdrate(E24:E27,F24:F27,AU24:AU27,AV24:AV27)</f>
        <v>0.69506538994211553</v>
      </c>
      <c r="BI22" s="12">
        <f>bdrate(E24:E27,H24:H27,AU24:AU27,AX24:AX27)</f>
        <v>-0.48215497103789418</v>
      </c>
      <c r="BJ22" s="12">
        <f>bdrate(E24:E27,I24:I27,AU24:AU27,AY24:AY27)</f>
        <v>0.9767091650399613</v>
      </c>
      <c r="BK22" s="14">
        <f>bdrate(E24:E27,K24:K27,AU24:AU27,BA24:BA27)</f>
        <v>-0.45878229614564225</v>
      </c>
    </row>
    <row r="23" spans="1:63">
      <c r="A23" s="49"/>
      <c r="B23" s="7" t="s">
        <v>18</v>
      </c>
      <c r="C23" s="17">
        <v>1</v>
      </c>
      <c r="D23" s="7">
        <v>25</v>
      </c>
      <c r="E23" s="1">
        <v>0.986920666666666</v>
      </c>
      <c r="F23" s="1">
        <v>39.270428402202</v>
      </c>
      <c r="G23" s="1">
        <v>0.98824540073766098</v>
      </c>
      <c r="H23" s="1">
        <v>19.297921722491001</v>
      </c>
      <c r="I23" s="1">
        <v>42.404604584527803</v>
      </c>
      <c r="J23" s="1">
        <v>0.99076293250261005</v>
      </c>
      <c r="K23" s="8">
        <v>20.3446588287526</v>
      </c>
      <c r="L23" s="7">
        <v>23</v>
      </c>
      <c r="M23" s="1">
        <v>0.98408166666666597</v>
      </c>
      <c r="N23" s="1">
        <v>39.798205701320498</v>
      </c>
      <c r="O23" s="1">
        <v>0.98977321164375398</v>
      </c>
      <c r="P23" s="1">
        <v>19.902607316984199</v>
      </c>
      <c r="Q23" s="1">
        <v>42.926663026388297</v>
      </c>
      <c r="R23" s="1">
        <v>0.99188372783129097</v>
      </c>
      <c r="S23" s="8">
        <v>20.906433978897699</v>
      </c>
      <c r="T23" s="7"/>
      <c r="U23" s="1"/>
      <c r="V23" s="1"/>
      <c r="W23" s="8"/>
      <c r="X23" s="7"/>
      <c r="Y23" s="1"/>
      <c r="Z23" s="1"/>
      <c r="AA23" s="8"/>
      <c r="AB23" s="7">
        <v>64</v>
      </c>
      <c r="AC23" s="1">
        <v>0.37457166666666603</v>
      </c>
      <c r="AD23" s="1">
        <v>36.347585406184798</v>
      </c>
      <c r="AE23" s="1">
        <v>0.97704243316017203</v>
      </c>
      <c r="AF23" s="1">
        <v>16.3907414258207</v>
      </c>
      <c r="AG23" s="1">
        <v>39.780196276207597</v>
      </c>
      <c r="AH23" s="1">
        <v>0.97927274406331499</v>
      </c>
      <c r="AI23" s="1">
        <v>16.834581899678199</v>
      </c>
      <c r="AJ23" s="1">
        <v>923.99637746810902</v>
      </c>
      <c r="AK23" s="1">
        <v>416.88750886917097</v>
      </c>
      <c r="AL23" s="7"/>
      <c r="AM23" s="1"/>
      <c r="AN23" s="1"/>
      <c r="AO23" s="8"/>
      <c r="AP23" s="1"/>
      <c r="AQ23" s="1"/>
      <c r="AR23" s="1"/>
      <c r="AS23" s="8"/>
      <c r="AT23" s="7">
        <v>0.64</v>
      </c>
      <c r="AU23" s="1">
        <v>0.55752633333333301</v>
      </c>
      <c r="AV23" s="1">
        <v>36.043941091891099</v>
      </c>
      <c r="AW23" s="1">
        <v>0.98964810179354501</v>
      </c>
      <c r="AX23" s="1">
        <v>19.8498000721175</v>
      </c>
      <c r="AY23" s="1">
        <v>39.384477825158797</v>
      </c>
      <c r="AZ23" s="1">
        <v>0.99088157337183203</v>
      </c>
      <c r="BA23" s="1">
        <v>20.400800921160201</v>
      </c>
      <c r="BB23" s="1">
        <v>316.97751379012999</v>
      </c>
      <c r="BC23" s="1">
        <v>192.109221220016</v>
      </c>
      <c r="BD23" s="7"/>
      <c r="BE23" s="1"/>
      <c r="BF23" s="1"/>
      <c r="BG23" s="8"/>
      <c r="BH23" s="1"/>
      <c r="BI23" s="1"/>
      <c r="BJ23" s="1"/>
      <c r="BK23" s="8"/>
    </row>
    <row r="24" spans="1:63">
      <c r="A24" s="49"/>
      <c r="B24" s="7" t="s">
        <v>18</v>
      </c>
      <c r="C24" s="17">
        <v>0.5</v>
      </c>
      <c r="D24" s="7">
        <v>28</v>
      </c>
      <c r="E24" s="1">
        <v>0.49948199999999998</v>
      </c>
      <c r="F24" s="1">
        <v>36.794260346894603</v>
      </c>
      <c r="G24" s="1">
        <v>0.97820182403700195</v>
      </c>
      <c r="H24" s="1">
        <v>16.6157984595262</v>
      </c>
      <c r="I24" s="1">
        <v>40.095245873052697</v>
      </c>
      <c r="J24" s="1">
        <v>0.98124108076640304</v>
      </c>
      <c r="K24" s="8">
        <v>17.2679218644769</v>
      </c>
      <c r="L24" s="7">
        <v>27</v>
      </c>
      <c r="M24" s="1">
        <v>0.42195633333333299</v>
      </c>
      <c r="N24" s="1">
        <v>36.743613072245303</v>
      </c>
      <c r="O24" s="1">
        <v>0.97809062526172996</v>
      </c>
      <c r="P24" s="1">
        <v>16.593700163961099</v>
      </c>
      <c r="Q24" s="1">
        <v>40.0847775511712</v>
      </c>
      <c r="R24" s="1">
        <v>0.98073464323977499</v>
      </c>
      <c r="S24" s="8">
        <v>17.1522294421327</v>
      </c>
      <c r="T24" s="7"/>
      <c r="U24" s="1"/>
      <c r="V24" s="1"/>
      <c r="W24" s="8"/>
      <c r="X24" s="7"/>
      <c r="Y24" s="1"/>
      <c r="Z24" s="1"/>
      <c r="AA24" s="8"/>
      <c r="AB24" s="7">
        <v>32</v>
      </c>
      <c r="AC24" s="1">
        <v>0.165920333333333</v>
      </c>
      <c r="AD24" s="1">
        <v>35.0171887089259</v>
      </c>
      <c r="AE24" s="1">
        <v>0.96698270973312495</v>
      </c>
      <c r="AF24" s="1">
        <v>14.8125857221294</v>
      </c>
      <c r="AG24" s="1">
        <v>38.505992257215603</v>
      </c>
      <c r="AH24" s="1">
        <v>0.96945338735286002</v>
      </c>
      <c r="AI24" s="1">
        <v>15.150369422207399</v>
      </c>
      <c r="AJ24" s="1">
        <v>576.94245409965504</v>
      </c>
      <c r="AK24" s="1">
        <v>357.789188623428</v>
      </c>
      <c r="AL24" s="7"/>
      <c r="AM24" s="1"/>
      <c r="AN24" s="1"/>
      <c r="AO24" s="8"/>
      <c r="AP24" s="1"/>
      <c r="AQ24" s="1"/>
      <c r="AR24" s="1"/>
      <c r="AS24" s="8"/>
      <c r="AT24" s="7">
        <v>0.32</v>
      </c>
      <c r="AU24" s="1">
        <v>0.39914166666666601</v>
      </c>
      <c r="AV24" s="1">
        <v>35.472255559536997</v>
      </c>
      <c r="AW24" s="1">
        <v>0.98581170049648503</v>
      </c>
      <c r="AX24" s="1">
        <v>18.480696524984602</v>
      </c>
      <c r="AY24" s="1">
        <v>38.701094799180403</v>
      </c>
      <c r="AZ24" s="1">
        <v>0.98743308263791996</v>
      </c>
      <c r="BA24" s="1">
        <v>19.0077124075668</v>
      </c>
      <c r="BB24" s="1">
        <v>427.74844312667801</v>
      </c>
      <c r="BC24" s="1">
        <v>303.91834282874999</v>
      </c>
      <c r="BD24" s="7"/>
      <c r="BE24" s="1"/>
      <c r="BF24" s="1"/>
      <c r="BG24" s="8"/>
      <c r="BH24" s="1"/>
      <c r="BI24" s="1"/>
      <c r="BJ24" s="1"/>
      <c r="BK24" s="8"/>
    </row>
    <row r="25" spans="1:63">
      <c r="A25" s="49"/>
      <c r="B25" s="7" t="s">
        <v>18</v>
      </c>
      <c r="C25" s="17">
        <v>0.25</v>
      </c>
      <c r="D25" s="7">
        <v>31</v>
      </c>
      <c r="E25" s="1">
        <v>0.19146333333333301</v>
      </c>
      <c r="F25" s="1">
        <v>35.009006534032302</v>
      </c>
      <c r="G25" s="1">
        <v>0.96544388591808705</v>
      </c>
      <c r="H25" s="1">
        <v>14.614751009057599</v>
      </c>
      <c r="I25" s="1">
        <v>38.403432150384901</v>
      </c>
      <c r="J25" s="1">
        <v>0.96907875449631198</v>
      </c>
      <c r="K25" s="8">
        <v>15.0974302107697</v>
      </c>
      <c r="L25" s="7">
        <v>29</v>
      </c>
      <c r="M25" s="1">
        <v>0.21124933333333301</v>
      </c>
      <c r="N25" s="1">
        <v>35.4046489616074</v>
      </c>
      <c r="O25" s="1">
        <v>0.96887717362644898</v>
      </c>
      <c r="P25" s="1">
        <v>15.0692097007889</v>
      </c>
      <c r="Q25" s="1">
        <v>38.845101697942901</v>
      </c>
      <c r="R25" s="1">
        <v>0.97178376994192905</v>
      </c>
      <c r="S25" s="8">
        <v>15.495010123516501</v>
      </c>
      <c r="T25" s="7"/>
      <c r="U25" s="1"/>
      <c r="V25" s="1"/>
      <c r="W25" s="8"/>
      <c r="X25" s="7"/>
      <c r="Y25" s="1"/>
      <c r="Z25" s="1"/>
      <c r="AA25" s="8"/>
      <c r="AB25" s="7">
        <v>16</v>
      </c>
      <c r="AC25" s="1">
        <v>0.101502333333333</v>
      </c>
      <c r="AD25" s="1">
        <v>34.417943622131602</v>
      </c>
      <c r="AE25" s="1">
        <v>0.96135409705228003</v>
      </c>
      <c r="AF25" s="1">
        <v>14.1289654111206</v>
      </c>
      <c r="AG25" s="1">
        <v>37.8730913368438</v>
      </c>
      <c r="AH25" s="1">
        <v>0.964170920262854</v>
      </c>
      <c r="AI25" s="1">
        <v>14.4576434645885</v>
      </c>
      <c r="AJ25" s="1">
        <v>406.60370874404902</v>
      </c>
      <c r="AK25" s="1">
        <v>282.96940803527798</v>
      </c>
      <c r="AL25" s="7"/>
      <c r="AM25" s="1"/>
      <c r="AN25" s="1"/>
      <c r="AO25" s="8"/>
      <c r="AP25" s="1"/>
      <c r="AQ25" s="1"/>
      <c r="AR25" s="1"/>
      <c r="AS25" s="8"/>
      <c r="AT25" s="7">
        <v>0.16</v>
      </c>
      <c r="AU25" s="1">
        <v>0.227763666666666</v>
      </c>
      <c r="AV25" s="1">
        <v>34.454419822596797</v>
      </c>
      <c r="AW25" s="1">
        <v>0.97716015096091102</v>
      </c>
      <c r="AX25" s="1">
        <v>16.413067709037499</v>
      </c>
      <c r="AY25" s="1">
        <v>37.520089180344101</v>
      </c>
      <c r="AZ25" s="1">
        <v>0.97950657427964904</v>
      </c>
      <c r="BA25" s="1">
        <v>16.8838543803177</v>
      </c>
      <c r="BB25" s="1">
        <v>391.851906776428</v>
      </c>
      <c r="BC25" s="1">
        <v>292.94033241271899</v>
      </c>
      <c r="BD25" s="7"/>
      <c r="BE25" s="1"/>
      <c r="BF25" s="1"/>
      <c r="BG25" s="8"/>
      <c r="BH25" s="1"/>
      <c r="BI25" s="1"/>
      <c r="BJ25" s="1"/>
      <c r="BK25" s="8"/>
    </row>
    <row r="26" spans="1:63">
      <c r="A26" s="49"/>
      <c r="B26" s="7" t="s">
        <v>18</v>
      </c>
      <c r="C26" s="17">
        <v>0.12</v>
      </c>
      <c r="D26" s="7">
        <v>34</v>
      </c>
      <c r="E26" s="1">
        <v>0.118994666666666</v>
      </c>
      <c r="F26" s="1">
        <v>34.398624952381901</v>
      </c>
      <c r="G26" s="1">
        <v>0.95990218058926502</v>
      </c>
      <c r="H26" s="1">
        <v>13.9687924442807</v>
      </c>
      <c r="I26" s="1">
        <v>37.6968778133282</v>
      </c>
      <c r="J26" s="1">
        <v>0.96432576282690596</v>
      </c>
      <c r="K26" s="8">
        <v>14.4764530469006</v>
      </c>
      <c r="L26" s="7">
        <v>32</v>
      </c>
      <c r="M26" s="1">
        <v>0.105283</v>
      </c>
      <c r="N26" s="1">
        <v>34.580091629571399</v>
      </c>
      <c r="O26" s="1">
        <v>0.96208851013294105</v>
      </c>
      <c r="P26" s="1">
        <v>14.212291480893001</v>
      </c>
      <c r="Q26" s="1">
        <v>37.982734631778499</v>
      </c>
      <c r="R26" s="1">
        <v>0.96544418189859604</v>
      </c>
      <c r="S26" s="8">
        <v>14.6147882074682</v>
      </c>
      <c r="T26" s="7"/>
      <c r="U26" s="1"/>
      <c r="V26" s="1"/>
      <c r="W26" s="8"/>
      <c r="X26" s="7"/>
      <c r="Y26" s="1"/>
      <c r="Z26" s="1"/>
      <c r="AA26" s="8"/>
      <c r="AB26" s="7">
        <v>8</v>
      </c>
      <c r="AC26" s="1">
        <v>7.4659666666666596E-2</v>
      </c>
      <c r="AD26" s="1">
        <v>33.836356711882701</v>
      </c>
      <c r="AE26" s="1">
        <v>0.95551384599387001</v>
      </c>
      <c r="AF26" s="1">
        <v>13.5177513900616</v>
      </c>
      <c r="AG26" s="1">
        <v>37.269071721203296</v>
      </c>
      <c r="AH26" s="1">
        <v>0.95868200479381005</v>
      </c>
      <c r="AI26" s="1">
        <v>13.8386075907913</v>
      </c>
      <c r="AJ26" s="1">
        <v>292.61912178993202</v>
      </c>
      <c r="AK26" s="1">
        <v>191.761152267456</v>
      </c>
      <c r="AL26" s="7"/>
      <c r="AM26" s="1"/>
      <c r="AN26" s="1"/>
      <c r="AO26" s="8"/>
      <c r="AP26" s="1"/>
      <c r="AQ26" s="1"/>
      <c r="AR26" s="1"/>
      <c r="AS26" s="8"/>
      <c r="AT26" s="7">
        <v>0.08</v>
      </c>
      <c r="AU26" s="1">
        <v>9.8664333333333298E-2</v>
      </c>
      <c r="AV26" s="1">
        <v>33.343787027305403</v>
      </c>
      <c r="AW26" s="1">
        <v>0.96500862493067496</v>
      </c>
      <c r="AX26" s="1">
        <v>14.5603899054693</v>
      </c>
      <c r="AY26" s="1">
        <v>36.240208907803201</v>
      </c>
      <c r="AZ26" s="1">
        <v>0.96800265254289797</v>
      </c>
      <c r="BA26" s="1">
        <v>14.948860226954499</v>
      </c>
      <c r="BB26" s="1">
        <v>285.81012892722998</v>
      </c>
      <c r="BC26" s="1">
        <v>193.68563795089699</v>
      </c>
      <c r="BD26" s="7"/>
      <c r="BE26" s="1"/>
      <c r="BF26" s="1"/>
      <c r="BG26" s="8"/>
      <c r="BH26" s="1"/>
      <c r="BI26" s="1"/>
      <c r="BJ26" s="1"/>
      <c r="BK26" s="8"/>
    </row>
    <row r="27" spans="1:63">
      <c r="A27" s="49"/>
      <c r="B27" s="7" t="s">
        <v>18</v>
      </c>
      <c r="C27" s="17">
        <v>0.06</v>
      </c>
      <c r="D27" s="7">
        <v>40</v>
      </c>
      <c r="E27" s="1">
        <v>5.3208999999999999E-2</v>
      </c>
      <c r="F27" s="1">
        <v>33.054104088654398</v>
      </c>
      <c r="G27" s="1">
        <v>0.94514436600767304</v>
      </c>
      <c r="H27" s="1">
        <v>12.6077876123195</v>
      </c>
      <c r="I27" s="1">
        <v>36.201077256269798</v>
      </c>
      <c r="J27" s="1">
        <v>0.95192333722155198</v>
      </c>
      <c r="K27" s="8">
        <v>13.180656863299101</v>
      </c>
      <c r="L27" s="7">
        <v>36</v>
      </c>
      <c r="M27" s="1">
        <v>5.9694999999999998E-2</v>
      </c>
      <c r="N27" s="1">
        <v>33.824549165143701</v>
      </c>
      <c r="O27" s="1">
        <v>0.95465021962635499</v>
      </c>
      <c r="P27" s="1">
        <v>13.434248118617701</v>
      </c>
      <c r="Q27" s="1">
        <v>37.139292660196297</v>
      </c>
      <c r="R27" s="1">
        <v>0.95892865826522999</v>
      </c>
      <c r="S27" s="8">
        <v>13.864611092113901</v>
      </c>
      <c r="T27" s="7"/>
      <c r="U27" s="1"/>
      <c r="V27" s="1"/>
      <c r="W27" s="8"/>
      <c r="X27" s="7"/>
      <c r="Y27" s="1"/>
      <c r="Z27" s="1"/>
      <c r="AA27" s="8"/>
      <c r="AB27" s="7">
        <v>4</v>
      </c>
      <c r="AC27" s="1">
        <v>4.9662333333333301E-2</v>
      </c>
      <c r="AD27" s="1">
        <v>33.118201615839702</v>
      </c>
      <c r="AE27" s="1">
        <v>0.946634066851752</v>
      </c>
      <c r="AF27" s="1">
        <v>12.727358921668401</v>
      </c>
      <c r="AG27" s="1">
        <v>36.508283022957798</v>
      </c>
      <c r="AH27" s="1">
        <v>0.950594054948807</v>
      </c>
      <c r="AI27" s="1">
        <v>13.0622078897958</v>
      </c>
      <c r="AJ27" s="1">
        <v>417.537886857986</v>
      </c>
      <c r="AK27" s="1">
        <v>292.21308732032702</v>
      </c>
      <c r="AL27" s="7"/>
      <c r="AM27" s="1"/>
      <c r="AN27" s="1"/>
      <c r="AO27" s="8"/>
      <c r="AP27" s="1"/>
      <c r="AQ27" s="1"/>
      <c r="AR27" s="1"/>
      <c r="AS27" s="8"/>
      <c r="AT27" s="7">
        <v>0.04</v>
      </c>
      <c r="AU27" s="1">
        <v>5.6965666666666602E-2</v>
      </c>
      <c r="AV27" s="1">
        <v>32.362342868108897</v>
      </c>
      <c r="AW27" s="1">
        <v>0.957550690098668</v>
      </c>
      <c r="AX27" s="1">
        <v>13.7212936569045</v>
      </c>
      <c r="AY27" s="1">
        <v>35.181973938905401</v>
      </c>
      <c r="AZ27" s="1">
        <v>0.96155739240112104</v>
      </c>
      <c r="BA27" s="1">
        <v>14.151871613938299</v>
      </c>
      <c r="BB27" s="1">
        <v>381.71877980232199</v>
      </c>
      <c r="BC27" s="1">
        <v>288.49805355071999</v>
      </c>
      <c r="BD27" s="7"/>
      <c r="BE27" s="1"/>
      <c r="BF27" s="1"/>
      <c r="BG27" s="8"/>
      <c r="BH27" s="1"/>
      <c r="BI27" s="1"/>
      <c r="BJ27" s="1"/>
      <c r="BK27" s="8"/>
    </row>
    <row r="28" spans="1:63">
      <c r="A28" s="49"/>
      <c r="B28" s="7" t="s">
        <v>23</v>
      </c>
      <c r="C28" s="17">
        <v>1.5</v>
      </c>
      <c r="D28" s="7">
        <v>13</v>
      </c>
      <c r="E28" s="1">
        <v>1.3879113333333299</v>
      </c>
      <c r="F28" s="1">
        <v>49.3351333582564</v>
      </c>
      <c r="G28" s="1">
        <v>0.99875725129113502</v>
      </c>
      <c r="H28" s="1">
        <v>29.056166793925399</v>
      </c>
      <c r="I28" s="1">
        <v>52.5290915192139</v>
      </c>
      <c r="J28" s="1">
        <v>0.99924108469258199</v>
      </c>
      <c r="K28" s="8">
        <v>31.198066873105599</v>
      </c>
      <c r="L28" s="7">
        <v>10</v>
      </c>
      <c r="M28" s="1">
        <v>1.44548733333333</v>
      </c>
      <c r="N28" s="1">
        <v>49.6050529731246</v>
      </c>
      <c r="O28" s="1">
        <v>0.99887272152627204</v>
      </c>
      <c r="P28" s="1">
        <v>29.479687861152001</v>
      </c>
      <c r="Q28" s="1">
        <v>52.874606255887699</v>
      </c>
      <c r="R28" s="1">
        <v>0.99931749524965596</v>
      </c>
      <c r="S28" s="8">
        <v>31.658943215164701</v>
      </c>
      <c r="T28" s="13">
        <f>bdrate(E28:E31,F28:F31,M28:M31,N28:N31)</f>
        <v>-0.12914455564662441</v>
      </c>
      <c r="U28" s="12">
        <f>bdrate(E28:E31,H28:H31,M28:M31,P28:P31)</f>
        <v>-0.14862625011646358</v>
      </c>
      <c r="V28" s="12">
        <f>bdrate(E28:E31,I28:I31,M28:M31,Q28:Q31)</f>
        <v>-0.1325904996371009</v>
      </c>
      <c r="W28" s="14">
        <f>bdrate(E28:E31,K28:K31,M28:M31,S28:S31)</f>
        <v>-0.11991140283477786</v>
      </c>
      <c r="X28" s="13">
        <f>bdrate(E30:E33,F30:F33,M30:M33,N30:N33)</f>
        <v>-0.24521699242783845</v>
      </c>
      <c r="Y28" s="12">
        <f>bdrate(E30:E33,H30:H33,M30:M33,P30:P33)</f>
        <v>-0.242569323245858</v>
      </c>
      <c r="Z28" s="12">
        <f>bdrate(E30:E33,I30:I33,M30:M33,Q30:Q33)</f>
        <v>-0.24543461029635172</v>
      </c>
      <c r="AA28" s="14">
        <f>bdrate(E30:E33,K30:K33,M30:M33,S30:S33)</f>
        <v>-0.20304219751672647</v>
      </c>
      <c r="AB28" s="7"/>
      <c r="AC28" s="1"/>
      <c r="AD28" s="1"/>
      <c r="AE28" s="1"/>
      <c r="AF28" s="1"/>
      <c r="AG28" s="1"/>
      <c r="AH28" s="1"/>
      <c r="AI28" s="1"/>
      <c r="AJ28" s="1"/>
      <c r="AK28" s="1"/>
      <c r="AL28" s="13" t="e">
        <f>bdrate(E28:E31,F28:F31,AC28:AC31,AD28:AD31)</f>
        <v>#VALUE!</v>
      </c>
      <c r="AM28" s="12" t="e">
        <f>bdrate(E28:E31,H28:H31,AC28:AC31,AF28:AF31)</f>
        <v>#VALUE!</v>
      </c>
      <c r="AN28" s="12" t="e">
        <f>bdrate(E28:E31,I28:I31,AC28:AC31,AG28:AG31)</f>
        <v>#VALUE!</v>
      </c>
      <c r="AO28" s="14" t="e">
        <f>bdrate(E28:E31,K28:K31,AC28:AC31,AI28:AI31)</f>
        <v>#VALUE!</v>
      </c>
      <c r="AP28" s="12">
        <f>bdrate(E30:E33,F30:F33,AC30:AC33,AD30:AD33)</f>
        <v>-0.13422792589100896</v>
      </c>
      <c r="AQ28" s="12">
        <f>bdrate(E30:E33,H30:H33,AC30:AC33,AF30:AF33)</f>
        <v>-0.16874932292307132</v>
      </c>
      <c r="AR28" s="12">
        <f>bdrate(E30:E33,I30:I33,AC30:AC33,AG30:AG33)</f>
        <v>-0.13619458240231297</v>
      </c>
      <c r="AS28" s="14">
        <f>bdrate(E30:E33,K30:K33,AC30:AC33,AI30:AI33)</f>
        <v>-0.11911866394183357</v>
      </c>
      <c r="AT28" s="7"/>
      <c r="AU28" s="1"/>
      <c r="AV28" s="1"/>
      <c r="AW28" s="1"/>
      <c r="AX28" s="1"/>
      <c r="AY28" s="1"/>
      <c r="AZ28" s="1"/>
      <c r="BA28" s="1"/>
      <c r="BB28" s="1"/>
      <c r="BC28" s="1"/>
      <c r="BD28" s="13" t="e">
        <f>bdrate(E28:E31,F28:F31,AU28:AU31,AV28:AV31)</f>
        <v>#VALUE!</v>
      </c>
      <c r="BE28" s="12" t="e">
        <f>bdrate(E28:E31,H28:H31,AU28:AU31,AX28:AX31)</f>
        <v>#VALUE!</v>
      </c>
      <c r="BF28" s="12" t="e">
        <f>bdrate(E28:E31,I28:I31,AU28:AU31,AY28:AY31)</f>
        <v>#VALUE!</v>
      </c>
      <c r="BG28" s="14" t="e">
        <f>bdrate(E28:E31,K28:K31,AU28:AU31,BA28:BA31)</f>
        <v>#VALUE!</v>
      </c>
      <c r="BH28" s="12">
        <f>bdrate(E30:E33,F30:F33,AU30:AU33,AV30:AV33)</f>
        <v>0.24316046650064926</v>
      </c>
      <c r="BI28" s="12">
        <f>bdrate(E30:E33,H30:H33,AU30:AU33,AX30:AX33)</f>
        <v>-0.40373886226623923</v>
      </c>
      <c r="BJ28" s="12">
        <f>bdrate(E30:E33,I30:I33,AU30:AU33,AY30:AY33)</f>
        <v>0.31900923093250433</v>
      </c>
      <c r="BK28" s="14">
        <f>bdrate(E30:E33,K30:K33,AU30:AU33,BA30:BA33)</f>
        <v>-0.40608380701841318</v>
      </c>
    </row>
    <row r="29" spans="1:63">
      <c r="A29" s="49"/>
      <c r="B29" s="7" t="s">
        <v>18</v>
      </c>
      <c r="C29" s="17">
        <v>1</v>
      </c>
      <c r="D29" s="7">
        <v>16</v>
      </c>
      <c r="E29" s="1">
        <v>0.92608266666666605</v>
      </c>
      <c r="F29" s="1">
        <v>47.847571968469097</v>
      </c>
      <c r="G29" s="1">
        <v>0.998261856701668</v>
      </c>
      <c r="H29" s="1">
        <v>27.599144217254601</v>
      </c>
      <c r="I29" s="1">
        <v>50.953697279562498</v>
      </c>
      <c r="J29" s="1">
        <v>0.99884196778501899</v>
      </c>
      <c r="K29" s="8">
        <v>29.3627935892154</v>
      </c>
      <c r="L29" s="7">
        <v>13</v>
      </c>
      <c r="M29" s="1">
        <v>0.99324533333333298</v>
      </c>
      <c r="N29" s="1">
        <v>48.438270248230999</v>
      </c>
      <c r="O29" s="1">
        <v>0.99852110349529299</v>
      </c>
      <c r="P29" s="1">
        <v>28.300622174888399</v>
      </c>
      <c r="Q29" s="1">
        <v>51.602284892247702</v>
      </c>
      <c r="R29" s="1">
        <v>0.99903713473929701</v>
      </c>
      <c r="S29" s="8">
        <v>30.164344819591701</v>
      </c>
      <c r="T29" s="7"/>
      <c r="U29" s="1"/>
      <c r="V29" s="1"/>
      <c r="W29" s="8"/>
      <c r="X29" s="7"/>
      <c r="Y29" s="1"/>
      <c r="Z29" s="1"/>
      <c r="AA29" s="8"/>
      <c r="AB29" s="7">
        <v>64</v>
      </c>
      <c r="AC29" s="1">
        <v>0.16100766666666599</v>
      </c>
      <c r="AD29" s="1">
        <v>42.581322066363597</v>
      </c>
      <c r="AE29" s="1">
        <v>0.99364730758578501</v>
      </c>
      <c r="AF29" s="1">
        <v>21.970421719027598</v>
      </c>
      <c r="AG29" s="1">
        <v>45.656743391431597</v>
      </c>
      <c r="AH29" s="1">
        <v>0.99521321124369699</v>
      </c>
      <c r="AI29" s="1">
        <v>23.199557377564599</v>
      </c>
      <c r="AJ29" s="1">
        <v>953.907569885253</v>
      </c>
      <c r="AK29" s="1">
        <v>411.64827179908701</v>
      </c>
      <c r="AL29" s="7"/>
      <c r="AM29" s="1"/>
      <c r="AN29" s="1"/>
      <c r="AO29" s="8"/>
      <c r="AP29" s="1"/>
      <c r="AQ29" s="1"/>
      <c r="AR29" s="1"/>
      <c r="AS29" s="8"/>
      <c r="AT29" s="7">
        <v>0.64</v>
      </c>
      <c r="AU29" s="1">
        <v>0.198987</v>
      </c>
      <c r="AV29" s="1">
        <v>41.623787826460301</v>
      </c>
      <c r="AW29" s="1">
        <v>0.99621713522413402</v>
      </c>
      <c r="AX29" s="1">
        <v>24.221791829327099</v>
      </c>
      <c r="AY29" s="1">
        <v>44.472169491012203</v>
      </c>
      <c r="AZ29" s="1">
        <v>0.99712489767426804</v>
      </c>
      <c r="BA29" s="1">
        <v>25.413466940318301</v>
      </c>
      <c r="BB29" s="1">
        <v>320.623052120208</v>
      </c>
      <c r="BC29" s="1">
        <v>192.17106294631901</v>
      </c>
      <c r="BD29" s="7"/>
      <c r="BE29" s="1"/>
      <c r="BF29" s="1"/>
      <c r="BG29" s="8"/>
      <c r="BH29" s="1"/>
      <c r="BI29" s="1"/>
      <c r="BJ29" s="1"/>
      <c r="BK29" s="8"/>
    </row>
    <row r="30" spans="1:63">
      <c r="A30" s="49"/>
      <c r="B30" s="7" t="s">
        <v>18</v>
      </c>
      <c r="C30" s="17">
        <v>0.5</v>
      </c>
      <c r="D30" s="7">
        <v>21</v>
      </c>
      <c r="E30" s="1">
        <v>0.44410733333333302</v>
      </c>
      <c r="F30" s="1">
        <v>45.448254825627998</v>
      </c>
      <c r="G30" s="1">
        <v>0.99687235931381901</v>
      </c>
      <c r="H30" s="1">
        <v>25.047831459486499</v>
      </c>
      <c r="I30" s="1">
        <v>48.524310625653001</v>
      </c>
      <c r="J30" s="1">
        <v>0.99773531862236098</v>
      </c>
      <c r="K30" s="8">
        <v>26.449928910758299</v>
      </c>
      <c r="L30" s="7">
        <v>18</v>
      </c>
      <c r="M30" s="1">
        <v>0.46295266666666601</v>
      </c>
      <c r="N30" s="1">
        <v>46.0517786694828</v>
      </c>
      <c r="O30" s="1">
        <v>0.99734357022369002</v>
      </c>
      <c r="P30" s="1">
        <v>25.757016603356501</v>
      </c>
      <c r="Q30" s="1">
        <v>49.134874371367601</v>
      </c>
      <c r="R30" s="1">
        <v>0.99803558316088403</v>
      </c>
      <c r="S30" s="8">
        <v>27.0676635172237</v>
      </c>
      <c r="T30" s="7"/>
      <c r="U30" s="1"/>
      <c r="V30" s="1"/>
      <c r="W30" s="8"/>
      <c r="X30" s="7"/>
      <c r="Y30" s="1"/>
      <c r="Z30" s="1"/>
      <c r="AA30" s="8"/>
      <c r="AB30" s="7">
        <v>32</v>
      </c>
      <c r="AC30" s="1">
        <v>0.118925666666666</v>
      </c>
      <c r="AD30" s="1">
        <v>40.831268322581899</v>
      </c>
      <c r="AE30" s="1">
        <v>0.99158946085593802</v>
      </c>
      <c r="AF30" s="1">
        <v>20.751761635616401</v>
      </c>
      <c r="AG30" s="1">
        <v>44.085700678824701</v>
      </c>
      <c r="AH30" s="1">
        <v>0.99333516461089</v>
      </c>
      <c r="AI30" s="1">
        <v>21.762105725043099</v>
      </c>
      <c r="AJ30" s="1">
        <v>590.75236654281605</v>
      </c>
      <c r="AK30" s="1">
        <v>354.46793580055203</v>
      </c>
      <c r="AL30" s="7"/>
      <c r="AM30" s="1"/>
      <c r="AN30" s="1"/>
      <c r="AO30" s="8"/>
      <c r="AP30" s="1"/>
      <c r="AQ30" s="1"/>
      <c r="AR30" s="1"/>
      <c r="AS30" s="8"/>
      <c r="AT30" s="7">
        <v>0.32</v>
      </c>
      <c r="AU30" s="1">
        <v>0.140379</v>
      </c>
      <c r="AV30" s="1">
        <v>40.376241774046001</v>
      </c>
      <c r="AW30" s="1">
        <v>0.994669195882804</v>
      </c>
      <c r="AX30" s="1">
        <v>22.732072755287</v>
      </c>
      <c r="AY30" s="1">
        <v>43.213722242634901</v>
      </c>
      <c r="AZ30" s="1">
        <v>0.99598309143127195</v>
      </c>
      <c r="BA30" s="1">
        <v>23.961080533937398</v>
      </c>
      <c r="BB30" s="1">
        <v>435.54436469078001</v>
      </c>
      <c r="BC30" s="1">
        <v>305.922939300537</v>
      </c>
      <c r="BD30" s="7"/>
      <c r="BE30" s="1"/>
      <c r="BF30" s="1"/>
      <c r="BG30" s="8"/>
      <c r="BH30" s="1"/>
      <c r="BI30" s="1"/>
      <c r="BJ30" s="1"/>
      <c r="BK30" s="8"/>
    </row>
    <row r="31" spans="1:63">
      <c r="A31" s="49"/>
      <c r="B31" s="7" t="s">
        <v>18</v>
      </c>
      <c r="C31" s="17">
        <v>0.25</v>
      </c>
      <c r="D31" s="7">
        <v>26</v>
      </c>
      <c r="E31" s="1">
        <v>0.24504366666666599</v>
      </c>
      <c r="F31" s="1">
        <v>43.436063144493502</v>
      </c>
      <c r="G31" s="1">
        <v>0.99471260930373595</v>
      </c>
      <c r="H31" s="1">
        <v>22.767585974892899</v>
      </c>
      <c r="I31" s="1">
        <v>46.517523653792601</v>
      </c>
      <c r="J31" s="1">
        <v>0.99609252375091295</v>
      </c>
      <c r="K31" s="8">
        <v>24.081036530840802</v>
      </c>
      <c r="L31" s="7">
        <v>23</v>
      </c>
      <c r="M31" s="1">
        <v>0.239484</v>
      </c>
      <c r="N31" s="1">
        <v>44.2044196959923</v>
      </c>
      <c r="O31" s="1">
        <v>0.995700215295655</v>
      </c>
      <c r="P31" s="1">
        <v>23.665532895497002</v>
      </c>
      <c r="Q31" s="1">
        <v>47.2878286188771</v>
      </c>
      <c r="R31" s="1">
        <v>0.99671291021654596</v>
      </c>
      <c r="S31" s="8">
        <v>24.831884334522801</v>
      </c>
      <c r="T31" s="7"/>
      <c r="U31" s="1"/>
      <c r="V31" s="1"/>
      <c r="W31" s="8"/>
      <c r="X31" s="7"/>
      <c r="Y31" s="1"/>
      <c r="Z31" s="1"/>
      <c r="AA31" s="8"/>
      <c r="AB31" s="7">
        <v>16</v>
      </c>
      <c r="AC31" s="1">
        <v>8.3577666666666606E-2</v>
      </c>
      <c r="AD31" s="1">
        <v>39.921498104402097</v>
      </c>
      <c r="AE31" s="1">
        <v>0.98779171588359505</v>
      </c>
      <c r="AF31" s="1">
        <v>19.133453721848401</v>
      </c>
      <c r="AG31" s="1">
        <v>42.980906064625401</v>
      </c>
      <c r="AH31" s="1">
        <v>0.98990355104012895</v>
      </c>
      <c r="AI31" s="1">
        <v>19.958313458516098</v>
      </c>
      <c r="AJ31" s="1">
        <v>408.13722658157297</v>
      </c>
      <c r="AK31" s="1">
        <v>284.20267748832703</v>
      </c>
      <c r="AL31" s="7"/>
      <c r="AM31" s="1"/>
      <c r="AN31" s="1"/>
      <c r="AO31" s="8"/>
      <c r="AP31" s="1"/>
      <c r="AQ31" s="1"/>
      <c r="AR31" s="1"/>
      <c r="AS31" s="8"/>
      <c r="AT31" s="7">
        <v>0.16</v>
      </c>
      <c r="AU31" s="1">
        <v>9.7401666666666595E-2</v>
      </c>
      <c r="AV31" s="1">
        <v>38.974734611103599</v>
      </c>
      <c r="AW31" s="1">
        <v>0.992265674800204</v>
      </c>
      <c r="AX31" s="1">
        <v>21.1157757140084</v>
      </c>
      <c r="AY31" s="1">
        <v>41.798670678743903</v>
      </c>
      <c r="AZ31" s="1">
        <v>0.99416614313862295</v>
      </c>
      <c r="BA31" s="1">
        <v>22.340442308668202</v>
      </c>
      <c r="BB31" s="1">
        <v>395.09420943260102</v>
      </c>
      <c r="BC31" s="1">
        <v>284.71684885025002</v>
      </c>
      <c r="BD31" s="7"/>
      <c r="BE31" s="1"/>
      <c r="BF31" s="1"/>
      <c r="BG31" s="8"/>
      <c r="BH31" s="1"/>
      <c r="BI31" s="1"/>
      <c r="BJ31" s="1"/>
      <c r="BK31" s="8"/>
    </row>
    <row r="32" spans="1:63">
      <c r="A32" s="49"/>
      <c r="B32" s="7" t="s">
        <v>18</v>
      </c>
      <c r="C32" s="17">
        <v>0.12</v>
      </c>
      <c r="D32" s="7">
        <v>33</v>
      </c>
      <c r="E32" s="1">
        <v>0.10713766666666601</v>
      </c>
      <c r="F32" s="1">
        <v>40.214770681701403</v>
      </c>
      <c r="G32" s="1">
        <v>0.98842440754103</v>
      </c>
      <c r="H32" s="1">
        <v>19.364567717936801</v>
      </c>
      <c r="I32" s="1">
        <v>43.291545931296199</v>
      </c>
      <c r="J32" s="1">
        <v>0.99100699016580596</v>
      </c>
      <c r="K32" s="8">
        <v>20.4609493166896</v>
      </c>
      <c r="L32" s="7">
        <v>29</v>
      </c>
      <c r="M32" s="1">
        <v>0.118088</v>
      </c>
      <c r="N32" s="1">
        <v>41.779836685734303</v>
      </c>
      <c r="O32" s="1">
        <v>0.99199822161441797</v>
      </c>
      <c r="P32" s="1">
        <v>20.968134808565299</v>
      </c>
      <c r="Q32" s="1">
        <v>44.858455647589203</v>
      </c>
      <c r="R32" s="1">
        <v>0.99360870216608699</v>
      </c>
      <c r="S32" s="8">
        <v>21.944109438955198</v>
      </c>
      <c r="T32" s="7"/>
      <c r="U32" s="1"/>
      <c r="V32" s="1"/>
      <c r="W32" s="8"/>
      <c r="X32" s="7"/>
      <c r="Y32" s="1"/>
      <c r="Z32" s="1"/>
      <c r="AA32" s="8"/>
      <c r="AB32" s="7">
        <v>8</v>
      </c>
      <c r="AC32" s="1">
        <v>6.2581666666666605E-2</v>
      </c>
      <c r="AD32" s="1">
        <v>38.6385286241199</v>
      </c>
      <c r="AE32" s="1">
        <v>0.98370088215626705</v>
      </c>
      <c r="AF32" s="1">
        <v>17.878359002565599</v>
      </c>
      <c r="AG32" s="1">
        <v>41.703058202608801</v>
      </c>
      <c r="AH32" s="1">
        <v>0.98602775737977599</v>
      </c>
      <c r="AI32" s="1">
        <v>18.5473388168672</v>
      </c>
      <c r="AJ32" s="1">
        <v>295.23303270339898</v>
      </c>
      <c r="AK32" s="1">
        <v>190.68489766120899</v>
      </c>
      <c r="AL32" s="7"/>
      <c r="AM32" s="1"/>
      <c r="AN32" s="1"/>
      <c r="AO32" s="8"/>
      <c r="AP32" s="1"/>
      <c r="AQ32" s="1"/>
      <c r="AR32" s="1"/>
      <c r="AS32" s="8"/>
      <c r="AT32" s="7">
        <v>0.08</v>
      </c>
      <c r="AU32" s="1">
        <v>6.8784333333333295E-2</v>
      </c>
      <c r="AV32" s="1">
        <v>37.516445109575002</v>
      </c>
      <c r="AW32" s="1">
        <v>0.98920162240880105</v>
      </c>
      <c r="AX32" s="1">
        <v>19.6664149044997</v>
      </c>
      <c r="AY32" s="1">
        <v>40.3847641676279</v>
      </c>
      <c r="AZ32" s="1">
        <v>0.99173317550718199</v>
      </c>
      <c r="BA32" s="1">
        <v>20.8266128247745</v>
      </c>
      <c r="BB32" s="1">
        <v>284.75547003745999</v>
      </c>
      <c r="BC32" s="1">
        <v>195.35789084434501</v>
      </c>
      <c r="BD32" s="7"/>
      <c r="BE32" s="1"/>
      <c r="BF32" s="1"/>
      <c r="BG32" s="8"/>
      <c r="BH32" s="1"/>
      <c r="BI32" s="1"/>
      <c r="BJ32" s="1"/>
      <c r="BK32" s="8"/>
    </row>
    <row r="33" spans="1:63">
      <c r="A33" s="49"/>
      <c r="B33" s="7" t="s">
        <v>18</v>
      </c>
      <c r="C33" s="17">
        <v>0.06</v>
      </c>
      <c r="D33" s="7">
        <v>38</v>
      </c>
      <c r="E33" s="1">
        <v>5.7250666666666603E-2</v>
      </c>
      <c r="F33" s="1">
        <v>37.6792863076478</v>
      </c>
      <c r="G33" s="1">
        <v>0.97942194673078997</v>
      </c>
      <c r="H33" s="1">
        <v>16.865957128791901</v>
      </c>
      <c r="I33" s="1">
        <v>40.744241310000703</v>
      </c>
      <c r="J33" s="1">
        <v>0.98341925303086997</v>
      </c>
      <c r="K33" s="8">
        <v>17.803959082089001</v>
      </c>
      <c r="L33" s="7">
        <v>35</v>
      </c>
      <c r="M33" s="1">
        <v>5.65056666666666E-2</v>
      </c>
      <c r="N33" s="1">
        <v>38.994554135871397</v>
      </c>
      <c r="O33" s="1">
        <v>0.984288984707958</v>
      </c>
      <c r="P33" s="1">
        <v>18.037957486657199</v>
      </c>
      <c r="Q33" s="1">
        <v>42.066368830167399</v>
      </c>
      <c r="R33" s="1">
        <v>0.98689209931482003</v>
      </c>
      <c r="S33" s="8">
        <v>18.824668578024799</v>
      </c>
      <c r="T33" s="7"/>
      <c r="U33" s="1"/>
      <c r="V33" s="1"/>
      <c r="W33" s="8"/>
      <c r="X33" s="7"/>
      <c r="Y33" s="1"/>
      <c r="Z33" s="1"/>
      <c r="AA33" s="8"/>
      <c r="AB33" s="7">
        <v>4</v>
      </c>
      <c r="AC33" s="1">
        <v>4.5789000000000003E-2</v>
      </c>
      <c r="AD33" s="1">
        <v>37.163755291591499</v>
      </c>
      <c r="AE33" s="1">
        <v>0.97715873897352301</v>
      </c>
      <c r="AF33" s="1">
        <v>16.4127992311785</v>
      </c>
      <c r="AG33" s="1">
        <v>40.255980049146999</v>
      </c>
      <c r="AH33" s="1">
        <v>0.98011857450742201</v>
      </c>
      <c r="AI33" s="1">
        <v>17.015524800309599</v>
      </c>
      <c r="AJ33" s="1">
        <v>425.580023050308</v>
      </c>
      <c r="AK33" s="1">
        <v>283.95397901535</v>
      </c>
      <c r="AL33" s="7"/>
      <c r="AM33" s="1"/>
      <c r="AN33" s="1"/>
      <c r="AO33" s="8"/>
      <c r="AP33" s="1"/>
      <c r="AQ33" s="1"/>
      <c r="AR33" s="1"/>
      <c r="AS33" s="8"/>
      <c r="AT33" s="7">
        <v>0.04</v>
      </c>
      <c r="AU33" s="1">
        <v>4.8192333333333302E-2</v>
      </c>
      <c r="AV33" s="1">
        <v>35.831615176705498</v>
      </c>
      <c r="AW33" s="1">
        <v>0.98449425048133399</v>
      </c>
      <c r="AX33" s="1">
        <v>18.095072359437001</v>
      </c>
      <c r="AY33" s="1">
        <v>38.685548289389097</v>
      </c>
      <c r="AZ33" s="1">
        <v>0.98791486228667102</v>
      </c>
      <c r="BA33" s="1">
        <v>19.1774839632808</v>
      </c>
      <c r="BB33" s="1">
        <v>383.69786548614502</v>
      </c>
      <c r="BC33" s="1">
        <v>286.80693936347899</v>
      </c>
      <c r="BD33" s="7"/>
      <c r="BE33" s="1"/>
      <c r="BF33" s="1"/>
      <c r="BG33" s="8"/>
      <c r="BH33" s="1"/>
      <c r="BI33" s="1"/>
      <c r="BJ33" s="1"/>
      <c r="BK33" s="8"/>
    </row>
    <row r="34" spans="1:63">
      <c r="A34" s="49"/>
      <c r="B34" s="7" t="s">
        <v>24</v>
      </c>
      <c r="C34" s="17">
        <v>1.5</v>
      </c>
      <c r="D34" s="7">
        <v>26</v>
      </c>
      <c r="E34" s="1">
        <v>1.47337684737914</v>
      </c>
      <c r="F34" s="1">
        <v>38.621740227879201</v>
      </c>
      <c r="G34" s="1">
        <v>0.99370612056054397</v>
      </c>
      <c r="H34" s="1">
        <v>22.010815803425199</v>
      </c>
      <c r="I34" s="1">
        <v>41.739717022630501</v>
      </c>
      <c r="J34" s="1">
        <v>0.99584146764367998</v>
      </c>
      <c r="K34" s="8">
        <v>23.810599150495499</v>
      </c>
      <c r="L34" s="7">
        <v>24</v>
      </c>
      <c r="M34" s="1">
        <v>1.3829597225353301</v>
      </c>
      <c r="N34" s="1">
        <v>39.035210223159403</v>
      </c>
      <c r="O34" s="1">
        <v>0.99432435611864101</v>
      </c>
      <c r="P34" s="1">
        <v>22.4598486219497</v>
      </c>
      <c r="Q34" s="1">
        <v>42.164970419206</v>
      </c>
      <c r="R34" s="1">
        <v>0.99608522238667196</v>
      </c>
      <c r="S34" s="8">
        <v>24.072929038608901</v>
      </c>
      <c r="T34" s="13">
        <f>bdrate(E34:E37,F34:F37,M34:M37,N34:N37)</f>
        <v>-0.14222641710088868</v>
      </c>
      <c r="U34" s="12">
        <f>bdrate(E34:E37,H34:H37,M34:M37,P34:P37)</f>
        <v>-0.13635432396419378</v>
      </c>
      <c r="V34" s="12">
        <f>bdrate(E34:E37,I34:I37,M34:M37,Q34:Q37)</f>
        <v>-0.15223119612098468</v>
      </c>
      <c r="W34" s="14">
        <f>bdrate(E34:E37,K34:K37,M34:M37,S34:S37)</f>
        <v>-0.11109449369707003</v>
      </c>
      <c r="X34" s="13">
        <f>bdrate(E36:E39,F36:F39,M36:M39,N36:N39)</f>
        <v>-0.22061926895142803</v>
      </c>
      <c r="Y34" s="12">
        <f>bdrate(E36:E39,H36:H39,M36:M39,P36:P39)</f>
        <v>-0.19319304276686</v>
      </c>
      <c r="Z34" s="12">
        <f>bdrate(E36:E39,I36:I39,M36:M39,Q36:Q39)</f>
        <v>-0.24568066242860076</v>
      </c>
      <c r="AA34" s="14">
        <f>bdrate(E36:E39,K36:K39,M36:M39,S36:S39)</f>
        <v>-0.16599620743862997</v>
      </c>
      <c r="AB34" s="7"/>
      <c r="AC34" s="1"/>
      <c r="AD34" s="1"/>
      <c r="AE34" s="1"/>
      <c r="AF34" s="1"/>
      <c r="AG34" s="1"/>
      <c r="AH34" s="1"/>
      <c r="AI34" s="1"/>
      <c r="AJ34" s="1"/>
      <c r="AK34" s="1"/>
      <c r="AL34" s="13" t="e">
        <f>bdrate(E34:E37,F34:F37,AC34:AC37,AD34:AD37)</f>
        <v>#VALUE!</v>
      </c>
      <c r="AM34" s="12" t="e">
        <f>bdrate(E34:E37,H34:H37,AC34:AC37,AF34:AF37)</f>
        <v>#VALUE!</v>
      </c>
      <c r="AN34" s="12" t="e">
        <f>bdrate(E34:E37,I34:I37,AC34:AC37,AG34:AG37)</f>
        <v>#VALUE!</v>
      </c>
      <c r="AO34" s="14" t="e">
        <f>bdrate(E34:E37,K34:K37,AC34:AC37,AI34:AI37)</f>
        <v>#VALUE!</v>
      </c>
      <c r="AP34" s="12">
        <f>bdrate(E36:E39,F36:F39,AC36:AC39,AD36:AD39)</f>
        <v>-0.13451472289077737</v>
      </c>
      <c r="AQ34" s="12">
        <f>bdrate(E36:E39,H36:H39,AC36:AC39,AF36:AF39)</f>
        <v>-0.15610944791483095</v>
      </c>
      <c r="AR34" s="12">
        <f>bdrate(E36:E39,I36:I39,AC36:AC39,AG36:AG39)</f>
        <v>-0.19305230602706958</v>
      </c>
      <c r="AS34" s="14">
        <f>bdrate(E36:E39,K36:K39,AC36:AC39,AI36:AI39)</f>
        <v>-0.11238345485672363</v>
      </c>
      <c r="AT34" s="7"/>
      <c r="AU34" s="1"/>
      <c r="AV34" s="1"/>
      <c r="AW34" s="1"/>
      <c r="AX34" s="1"/>
      <c r="AY34" s="1"/>
      <c r="AZ34" s="1"/>
      <c r="BA34" s="1"/>
      <c r="BB34" s="1"/>
      <c r="BC34" s="1"/>
      <c r="BD34" s="13" t="e">
        <f>bdrate(E34:E37,F34:F37,AU34:AU37,AV34:AV37)</f>
        <v>#VALUE!</v>
      </c>
      <c r="BE34" s="12" t="e">
        <f>bdrate(E34:E37,H34:H37,AU34:AU37,AX34:AX37)</f>
        <v>#VALUE!</v>
      </c>
      <c r="BF34" s="12" t="e">
        <f>bdrate(E34:E37,I34:I37,AU34:AU37,AY34:AY37)</f>
        <v>#VALUE!</v>
      </c>
      <c r="BG34" s="14" t="e">
        <f>bdrate(E34:E37,K34:K37,AU34:AU37,BA34:BA37)</f>
        <v>#VALUE!</v>
      </c>
      <c r="BH34" s="12">
        <f>bdrate(E36:E39,F36:F39,AU36:AU39,AV36:AV39)</f>
        <v>0.37930579159074229</v>
      </c>
      <c r="BI34" s="12">
        <f>bdrate(E36:E39,H36:H39,AU36:AU39,AX36:AX39)</f>
        <v>-0.47019628581680739</v>
      </c>
      <c r="BJ34" s="12">
        <f>bdrate(E36:E39,I36:I39,AU36:AU39,AY36:AY39)</f>
        <v>0.46942588942742303</v>
      </c>
      <c r="BK34" s="14">
        <f>bdrate(E36:E39,K36:K39,AU36:AU39,BA36:BA39)</f>
        <v>-0.46265389466712636</v>
      </c>
    </row>
    <row r="35" spans="1:63">
      <c r="A35" s="49"/>
      <c r="B35" s="7" t="s">
        <v>18</v>
      </c>
      <c r="C35" s="17">
        <v>1</v>
      </c>
      <c r="D35" s="7">
        <v>29</v>
      </c>
      <c r="E35" s="1">
        <v>0.98479466393322401</v>
      </c>
      <c r="F35" s="1">
        <v>36.026142757110598</v>
      </c>
      <c r="G35" s="1">
        <v>0.98883219167815894</v>
      </c>
      <c r="H35" s="1">
        <v>19.520320486501198</v>
      </c>
      <c r="I35" s="1">
        <v>39.174378024279598</v>
      </c>
      <c r="J35" s="1">
        <v>0.99168487393112004</v>
      </c>
      <c r="K35" s="8">
        <v>20.801311618860101</v>
      </c>
      <c r="L35" s="7">
        <v>27</v>
      </c>
      <c r="M35" s="1">
        <v>0.95239076292369096</v>
      </c>
      <c r="N35" s="1">
        <v>36.603211967464603</v>
      </c>
      <c r="O35" s="1">
        <v>0.99018137341826395</v>
      </c>
      <c r="P35" s="1">
        <v>20.079492565804699</v>
      </c>
      <c r="Q35" s="1">
        <v>39.7707654192834</v>
      </c>
      <c r="R35" s="1">
        <v>0.99255884677705997</v>
      </c>
      <c r="S35" s="8">
        <v>21.28359752687</v>
      </c>
      <c r="T35" s="7"/>
      <c r="U35" s="1"/>
      <c r="V35" s="1"/>
      <c r="W35" s="8"/>
      <c r="X35" s="7"/>
      <c r="Y35" s="1"/>
      <c r="Z35" s="1"/>
      <c r="AA35" s="8"/>
      <c r="AB35" s="7">
        <v>64</v>
      </c>
      <c r="AC35" s="1">
        <v>0.90505274982744699</v>
      </c>
      <c r="AD35" s="1">
        <v>35.852050866679697</v>
      </c>
      <c r="AE35" s="1">
        <v>0.989760988341713</v>
      </c>
      <c r="AF35" s="1">
        <v>19.897419625074601</v>
      </c>
      <c r="AG35" s="1">
        <v>39.032572724528698</v>
      </c>
      <c r="AH35" s="1">
        <v>0.99245612403169503</v>
      </c>
      <c r="AI35" s="1">
        <v>21.224054606105799</v>
      </c>
      <c r="AJ35" s="1">
        <v>632.02089190483002</v>
      </c>
      <c r="AK35" s="1">
        <v>324.90653467178299</v>
      </c>
      <c r="AL35" s="7"/>
      <c r="AM35" s="1"/>
      <c r="AN35" s="1"/>
      <c r="AO35" s="8"/>
      <c r="AP35" s="1"/>
      <c r="AQ35" s="1"/>
      <c r="AR35" s="1"/>
      <c r="AS35" s="8"/>
      <c r="AT35" s="7">
        <v>0.64</v>
      </c>
      <c r="AU35" s="1">
        <v>0.53980570756200696</v>
      </c>
      <c r="AV35" s="1">
        <v>32.0860677145604</v>
      </c>
      <c r="AW35" s="1">
        <v>0.98904824971292105</v>
      </c>
      <c r="AX35" s="1">
        <v>19.6051646719148</v>
      </c>
      <c r="AY35" s="1">
        <v>35.420543131739599</v>
      </c>
      <c r="AZ35" s="1">
        <v>0.990937384929925</v>
      </c>
      <c r="BA35" s="1">
        <v>20.4274646605061</v>
      </c>
      <c r="BB35" s="1">
        <v>291.20803236961302</v>
      </c>
      <c r="BC35" s="1">
        <v>171.81702375411899</v>
      </c>
      <c r="BD35" s="7"/>
      <c r="BE35" s="1"/>
      <c r="BF35" s="1"/>
      <c r="BG35" s="8"/>
      <c r="BH35" s="1"/>
      <c r="BI35" s="1"/>
      <c r="BJ35" s="1"/>
      <c r="BK35" s="8"/>
    </row>
    <row r="36" spans="1:63">
      <c r="A36" s="49"/>
      <c r="B36" s="7" t="s">
        <v>18</v>
      </c>
      <c r="C36" s="17">
        <v>0.5</v>
      </c>
      <c r="D36" s="7">
        <v>33</v>
      </c>
      <c r="E36" s="1">
        <v>0.47008641546879198</v>
      </c>
      <c r="F36" s="1">
        <v>32.824901498459297</v>
      </c>
      <c r="G36" s="1">
        <v>0.97590433757310802</v>
      </c>
      <c r="H36" s="1">
        <v>16.1806112977408</v>
      </c>
      <c r="I36" s="1">
        <v>36.093502799953399</v>
      </c>
      <c r="J36" s="1">
        <v>0.98010419270637095</v>
      </c>
      <c r="K36" s="8">
        <v>17.012384341976599</v>
      </c>
      <c r="L36" s="7">
        <v>31</v>
      </c>
      <c r="M36" s="1">
        <v>0.47631246466043398</v>
      </c>
      <c r="N36" s="1">
        <v>33.455298852421599</v>
      </c>
      <c r="O36" s="1">
        <v>0.97916056367757998</v>
      </c>
      <c r="P36" s="1">
        <v>16.811140322714301</v>
      </c>
      <c r="Q36" s="1">
        <v>36.757397986334503</v>
      </c>
      <c r="R36" s="1">
        <v>0.98257997318630597</v>
      </c>
      <c r="S36" s="8">
        <v>17.5895118084212</v>
      </c>
      <c r="T36" s="7"/>
      <c r="U36" s="1"/>
      <c r="V36" s="1"/>
      <c r="W36" s="8"/>
      <c r="X36" s="7"/>
      <c r="Y36" s="1"/>
      <c r="Z36" s="1"/>
      <c r="AA36" s="8"/>
      <c r="AB36" s="7">
        <v>32</v>
      </c>
      <c r="AC36" s="1">
        <v>0.56514971685661197</v>
      </c>
      <c r="AD36" s="1">
        <v>33.763697519943101</v>
      </c>
      <c r="AE36" s="1">
        <v>0.98239489402304903</v>
      </c>
      <c r="AF36" s="1">
        <v>17.543613562758999</v>
      </c>
      <c r="AG36" s="1">
        <v>37.059632312693097</v>
      </c>
      <c r="AH36" s="1">
        <v>0.98554469675024503</v>
      </c>
      <c r="AI36" s="1">
        <v>18.399727930757301</v>
      </c>
      <c r="AJ36" s="1">
        <v>562.58524990081696</v>
      </c>
      <c r="AK36" s="1">
        <v>327.84375119209199</v>
      </c>
      <c r="AL36" s="7"/>
      <c r="AM36" s="1"/>
      <c r="AN36" s="1"/>
      <c r="AO36" s="8"/>
      <c r="AP36" s="1"/>
      <c r="AQ36" s="1"/>
      <c r="AR36" s="1"/>
      <c r="AS36" s="8"/>
      <c r="AT36" s="7">
        <v>0.32</v>
      </c>
      <c r="AU36" s="1">
        <v>0.410071519258638</v>
      </c>
      <c r="AV36" s="1">
        <v>31.493064676599399</v>
      </c>
      <c r="AW36" s="1">
        <v>0.98582119608054597</v>
      </c>
      <c r="AX36" s="1">
        <v>18.4836040336242</v>
      </c>
      <c r="AY36" s="1">
        <v>34.732582245695099</v>
      </c>
      <c r="AZ36" s="1">
        <v>0.98819943873482696</v>
      </c>
      <c r="BA36" s="1">
        <v>19.280973360353599</v>
      </c>
      <c r="BB36" s="1">
        <v>527.52894330024697</v>
      </c>
      <c r="BC36" s="1">
        <v>286.60454678535399</v>
      </c>
      <c r="BD36" s="7"/>
      <c r="BE36" s="1"/>
      <c r="BF36" s="1"/>
      <c r="BG36" s="8"/>
      <c r="BH36" s="1"/>
      <c r="BI36" s="1"/>
      <c r="BJ36" s="1"/>
      <c r="BK36" s="8"/>
    </row>
    <row r="37" spans="1:63">
      <c r="A37" s="49"/>
      <c r="B37" s="7" t="s">
        <v>18</v>
      </c>
      <c r="C37" s="17">
        <v>0.25</v>
      </c>
      <c r="D37" s="7">
        <v>36</v>
      </c>
      <c r="E37" s="1">
        <v>0.245617284106978</v>
      </c>
      <c r="F37" s="1">
        <v>31.072455831303198</v>
      </c>
      <c r="G37" s="1">
        <v>0.96126705565247905</v>
      </c>
      <c r="H37" s="1">
        <v>14.119194881603701</v>
      </c>
      <c r="I37" s="1">
        <v>34.390822679617003</v>
      </c>
      <c r="J37" s="1">
        <v>0.96667249226318097</v>
      </c>
      <c r="K37" s="8">
        <v>14.7719716208554</v>
      </c>
      <c r="L37" s="7">
        <v>34</v>
      </c>
      <c r="M37" s="1">
        <v>0.24277501440789401</v>
      </c>
      <c r="N37" s="1">
        <v>31.559719492194599</v>
      </c>
      <c r="O37" s="1">
        <v>0.96578735391742399</v>
      </c>
      <c r="P37" s="1">
        <v>14.6581333520926</v>
      </c>
      <c r="Q37" s="1">
        <v>34.952202510700801</v>
      </c>
      <c r="R37" s="1">
        <v>0.97012233448138896</v>
      </c>
      <c r="S37" s="8">
        <v>15.2465333898491</v>
      </c>
      <c r="T37" s="7"/>
      <c r="U37" s="1"/>
      <c r="V37" s="1"/>
      <c r="W37" s="8"/>
      <c r="X37" s="7"/>
      <c r="Y37" s="1"/>
      <c r="Z37" s="1"/>
      <c r="AA37" s="8"/>
      <c r="AB37" s="7">
        <v>16</v>
      </c>
      <c r="AC37" s="1">
        <v>0.282530389328842</v>
      </c>
      <c r="AD37" s="1">
        <v>31.7293649150667</v>
      </c>
      <c r="AE37" s="1">
        <v>0.96887868819911904</v>
      </c>
      <c r="AF37" s="1">
        <v>15.0694210525958</v>
      </c>
      <c r="AG37" s="1">
        <v>35.1761106958648</v>
      </c>
      <c r="AH37" s="1">
        <v>0.97275788015790599</v>
      </c>
      <c r="AI37" s="1">
        <v>15.647591008744101</v>
      </c>
      <c r="AJ37" s="1">
        <v>372.49402379989601</v>
      </c>
      <c r="AK37" s="1">
        <v>259.07407426834101</v>
      </c>
      <c r="AL37" s="7"/>
      <c r="AM37" s="1"/>
      <c r="AN37" s="1"/>
      <c r="AO37" s="8"/>
      <c r="AP37" s="1"/>
      <c r="AQ37" s="1"/>
      <c r="AR37" s="1"/>
      <c r="AS37" s="8"/>
      <c r="AT37" s="7">
        <v>0.16</v>
      </c>
      <c r="AU37" s="1">
        <v>0.28615471475183502</v>
      </c>
      <c r="AV37" s="1">
        <v>30.655066353647602</v>
      </c>
      <c r="AW37" s="1">
        <v>0.97972029652369996</v>
      </c>
      <c r="AX37" s="1">
        <v>16.929383994150498</v>
      </c>
      <c r="AY37" s="1">
        <v>33.812998602471801</v>
      </c>
      <c r="AZ37" s="1">
        <v>0.98291676099624103</v>
      </c>
      <c r="BA37" s="1">
        <v>17.674297830558899</v>
      </c>
      <c r="BB37" s="1">
        <v>364.85027837753199</v>
      </c>
      <c r="BC37" s="1">
        <v>255.40050387382499</v>
      </c>
      <c r="BD37" s="7"/>
      <c r="BE37" s="1"/>
      <c r="BF37" s="1"/>
      <c r="BG37" s="8"/>
      <c r="BH37" s="1"/>
      <c r="BI37" s="1"/>
      <c r="BJ37" s="1"/>
      <c r="BK37" s="8"/>
    </row>
    <row r="38" spans="1:63">
      <c r="A38" s="49"/>
      <c r="B38" s="7" t="s">
        <v>18</v>
      </c>
      <c r="C38" s="17">
        <v>0.12</v>
      </c>
      <c r="D38" s="7">
        <v>41</v>
      </c>
      <c r="E38" s="1">
        <v>0.112790898507536</v>
      </c>
      <c r="F38" s="1">
        <v>29.321204367024801</v>
      </c>
      <c r="G38" s="1">
        <v>0.93774666038254895</v>
      </c>
      <c r="H38" s="1">
        <v>12.0583734562135</v>
      </c>
      <c r="I38" s="1">
        <v>32.566353857550197</v>
      </c>
      <c r="J38" s="1">
        <v>0.94554809544005503</v>
      </c>
      <c r="K38" s="8">
        <v>12.639869253589101</v>
      </c>
      <c r="L38" s="7">
        <v>38</v>
      </c>
      <c r="M38" s="1">
        <v>0.11822738664202601</v>
      </c>
      <c r="N38" s="1">
        <v>30.070294476109002</v>
      </c>
      <c r="O38" s="1">
        <v>0.94745951626445801</v>
      </c>
      <c r="P38" s="1">
        <v>12.7950593302103</v>
      </c>
      <c r="Q38" s="1">
        <v>33.422673892737699</v>
      </c>
      <c r="R38" s="1">
        <v>0.95334830352113697</v>
      </c>
      <c r="S38" s="8">
        <v>13.311325586053201</v>
      </c>
      <c r="T38" s="7"/>
      <c r="U38" s="1"/>
      <c r="V38" s="1"/>
      <c r="W38" s="8"/>
      <c r="X38" s="7"/>
      <c r="Y38" s="1"/>
      <c r="Z38" s="1"/>
      <c r="AA38" s="8"/>
      <c r="AB38" s="7">
        <v>8</v>
      </c>
      <c r="AC38" s="1">
        <v>0.16392961235798101</v>
      </c>
      <c r="AD38" s="1">
        <v>30.556033813443801</v>
      </c>
      <c r="AE38" s="1">
        <v>0.95518549819286702</v>
      </c>
      <c r="AF38" s="1">
        <v>13.4858142716944</v>
      </c>
      <c r="AG38" s="1">
        <v>34.0573322050965</v>
      </c>
      <c r="AH38" s="1">
        <v>0.95963942609480501</v>
      </c>
      <c r="AI38" s="1">
        <v>13.9404266696221</v>
      </c>
      <c r="AJ38" s="1">
        <v>266.41098856925902</v>
      </c>
      <c r="AK38" s="1">
        <v>174.98496484756399</v>
      </c>
      <c r="AL38" s="7"/>
      <c r="AM38" s="1"/>
      <c r="AN38" s="1"/>
      <c r="AO38" s="8"/>
      <c r="AP38" s="1"/>
      <c r="AQ38" s="1"/>
      <c r="AR38" s="1"/>
      <c r="AS38" s="8"/>
      <c r="AT38" s="7">
        <v>0.08</v>
      </c>
      <c r="AU38" s="1">
        <v>0.18306596052738799</v>
      </c>
      <c r="AV38" s="1">
        <v>29.679194180686402</v>
      </c>
      <c r="AW38" s="1">
        <v>0.969708829818134</v>
      </c>
      <c r="AX38" s="1">
        <v>15.1868394906031</v>
      </c>
      <c r="AY38" s="1">
        <v>32.778899698165702</v>
      </c>
      <c r="AZ38" s="1">
        <v>0.97405358724248103</v>
      </c>
      <c r="BA38" s="1">
        <v>15.859226774033999</v>
      </c>
      <c r="BB38" s="1">
        <v>343.77896523475601</v>
      </c>
      <c r="BC38" s="1">
        <v>189.74056315422001</v>
      </c>
      <c r="BD38" s="7"/>
      <c r="BE38" s="1"/>
      <c r="BF38" s="1"/>
      <c r="BG38" s="8"/>
      <c r="BH38" s="1"/>
      <c r="BI38" s="1"/>
      <c r="BJ38" s="1"/>
      <c r="BK38" s="8"/>
    </row>
    <row r="39" spans="1:63">
      <c r="A39" s="49"/>
      <c r="B39" s="7" t="s">
        <v>18</v>
      </c>
      <c r="C39" s="17">
        <v>0.06</v>
      </c>
      <c r="D39" s="7">
        <v>46</v>
      </c>
      <c r="E39" s="1">
        <v>5.6538801118707398E-2</v>
      </c>
      <c r="F39" s="1">
        <v>27.550681818886499</v>
      </c>
      <c r="G39" s="1">
        <v>0.90285284113178599</v>
      </c>
      <c r="H39" s="1">
        <v>10.125698961027901</v>
      </c>
      <c r="I39" s="1">
        <v>30.742203213342599</v>
      </c>
      <c r="J39" s="1">
        <v>0.91347163401623499</v>
      </c>
      <c r="K39" s="8">
        <v>10.6284149749766</v>
      </c>
      <c r="L39" s="7">
        <v>43</v>
      </c>
      <c r="M39" s="1">
        <v>5.9314273351929597E-2</v>
      </c>
      <c r="N39" s="1">
        <v>28.505396581073398</v>
      </c>
      <c r="O39" s="1">
        <v>0.92029913059740298</v>
      </c>
      <c r="P39" s="1">
        <v>10.985369411548101</v>
      </c>
      <c r="Q39" s="1">
        <v>31.7977873602382</v>
      </c>
      <c r="R39" s="1">
        <v>0.928101934319017</v>
      </c>
      <c r="S39" s="8">
        <v>11.4328279355836</v>
      </c>
      <c r="T39" s="7"/>
      <c r="U39" s="1"/>
      <c r="V39" s="1"/>
      <c r="W39" s="8"/>
      <c r="X39" s="7"/>
      <c r="Y39" s="1"/>
      <c r="Z39" s="1"/>
      <c r="AA39" s="8"/>
      <c r="AB39" s="7">
        <v>4</v>
      </c>
      <c r="AC39" s="1">
        <v>0.110593712200679</v>
      </c>
      <c r="AD39" s="1">
        <v>29.690496480356</v>
      </c>
      <c r="AE39" s="1">
        <v>0.94182822828276702</v>
      </c>
      <c r="AF39" s="1">
        <v>12.352877088455999</v>
      </c>
      <c r="AG39" s="1">
        <v>33.188460993480398</v>
      </c>
      <c r="AH39" s="1">
        <v>0.94709103368075398</v>
      </c>
      <c r="AI39" s="1">
        <v>12.7647072318223</v>
      </c>
      <c r="AJ39" s="1">
        <v>408.73506522178599</v>
      </c>
      <c r="AK39" s="1">
        <v>310.17189598083399</v>
      </c>
      <c r="AL39" s="7"/>
      <c r="AM39" s="1"/>
      <c r="AN39" s="1"/>
      <c r="AO39" s="8"/>
      <c r="AP39" s="1"/>
      <c r="AQ39" s="1"/>
      <c r="AR39" s="1"/>
      <c r="AS39" s="8"/>
      <c r="AT39" s="7">
        <v>0.04</v>
      </c>
      <c r="AU39" s="1">
        <v>0.113399205766872</v>
      </c>
      <c r="AV39" s="1">
        <v>28.7136265906794</v>
      </c>
      <c r="AW39" s="1">
        <v>0.95635979266682802</v>
      </c>
      <c r="AX39" s="1">
        <v>13.601131947601701</v>
      </c>
      <c r="AY39" s="1">
        <v>31.7424620514876</v>
      </c>
      <c r="AZ39" s="1">
        <v>0.96200847321837102</v>
      </c>
      <c r="BA39" s="1">
        <v>14.2031325291769</v>
      </c>
      <c r="BB39" s="1">
        <v>348.71882867813099</v>
      </c>
      <c r="BC39" s="1">
        <v>262.57439756393399</v>
      </c>
      <c r="BD39" s="7"/>
      <c r="BE39" s="1"/>
      <c r="BF39" s="1"/>
      <c r="BG39" s="8"/>
      <c r="BH39" s="1"/>
      <c r="BI39" s="1"/>
      <c r="BJ39" s="1"/>
      <c r="BK39" s="8"/>
    </row>
    <row r="40" spans="1:63">
      <c r="A40" s="49"/>
      <c r="B40" s="7" t="s">
        <v>25</v>
      </c>
      <c r="C40" s="17">
        <v>1.5</v>
      </c>
      <c r="D40" s="7">
        <v>29</v>
      </c>
      <c r="E40" s="1">
        <v>1.4823616666666599</v>
      </c>
      <c r="F40" s="1">
        <v>36.511983426677503</v>
      </c>
      <c r="G40" s="1">
        <v>0.98921620247994602</v>
      </c>
      <c r="H40" s="1">
        <v>19.672282751808702</v>
      </c>
      <c r="I40" s="1">
        <v>39.629191531415202</v>
      </c>
      <c r="J40" s="1">
        <v>0.99228187900589904</v>
      </c>
      <c r="K40" s="8">
        <v>21.124884174388601</v>
      </c>
      <c r="L40" s="7">
        <v>27</v>
      </c>
      <c r="M40" s="1">
        <v>1.4010659999999999</v>
      </c>
      <c r="N40" s="1">
        <v>36.795424148476897</v>
      </c>
      <c r="O40" s="1">
        <v>0.98969797337148202</v>
      </c>
      <c r="P40" s="1">
        <v>19.870773318963899</v>
      </c>
      <c r="Q40" s="1">
        <v>39.963444719018497</v>
      </c>
      <c r="R40" s="1">
        <v>0.99238444342180099</v>
      </c>
      <c r="S40" s="8">
        <v>21.182983510269398</v>
      </c>
      <c r="T40" s="13">
        <f>bdrate(E40:E43,F40:F43,M40:M43,N40:N43)</f>
        <v>-0.10295720171203426</v>
      </c>
      <c r="U40" s="12">
        <f>bdrate(E40:E43,H40:H43,M40:M43,P40:P43)</f>
        <v>-9.3841215732992644E-2</v>
      </c>
      <c r="V40" s="12">
        <f>bdrate(E40:E43,I40:I43,M40:M43,Q40:Q43)</f>
        <v>-0.12129180956585783</v>
      </c>
      <c r="W40" s="14">
        <f>bdrate(E40:E43,K40:K43,M40:M43,S40:S43)</f>
        <v>-8.3258766200772438E-2</v>
      </c>
      <c r="X40" s="13">
        <f>bdrate(E42:E45,F42:F45,M42:M45,N42:N45)</f>
        <v>-0.12733951768899043</v>
      </c>
      <c r="Y40" s="12">
        <f>bdrate(E42:E45,H42:H45,M42:M45,P42:P45)</f>
        <v>-0.11907694746588082</v>
      </c>
      <c r="Z40" s="12">
        <f>bdrate(E42:E45,I42:I45,M42:M45,Q42:Q45)</f>
        <v>-0.16267709151620235</v>
      </c>
      <c r="AA40" s="14">
        <f>bdrate(E42:E45,K42:K45,M42:M45,S42:S45)</f>
        <v>-0.11737542215431263</v>
      </c>
      <c r="AB40" s="7"/>
      <c r="AC40" s="1"/>
      <c r="AD40" s="1"/>
      <c r="AE40" s="1"/>
      <c r="AF40" s="1"/>
      <c r="AG40" s="1"/>
      <c r="AH40" s="1"/>
      <c r="AI40" s="1"/>
      <c r="AJ40" s="1"/>
      <c r="AK40" s="1"/>
      <c r="AL40" s="13" t="e">
        <f>bdrate(E40:E43,F40:F43,AC40:AC43,AD40:AD43)</f>
        <v>#VALUE!</v>
      </c>
      <c r="AM40" s="12" t="e">
        <f>bdrate(E40:E43,H40:H43,AC40:AC43,AF40:AF43)</f>
        <v>#VALUE!</v>
      </c>
      <c r="AN40" s="12" t="e">
        <f>bdrate(E40:E43,I40:I43,AC40:AC43,AG40:AG43)</f>
        <v>#VALUE!</v>
      </c>
      <c r="AO40" s="14" t="e">
        <f>bdrate(E40:E43,K40:K43,AC40:AC43,AI40:AI43)</f>
        <v>#VALUE!</v>
      </c>
      <c r="AP40" s="12">
        <f>bdrate(E42:E45,F42:F45,AC42:AC45,AD42:AD45)</f>
        <v>-4.2921730687733417E-2</v>
      </c>
      <c r="AQ40" s="12">
        <f>bdrate(E42:E45,H42:H45,AC42:AC45,AF42:AF45)</f>
        <v>-7.8232352395474103E-2</v>
      </c>
      <c r="AR40" s="12">
        <f>bdrate(E42:E45,I42:I45,AC42:AC45,AG42:AG45)</f>
        <v>-0.17623892565843191</v>
      </c>
      <c r="AS40" s="14">
        <f>bdrate(E42:E45,K42:K45,AC42:AC45,AI42:AI45)</f>
        <v>-5.0614255461622015E-2</v>
      </c>
      <c r="AT40" s="7"/>
      <c r="AU40" s="1"/>
      <c r="AV40" s="1"/>
      <c r="AW40" s="1"/>
      <c r="AX40" s="1"/>
      <c r="AY40" s="1"/>
      <c r="AZ40" s="1"/>
      <c r="BA40" s="1"/>
      <c r="BB40" s="1"/>
      <c r="BC40" s="1"/>
      <c r="BD40" s="13" t="e">
        <f>bdrate(E40:E43,F40:F43,AU40:AU43,AV40:AV43)</f>
        <v>#VALUE!</v>
      </c>
      <c r="BE40" s="12" t="e">
        <f>bdrate(E40:E43,H40:H43,AU40:AU43,AX40:AX43)</f>
        <v>#VALUE!</v>
      </c>
      <c r="BF40" s="12" t="e">
        <f>bdrate(E40:E43,I40:I43,AU40:AU43,AY40:AY43)</f>
        <v>#VALUE!</v>
      </c>
      <c r="BG40" s="14" t="e">
        <f>bdrate(E40:E43,K40:K43,AU40:AU43,BA40:BA43)</f>
        <v>#VALUE!</v>
      </c>
      <c r="BH40" s="12">
        <f>bdrate(E42:E45,F42:F45,AU42:AU45,AV42:AV45)</f>
        <v>0.51608414483192555</v>
      </c>
      <c r="BI40" s="12">
        <f>bdrate(E42:E45,H42:H45,AU42:AU45,AX42:AX45)</f>
        <v>-0.47835052787227939</v>
      </c>
      <c r="BJ40" s="12">
        <f>bdrate(E42:E45,I42:I45,AU42:AU45,AY42:AY45)</f>
        <v>0.53240932981847511</v>
      </c>
      <c r="BK40" s="14">
        <f>bdrate(E42:E45,K42:K45,AU42:AU45,BA42:BA45)</f>
        <v>-0.46800303984428149</v>
      </c>
    </row>
    <row r="41" spans="1:63">
      <c r="A41" s="49"/>
      <c r="B41" s="7" t="s">
        <v>18</v>
      </c>
      <c r="C41" s="17">
        <v>1</v>
      </c>
      <c r="D41" s="7">
        <v>33</v>
      </c>
      <c r="E41" s="1">
        <v>0.88649999999999995</v>
      </c>
      <c r="F41" s="1">
        <v>32.734577220928003</v>
      </c>
      <c r="G41" s="1">
        <v>0.97690504237650799</v>
      </c>
      <c r="H41" s="1">
        <v>16.364828302955701</v>
      </c>
      <c r="I41" s="1">
        <v>36.105826170481699</v>
      </c>
      <c r="J41" s="1">
        <v>0.98169621628426795</v>
      </c>
      <c r="K41" s="8">
        <v>17.374591246407299</v>
      </c>
      <c r="L41" s="7">
        <v>31</v>
      </c>
      <c r="M41" s="1">
        <v>0.87481500000000001</v>
      </c>
      <c r="N41" s="1">
        <v>33.273877056474397</v>
      </c>
      <c r="O41" s="1">
        <v>0.97910417008755002</v>
      </c>
      <c r="P41" s="1">
        <v>16.799403754540801</v>
      </c>
      <c r="Q41" s="1">
        <v>36.685108768251602</v>
      </c>
      <c r="R41" s="1">
        <v>0.98326285227695298</v>
      </c>
      <c r="S41" s="8">
        <v>17.763185507444899</v>
      </c>
      <c r="T41" s="7"/>
      <c r="U41" s="1"/>
      <c r="V41" s="1"/>
      <c r="W41" s="8"/>
      <c r="X41" s="7"/>
      <c r="Y41" s="1"/>
      <c r="Z41" s="1"/>
      <c r="AA41" s="8"/>
      <c r="AB41" s="7">
        <v>64</v>
      </c>
      <c r="AC41" s="1">
        <v>1.2503310000000001</v>
      </c>
      <c r="AD41" s="1">
        <v>34.422535274826203</v>
      </c>
      <c r="AE41" s="1">
        <v>0.98743021747714499</v>
      </c>
      <c r="AF41" s="1">
        <v>19.006722362314001</v>
      </c>
      <c r="AG41" s="1">
        <v>37.697442769855002</v>
      </c>
      <c r="AH41" s="1">
        <v>0.99136858141503703</v>
      </c>
      <c r="AI41" s="1">
        <v>20.639178215511301</v>
      </c>
      <c r="AJ41" s="1">
        <v>577.24441695213295</v>
      </c>
      <c r="AK41" s="1">
        <v>315.54012489318802</v>
      </c>
      <c r="AL41" s="7"/>
      <c r="AM41" s="1"/>
      <c r="AN41" s="1"/>
      <c r="AO41" s="8"/>
      <c r="AP41" s="1"/>
      <c r="AQ41" s="1"/>
      <c r="AR41" s="1"/>
      <c r="AS41" s="8"/>
      <c r="AT41" s="7">
        <v>0.64</v>
      </c>
      <c r="AU41" s="1">
        <v>0.63225299999999995</v>
      </c>
      <c r="AV41" s="1">
        <v>29.081584515265099</v>
      </c>
      <c r="AW41" s="1">
        <v>0.98329965860134405</v>
      </c>
      <c r="AX41" s="1">
        <v>17.772746506466301</v>
      </c>
      <c r="AY41" s="1">
        <v>33.168434049204102</v>
      </c>
      <c r="AZ41" s="1">
        <v>0.98558007051079899</v>
      </c>
      <c r="BA41" s="1">
        <v>18.410368632314299</v>
      </c>
      <c r="BB41" s="1">
        <v>312.25104236602698</v>
      </c>
      <c r="BC41" s="1">
        <v>196.32544970512299</v>
      </c>
      <c r="BD41" s="7"/>
      <c r="BE41" s="1"/>
      <c r="BF41" s="1"/>
      <c r="BG41" s="8"/>
      <c r="BH41" s="1"/>
      <c r="BI41" s="1"/>
      <c r="BJ41" s="1"/>
      <c r="BK41" s="8"/>
    </row>
    <row r="42" spans="1:63">
      <c r="A42" s="49"/>
      <c r="B42" s="7" t="s">
        <v>18</v>
      </c>
      <c r="C42" s="17">
        <v>0.5</v>
      </c>
      <c r="D42" s="7">
        <v>36</v>
      </c>
      <c r="E42" s="1">
        <v>0.465272666666666</v>
      </c>
      <c r="F42" s="1">
        <v>29.863572086342401</v>
      </c>
      <c r="G42" s="1">
        <v>0.95263401568818196</v>
      </c>
      <c r="H42" s="1">
        <v>13.245334331978199</v>
      </c>
      <c r="I42" s="1">
        <v>33.516223716915903</v>
      </c>
      <c r="J42" s="1">
        <v>0.95863198349468204</v>
      </c>
      <c r="K42" s="8">
        <v>13.8333530195791</v>
      </c>
      <c r="L42" s="7">
        <v>35</v>
      </c>
      <c r="M42" s="1">
        <v>0.40049766666666597</v>
      </c>
      <c r="N42" s="1">
        <v>29.7725591946819</v>
      </c>
      <c r="O42" s="1">
        <v>0.95098993638445695</v>
      </c>
      <c r="P42" s="1">
        <v>13.097147337685101</v>
      </c>
      <c r="Q42" s="1">
        <v>33.522695957857898</v>
      </c>
      <c r="R42" s="1">
        <v>0.95689490188355697</v>
      </c>
      <c r="S42" s="8">
        <v>13.654713620224999</v>
      </c>
      <c r="T42" s="7"/>
      <c r="U42" s="1"/>
      <c r="V42" s="1"/>
      <c r="W42" s="8"/>
      <c r="X42" s="7"/>
      <c r="Y42" s="1"/>
      <c r="Z42" s="1"/>
      <c r="AA42" s="8"/>
      <c r="AB42" s="7">
        <v>32</v>
      </c>
      <c r="AC42" s="1">
        <v>0.93051966666666597</v>
      </c>
      <c r="AD42" s="1">
        <v>32.953549232463303</v>
      </c>
      <c r="AE42" s="1">
        <v>0.98149059461697397</v>
      </c>
      <c r="AF42" s="1">
        <v>17.326075327878002</v>
      </c>
      <c r="AG42" s="1">
        <v>36.419625014529899</v>
      </c>
      <c r="AH42" s="1">
        <v>0.98541190970921999</v>
      </c>
      <c r="AI42" s="1">
        <v>18.360015573498998</v>
      </c>
      <c r="AJ42" s="1">
        <v>599.18474483489899</v>
      </c>
      <c r="AK42" s="1">
        <v>387.17536067962601</v>
      </c>
      <c r="AL42" s="7"/>
      <c r="AM42" s="1"/>
      <c r="AN42" s="1"/>
      <c r="AO42" s="8"/>
      <c r="AP42" s="1"/>
      <c r="AQ42" s="1"/>
      <c r="AR42" s="1"/>
      <c r="AS42" s="8"/>
      <c r="AT42" s="7">
        <v>0.32</v>
      </c>
      <c r="AU42" s="1">
        <v>0.50915833333333305</v>
      </c>
      <c r="AV42" s="1">
        <v>28.835533536726199</v>
      </c>
      <c r="AW42" s="1">
        <v>0.97977901857907701</v>
      </c>
      <c r="AX42" s="1">
        <v>16.9419776984553</v>
      </c>
      <c r="AY42" s="1">
        <v>32.812714604692999</v>
      </c>
      <c r="AZ42" s="1">
        <v>0.98239623717925495</v>
      </c>
      <c r="BA42" s="1">
        <v>17.543944914119599</v>
      </c>
      <c r="BB42" s="1">
        <v>672.60447216033901</v>
      </c>
      <c r="BC42" s="1">
        <v>382.301119327545</v>
      </c>
      <c r="BD42" s="7"/>
      <c r="BE42" s="1"/>
      <c r="BF42" s="1"/>
      <c r="BG42" s="8"/>
      <c r="BH42" s="1"/>
      <c r="BI42" s="1"/>
      <c r="BJ42" s="1"/>
      <c r="BK42" s="8"/>
    </row>
    <row r="43" spans="1:63">
      <c r="A43" s="49"/>
      <c r="B43" s="7" t="s">
        <v>18</v>
      </c>
      <c r="C43" s="17">
        <v>0.25</v>
      </c>
      <c r="D43" s="7">
        <v>39</v>
      </c>
      <c r="E43" s="1">
        <v>0.20485266666666599</v>
      </c>
      <c r="F43" s="1">
        <v>27.905112510339901</v>
      </c>
      <c r="G43" s="1">
        <v>0.91319815305833796</v>
      </c>
      <c r="H43" s="1">
        <v>10.6147103394749</v>
      </c>
      <c r="I43" s="1">
        <v>31.707819562202499</v>
      </c>
      <c r="J43" s="1">
        <v>0.92040794746080901</v>
      </c>
      <c r="K43" s="8">
        <v>10.9913029546197</v>
      </c>
      <c r="L43" s="7">
        <v>37</v>
      </c>
      <c r="M43" s="1">
        <v>0.218255</v>
      </c>
      <c r="N43" s="1">
        <v>28.266373244900102</v>
      </c>
      <c r="O43" s="1">
        <v>0.92233264608126497</v>
      </c>
      <c r="P43" s="1">
        <v>11.097614907520899</v>
      </c>
      <c r="Q43" s="1">
        <v>32.124702152727501</v>
      </c>
      <c r="R43" s="1">
        <v>0.92913912578552005</v>
      </c>
      <c r="S43" s="8">
        <v>11.4959349405502</v>
      </c>
      <c r="T43" s="7"/>
      <c r="U43" s="1"/>
      <c r="V43" s="1"/>
      <c r="W43" s="8"/>
      <c r="X43" s="7"/>
      <c r="Y43" s="1"/>
      <c r="Z43" s="1"/>
      <c r="AA43" s="8"/>
      <c r="AB43" s="7">
        <v>16</v>
      </c>
      <c r="AC43" s="1">
        <v>0.55928500000000003</v>
      </c>
      <c r="AD43" s="1">
        <v>30.608144557254899</v>
      </c>
      <c r="AE43" s="1">
        <v>0.96316609986591595</v>
      </c>
      <c r="AF43" s="1">
        <v>14.337522937154301</v>
      </c>
      <c r="AG43" s="1">
        <v>34.421244131550601</v>
      </c>
      <c r="AH43" s="1">
        <v>0.96782192399067501</v>
      </c>
      <c r="AI43" s="1">
        <v>14.9243992678495</v>
      </c>
      <c r="AJ43" s="1">
        <v>405.74427962303099</v>
      </c>
      <c r="AK43" s="1">
        <v>287.164471626281</v>
      </c>
      <c r="AL43" s="7"/>
      <c r="AM43" s="1"/>
      <c r="AN43" s="1"/>
      <c r="AO43" s="8"/>
      <c r="AP43" s="1"/>
      <c r="AQ43" s="1"/>
      <c r="AR43" s="1"/>
      <c r="AS43" s="8"/>
      <c r="AT43" s="7">
        <v>0.16</v>
      </c>
      <c r="AU43" s="1">
        <v>0.39566433333333301</v>
      </c>
      <c r="AV43" s="1">
        <v>28.4258922298459</v>
      </c>
      <c r="AW43" s="1">
        <v>0.97346737484378698</v>
      </c>
      <c r="AX43" s="1">
        <v>15.762197784965601</v>
      </c>
      <c r="AY43" s="1">
        <v>32.304286135476502</v>
      </c>
      <c r="AZ43" s="1">
        <v>0.97669801373043796</v>
      </c>
      <c r="BA43" s="1">
        <v>16.3260705798067</v>
      </c>
      <c r="BB43" s="1">
        <v>402.06115889549199</v>
      </c>
      <c r="BC43" s="1">
        <v>292.09403014182999</v>
      </c>
      <c r="BD43" s="7"/>
      <c r="BE43" s="1"/>
      <c r="BF43" s="1"/>
      <c r="BG43" s="8"/>
      <c r="BH43" s="1"/>
      <c r="BI43" s="1"/>
      <c r="BJ43" s="1"/>
      <c r="BK43" s="8"/>
    </row>
    <row r="44" spans="1:63">
      <c r="A44" s="49"/>
      <c r="B44" s="7" t="s">
        <v>18</v>
      </c>
      <c r="C44" s="17">
        <v>0.12</v>
      </c>
      <c r="D44" s="7">
        <v>42</v>
      </c>
      <c r="E44" s="1">
        <v>0.107350666666666</v>
      </c>
      <c r="F44" s="1">
        <v>26.8598471155066</v>
      </c>
      <c r="G44" s="1">
        <v>0.87730088131814599</v>
      </c>
      <c r="H44" s="1">
        <v>9.1115855669420505</v>
      </c>
      <c r="I44" s="1">
        <v>30.682959722380499</v>
      </c>
      <c r="J44" s="1">
        <v>0.88562515641192296</v>
      </c>
      <c r="K44" s="8">
        <v>9.4166948683921508</v>
      </c>
      <c r="L44" s="7">
        <v>40</v>
      </c>
      <c r="M44" s="1">
        <v>0.109292</v>
      </c>
      <c r="N44" s="1">
        <v>27.121144687100902</v>
      </c>
      <c r="O44" s="1">
        <v>0.88681013883297999</v>
      </c>
      <c r="P44" s="1">
        <v>9.4619247276274407</v>
      </c>
      <c r="Q44" s="1">
        <v>31.013866622712399</v>
      </c>
      <c r="R44" s="1">
        <v>0.89485527721931601</v>
      </c>
      <c r="S44" s="8">
        <v>9.7821251969418306</v>
      </c>
      <c r="T44" s="7"/>
      <c r="U44" s="1"/>
      <c r="V44" s="1"/>
      <c r="W44" s="8"/>
      <c r="X44" s="7"/>
      <c r="Y44" s="1"/>
      <c r="Z44" s="1"/>
      <c r="AA44" s="8"/>
      <c r="AB44" s="7">
        <v>8</v>
      </c>
      <c r="AC44" s="1">
        <v>0.24377299999999999</v>
      </c>
      <c r="AD44" s="1">
        <v>28.319580850023701</v>
      </c>
      <c r="AE44" s="1">
        <v>0.92654256367727394</v>
      </c>
      <c r="AF44" s="1">
        <v>11.3396423267901</v>
      </c>
      <c r="AG44" s="1">
        <v>32.414970872061403</v>
      </c>
      <c r="AH44" s="1">
        <v>0.93177188635022001</v>
      </c>
      <c r="AI44" s="1">
        <v>11.660366357964</v>
      </c>
      <c r="AJ44" s="1">
        <v>288.76632857322602</v>
      </c>
      <c r="AK44" s="1">
        <v>191.364611148834</v>
      </c>
      <c r="AL44" s="7"/>
      <c r="AM44" s="1"/>
      <c r="AN44" s="1"/>
      <c r="AO44" s="8"/>
      <c r="AP44" s="1"/>
      <c r="AQ44" s="1"/>
      <c r="AR44" s="1"/>
      <c r="AS44" s="8"/>
      <c r="AT44" s="7">
        <v>0.08</v>
      </c>
      <c r="AU44" s="1">
        <v>0.28487433333333301</v>
      </c>
      <c r="AV44" s="1">
        <v>27.778841506486199</v>
      </c>
      <c r="AW44" s="1">
        <v>0.96125861452579298</v>
      </c>
      <c r="AX44" s="1">
        <v>14.1182485204634</v>
      </c>
      <c r="AY44" s="1">
        <v>31.554147287999001</v>
      </c>
      <c r="AZ44" s="1">
        <v>0.96556885243572099</v>
      </c>
      <c r="BA44" s="1">
        <v>14.6304850234532</v>
      </c>
      <c r="BB44" s="1">
        <v>307.05883765220602</v>
      </c>
      <c r="BC44" s="1">
        <v>226.94075775146399</v>
      </c>
      <c r="BD44" s="7"/>
      <c r="BE44" s="1"/>
      <c r="BF44" s="1"/>
      <c r="BG44" s="8"/>
      <c r="BH44" s="1"/>
      <c r="BI44" s="1"/>
      <c r="BJ44" s="1"/>
      <c r="BK44" s="8"/>
    </row>
    <row r="45" spans="1:63">
      <c r="A45" s="49"/>
      <c r="B45" s="7" t="s">
        <v>18</v>
      </c>
      <c r="C45" s="17">
        <v>0.06</v>
      </c>
      <c r="D45" s="7">
        <v>45</v>
      </c>
      <c r="E45" s="1">
        <v>5.6587666666666599E-2</v>
      </c>
      <c r="F45" s="1">
        <v>25.974864728339199</v>
      </c>
      <c r="G45" s="1">
        <v>0.83380699881301601</v>
      </c>
      <c r="H45" s="1">
        <v>7.7938726941998002</v>
      </c>
      <c r="I45" s="1">
        <v>29.818074150135299</v>
      </c>
      <c r="J45" s="1">
        <v>0.84266024800073303</v>
      </c>
      <c r="K45" s="8">
        <v>8.0316153870632405</v>
      </c>
      <c r="L45" s="7">
        <v>43</v>
      </c>
      <c r="M45" s="1">
        <v>5.7627666666666598E-2</v>
      </c>
      <c r="N45" s="1">
        <v>26.221192302647299</v>
      </c>
      <c r="O45" s="1">
        <v>0.84654604167115999</v>
      </c>
      <c r="P45" s="1">
        <v>8.1402190450683598</v>
      </c>
      <c r="Q45" s="1">
        <v>30.128365895613602</v>
      </c>
      <c r="R45" s="1">
        <v>0.855402028100817</v>
      </c>
      <c r="S45" s="8">
        <v>8.3983779832205894</v>
      </c>
      <c r="T45" s="7"/>
      <c r="U45" s="1"/>
      <c r="V45" s="1"/>
      <c r="W45" s="8"/>
      <c r="X45" s="7"/>
      <c r="Y45" s="1"/>
      <c r="Z45" s="1"/>
      <c r="AA45" s="8"/>
      <c r="AB45" s="7">
        <v>4</v>
      </c>
      <c r="AC45" s="1">
        <v>0.12791633333333299</v>
      </c>
      <c r="AD45" s="1">
        <v>27.202883045505398</v>
      </c>
      <c r="AE45" s="1">
        <v>0.89062197442649604</v>
      </c>
      <c r="AF45" s="1">
        <v>9.6106992051405502</v>
      </c>
      <c r="AG45" s="1">
        <v>31.3329560568944</v>
      </c>
      <c r="AH45" s="1">
        <v>0.89724755648355203</v>
      </c>
      <c r="AI45" s="1">
        <v>9.8820784153859407</v>
      </c>
      <c r="AJ45" s="1">
        <v>282.88047385215702</v>
      </c>
      <c r="AK45" s="1">
        <v>207.37841105461101</v>
      </c>
      <c r="AL45" s="7"/>
      <c r="AM45" s="1"/>
      <c r="AN45" s="1"/>
      <c r="AO45" s="8"/>
      <c r="AP45" s="1"/>
      <c r="AQ45" s="1"/>
      <c r="AR45" s="1"/>
      <c r="AS45" s="8"/>
      <c r="AT45" s="7">
        <v>0.04</v>
      </c>
      <c r="AU45" s="1">
        <v>0.177106333333333</v>
      </c>
      <c r="AV45" s="1">
        <v>26.910236551772201</v>
      </c>
      <c r="AW45" s="1">
        <v>0.93643788614880596</v>
      </c>
      <c r="AX45" s="1">
        <v>11.9680166812539</v>
      </c>
      <c r="AY45" s="1">
        <v>30.542129400845599</v>
      </c>
      <c r="AZ45" s="1">
        <v>0.94205117528487903</v>
      </c>
      <c r="BA45" s="1">
        <v>12.369553677230501</v>
      </c>
      <c r="BB45" s="1">
        <v>383.46402502059902</v>
      </c>
      <c r="BC45" s="1">
        <v>297.830836057662</v>
      </c>
      <c r="BD45" s="7"/>
      <c r="BE45" s="1"/>
      <c r="BF45" s="1"/>
      <c r="BG45" s="8"/>
      <c r="BH45" s="1"/>
      <c r="BI45" s="1"/>
      <c r="BJ45" s="1"/>
      <c r="BK45" s="8"/>
    </row>
    <row r="46" spans="1:63">
      <c r="A46" s="49"/>
      <c r="B46" s="7" t="s">
        <v>26</v>
      </c>
      <c r="C46" s="17">
        <v>1.5</v>
      </c>
      <c r="D46" s="7">
        <v>21</v>
      </c>
      <c r="E46" s="1">
        <v>1.45398566666666</v>
      </c>
      <c r="F46" s="1">
        <v>43.083880869550697</v>
      </c>
      <c r="G46" s="1">
        <v>0.99558129653261296</v>
      </c>
      <c r="H46" s="1">
        <v>23.547051423161701</v>
      </c>
      <c r="I46" s="1">
        <v>46.286140969075099</v>
      </c>
      <c r="J46" s="1">
        <v>0.99716249574182603</v>
      </c>
      <c r="K46" s="8">
        <v>25.470634780631201</v>
      </c>
      <c r="L46" s="7">
        <v>19</v>
      </c>
      <c r="M46" s="1">
        <v>1.33644433333333</v>
      </c>
      <c r="N46" s="1">
        <v>43.268305473971701</v>
      </c>
      <c r="O46" s="1">
        <v>0.99583133896267195</v>
      </c>
      <c r="P46" s="1">
        <v>23.800034168436898</v>
      </c>
      <c r="Q46" s="1">
        <v>46.500425405883497</v>
      </c>
      <c r="R46" s="1">
        <v>0.99720775653879801</v>
      </c>
      <c r="S46" s="8">
        <v>25.5404671740758</v>
      </c>
      <c r="T46" s="13">
        <f>bdrate(E46:E49,F46:F49,M46:M49,N46:N49)</f>
        <v>-0.16387406544161109</v>
      </c>
      <c r="U46" s="12">
        <f>bdrate(E46:E49,H46:H49,M46:M49,P46:P49)</f>
        <v>-0.18363756106357187</v>
      </c>
      <c r="V46" s="12">
        <f>bdrate(E46:E49,I46:I49,M46:M49,Q46:Q49)</f>
        <v>-0.16527239662432935</v>
      </c>
      <c r="W46" s="14">
        <f>bdrate(E46:E49,K46:K49,M46:M49,S46:S49)</f>
        <v>-0.14510080335727993</v>
      </c>
      <c r="X46" s="13">
        <f>bdrate(E48:E51,F48:F51,M48:M51,N48:N51)</f>
        <v>-0.24664264987556128</v>
      </c>
      <c r="Y46" s="12">
        <f>bdrate(E48:E51,H48:H51,M48:M51,P48:P51)</f>
        <v>-0.25126986333688717</v>
      </c>
      <c r="Z46" s="12">
        <f>bdrate(E48:E51,I48:I51,M48:M51,Q48:Q51)</f>
        <v>-0.24849787182459637</v>
      </c>
      <c r="AA46" s="14">
        <f>bdrate(E48:E51,K48:K51,M48:M51,S48:S51)</f>
        <v>-0.20621690648253277</v>
      </c>
      <c r="AB46" s="7"/>
      <c r="AC46" s="1"/>
      <c r="AD46" s="1"/>
      <c r="AE46" s="1"/>
      <c r="AF46" s="1"/>
      <c r="AG46" s="1"/>
      <c r="AH46" s="1"/>
      <c r="AI46" s="1"/>
      <c r="AJ46" s="1"/>
      <c r="AK46" s="1"/>
      <c r="AL46" s="13" t="e">
        <f>bdrate(E46:E49,F46:F49,AC46:AC49,AD46:AD49)</f>
        <v>#VALUE!</v>
      </c>
      <c r="AM46" s="12" t="e">
        <f>bdrate(E46:E49,H46:H49,AC46:AC49,AF46:AF49)</f>
        <v>#VALUE!</v>
      </c>
      <c r="AN46" s="12" t="e">
        <f>bdrate(E46:E49,I46:I49,AC46:AC49,AG46:AG49)</f>
        <v>#VALUE!</v>
      </c>
      <c r="AO46" s="14" t="e">
        <f>bdrate(E46:E49,K46:K49,AC46:AC49,AI46:AI49)</f>
        <v>#VALUE!</v>
      </c>
      <c r="AP46" s="12">
        <f>bdrate(E48:E51,F48:F51,AC48:AC51,AD48:AD51)</f>
        <v>-0.1663232826203378</v>
      </c>
      <c r="AQ46" s="12">
        <f>bdrate(E48:E51,H48:H51,AC48:AC51,AF48:AF51)</f>
        <v>-0.27624287216824717</v>
      </c>
      <c r="AR46" s="12">
        <f>bdrate(E48:E51,I48:I51,AC48:AC51,AG48:AG51)</f>
        <v>-0.17206582924627678</v>
      </c>
      <c r="AS46" s="14">
        <f>bdrate(E48:E51,K48:K51,AC48:AC51,AI48:AI51)</f>
        <v>-0.19597321664973277</v>
      </c>
      <c r="AT46" s="7"/>
      <c r="AU46" s="1"/>
      <c r="AV46" s="1"/>
      <c r="AW46" s="1"/>
      <c r="AX46" s="1"/>
      <c r="AY46" s="1"/>
      <c r="AZ46" s="1"/>
      <c r="BA46" s="1"/>
      <c r="BB46" s="1"/>
      <c r="BC46" s="1"/>
      <c r="BD46" s="13" t="e">
        <f>bdrate(E46:E49,F46:F49,AU46:AU49,AV46:AV49)</f>
        <v>#VALUE!</v>
      </c>
      <c r="BE46" s="12" t="e">
        <f>bdrate(E46:E49,H46:H49,AU46:AU49,AX46:AX49)</f>
        <v>#VALUE!</v>
      </c>
      <c r="BF46" s="12" t="e">
        <f>bdrate(E46:E49,I46:I49,AU46:AU49,AY46:AY49)</f>
        <v>#VALUE!</v>
      </c>
      <c r="BG46" s="14" t="e">
        <f>bdrate(E46:E49,K46:K49,AU46:AU49,BA46:BA49)</f>
        <v>#VALUE!</v>
      </c>
      <c r="BH46" s="12">
        <f>bdrate(E48:E51,F48:F51,AU48:AU51,AV48:AV51)</f>
        <v>0.4208248436134836</v>
      </c>
      <c r="BI46" s="12">
        <f>bdrate(E48:E51,H48:H51,AU48:AU51,AX48:AX51)</f>
        <v>-0.55855496864850585</v>
      </c>
      <c r="BJ46" s="12">
        <f>bdrate(E48:E51,I48:I51,AU48:AU51,AY48:AY51)</f>
        <v>0.49659592708082601</v>
      </c>
      <c r="BK46" s="14">
        <f>bdrate(E48:E51,K48:K51,AU48:AU51,BA48:BA51)</f>
        <v>-0.5363412305419164</v>
      </c>
    </row>
    <row r="47" spans="1:63">
      <c r="A47" s="49"/>
      <c r="B47" s="7" t="s">
        <v>18</v>
      </c>
      <c r="C47" s="17">
        <v>1</v>
      </c>
      <c r="D47" s="7">
        <v>25</v>
      </c>
      <c r="E47" s="1">
        <v>0.91958066666666605</v>
      </c>
      <c r="F47" s="1">
        <v>40.431148448252898</v>
      </c>
      <c r="G47" s="1">
        <v>0.992783765847292</v>
      </c>
      <c r="H47" s="1">
        <v>21.416893832295798</v>
      </c>
      <c r="I47" s="1">
        <v>43.546950990551899</v>
      </c>
      <c r="J47" s="1">
        <v>0.99493743446479099</v>
      </c>
      <c r="K47" s="8">
        <v>22.9562934177324</v>
      </c>
      <c r="L47" s="7">
        <v>22</v>
      </c>
      <c r="M47" s="1">
        <v>0.96280833333333304</v>
      </c>
      <c r="N47" s="1">
        <v>41.453764278151901</v>
      </c>
      <c r="O47" s="1">
        <v>0.99427961859574898</v>
      </c>
      <c r="P47" s="1">
        <v>22.425750138224899</v>
      </c>
      <c r="Q47" s="1">
        <v>44.612162261520901</v>
      </c>
      <c r="R47" s="1">
        <v>0.99594239161936904</v>
      </c>
      <c r="S47" s="8">
        <v>23.917298711366598</v>
      </c>
      <c r="T47" s="7"/>
      <c r="U47" s="1"/>
      <c r="V47" s="1"/>
      <c r="W47" s="8"/>
      <c r="X47" s="7"/>
      <c r="Y47" s="1"/>
      <c r="Z47" s="1"/>
      <c r="AA47" s="8"/>
      <c r="AB47" s="7">
        <v>64</v>
      </c>
      <c r="AC47" s="1">
        <v>0.48579499999999998</v>
      </c>
      <c r="AD47" s="1">
        <v>37.807144159230198</v>
      </c>
      <c r="AE47" s="1">
        <v>0.99014058496808999</v>
      </c>
      <c r="AF47" s="1">
        <v>20.0614885138231</v>
      </c>
      <c r="AG47" s="1">
        <v>40.969010139907503</v>
      </c>
      <c r="AH47" s="1">
        <v>0.99225680202542799</v>
      </c>
      <c r="AI47" s="1">
        <v>21.110796367503202</v>
      </c>
      <c r="AJ47" s="1">
        <v>654.70625805854797</v>
      </c>
      <c r="AK47" s="1">
        <v>313.17971611022898</v>
      </c>
      <c r="AL47" s="7"/>
      <c r="AM47" s="1"/>
      <c r="AN47" s="1"/>
      <c r="AO47" s="8"/>
      <c r="AP47" s="1"/>
      <c r="AQ47" s="1"/>
      <c r="AR47" s="1"/>
      <c r="AS47" s="8"/>
      <c r="AT47" s="7">
        <v>0.64</v>
      </c>
      <c r="AU47" s="1">
        <v>0.389755666666666</v>
      </c>
      <c r="AV47" s="1">
        <v>33.489592168561302</v>
      </c>
      <c r="AW47" s="1">
        <v>0.993061975791379</v>
      </c>
      <c r="AX47" s="1">
        <v>21.587641891218201</v>
      </c>
      <c r="AY47" s="1">
        <v>36.391438905414702</v>
      </c>
      <c r="AZ47" s="1">
        <v>0.99476556200180699</v>
      </c>
      <c r="BA47" s="1">
        <v>22.811299400378701</v>
      </c>
      <c r="BB47" s="1">
        <v>339.77328991889902</v>
      </c>
      <c r="BC47" s="1">
        <v>202.161257982254</v>
      </c>
      <c r="BD47" s="7"/>
      <c r="BE47" s="1"/>
      <c r="BF47" s="1"/>
      <c r="BG47" s="8"/>
      <c r="BH47" s="1"/>
      <c r="BI47" s="1"/>
      <c r="BJ47" s="1"/>
      <c r="BK47" s="8"/>
    </row>
    <row r="48" spans="1:63">
      <c r="A48" s="49"/>
      <c r="B48" s="7" t="s">
        <v>18</v>
      </c>
      <c r="C48" s="17">
        <v>0.5</v>
      </c>
      <c r="D48" s="7">
        <v>31</v>
      </c>
      <c r="E48" s="1">
        <v>0.44841033333333302</v>
      </c>
      <c r="F48" s="1">
        <v>36.793346150101698</v>
      </c>
      <c r="G48" s="1">
        <v>0.98530192396122196</v>
      </c>
      <c r="H48" s="1">
        <v>18.327395101788401</v>
      </c>
      <c r="I48" s="1">
        <v>39.862261312736898</v>
      </c>
      <c r="J48" s="1">
        <v>0.98868759579009902</v>
      </c>
      <c r="K48" s="8">
        <v>19.464450852486401</v>
      </c>
      <c r="L48" s="7">
        <v>28</v>
      </c>
      <c r="M48" s="1">
        <v>0.46136199999999999</v>
      </c>
      <c r="N48" s="1">
        <v>37.898589871007701</v>
      </c>
      <c r="O48" s="1">
        <v>0.98822581459544101</v>
      </c>
      <c r="P48" s="1">
        <v>19.290691297653201</v>
      </c>
      <c r="Q48" s="1">
        <v>40.984413428551001</v>
      </c>
      <c r="R48" s="1">
        <v>0.99071629643917403</v>
      </c>
      <c r="S48" s="8">
        <v>20.322787355096299</v>
      </c>
      <c r="T48" s="7"/>
      <c r="U48" s="1"/>
      <c r="V48" s="1"/>
      <c r="W48" s="8"/>
      <c r="X48" s="7"/>
      <c r="Y48" s="1"/>
      <c r="Z48" s="1"/>
      <c r="AA48" s="8"/>
      <c r="AB48" s="7">
        <v>32</v>
      </c>
      <c r="AC48" s="1">
        <v>0.35706100000000002</v>
      </c>
      <c r="AD48" s="1">
        <v>36.410710658777397</v>
      </c>
      <c r="AE48" s="1">
        <v>0.98675516914082395</v>
      </c>
      <c r="AF48" s="1">
        <v>18.7795358341398</v>
      </c>
      <c r="AG48" s="1">
        <v>39.541030518156703</v>
      </c>
      <c r="AH48" s="1">
        <v>0.98919489545504702</v>
      </c>
      <c r="AI48" s="1">
        <v>19.663710267375599</v>
      </c>
      <c r="AJ48" s="1">
        <v>671.08787608146599</v>
      </c>
      <c r="AK48" s="1">
        <v>384.00604605674698</v>
      </c>
      <c r="AL48" s="7"/>
      <c r="AM48" s="1"/>
      <c r="AN48" s="1"/>
      <c r="AO48" s="8"/>
      <c r="AP48" s="1"/>
      <c r="AQ48" s="1"/>
      <c r="AR48" s="1"/>
      <c r="AS48" s="8"/>
      <c r="AT48" s="7">
        <v>0.32</v>
      </c>
      <c r="AU48" s="1">
        <v>0.28274300000000002</v>
      </c>
      <c r="AV48" s="1">
        <v>32.615311768647203</v>
      </c>
      <c r="AW48" s="1">
        <v>0.99042836936679401</v>
      </c>
      <c r="AX48" s="1">
        <v>20.190140690489802</v>
      </c>
      <c r="AY48" s="1">
        <v>35.506997668405099</v>
      </c>
      <c r="AZ48" s="1">
        <v>0.99261680433541599</v>
      </c>
      <c r="BA48" s="1">
        <v>21.317556220390099</v>
      </c>
      <c r="BB48" s="1">
        <v>604.42686986923195</v>
      </c>
      <c r="BC48" s="1">
        <v>346.94145059585497</v>
      </c>
      <c r="BD48" s="7"/>
      <c r="BE48" s="1"/>
      <c r="BF48" s="1"/>
      <c r="BG48" s="8"/>
      <c r="BH48" s="1"/>
      <c r="BI48" s="1"/>
      <c r="BJ48" s="1"/>
      <c r="BK48" s="8"/>
    </row>
    <row r="49" spans="1:63">
      <c r="A49" s="49"/>
      <c r="B49" s="7" t="s">
        <v>18</v>
      </c>
      <c r="C49" s="17">
        <v>0.25</v>
      </c>
      <c r="D49" s="7">
        <v>36</v>
      </c>
      <c r="E49" s="1">
        <v>0.242690666666666</v>
      </c>
      <c r="F49" s="1">
        <v>33.952886334983702</v>
      </c>
      <c r="G49" s="1">
        <v>0.97655660926213494</v>
      </c>
      <c r="H49" s="1">
        <v>16.299795738721201</v>
      </c>
      <c r="I49" s="1">
        <v>36.993399953891704</v>
      </c>
      <c r="J49" s="1">
        <v>0.98166011461549296</v>
      </c>
      <c r="K49" s="8">
        <v>17.366033827898701</v>
      </c>
      <c r="L49" s="7">
        <v>33</v>
      </c>
      <c r="M49" s="1">
        <v>0.24940399999999999</v>
      </c>
      <c r="N49" s="1">
        <v>35.245851719206598</v>
      </c>
      <c r="O49" s="1">
        <v>0.98112258055571</v>
      </c>
      <c r="P49" s="1">
        <v>17.2405737432309</v>
      </c>
      <c r="Q49" s="1">
        <v>38.304411351653698</v>
      </c>
      <c r="R49" s="1">
        <v>0.98464062671323505</v>
      </c>
      <c r="S49" s="8">
        <v>18.136265045943901</v>
      </c>
      <c r="T49" s="7"/>
      <c r="U49" s="1"/>
      <c r="V49" s="1"/>
      <c r="W49" s="8"/>
      <c r="X49" s="7"/>
      <c r="Y49" s="1"/>
      <c r="Z49" s="1"/>
      <c r="AA49" s="8"/>
      <c r="AB49" s="7">
        <v>16</v>
      </c>
      <c r="AC49" s="1">
        <v>0.25131433333333297</v>
      </c>
      <c r="AD49" s="1">
        <v>34.9638126213883</v>
      </c>
      <c r="AE49" s="1">
        <v>0.98210563789091798</v>
      </c>
      <c r="AF49" s="1">
        <v>17.472837785505</v>
      </c>
      <c r="AG49" s="1">
        <v>38.030440441103202</v>
      </c>
      <c r="AH49" s="1">
        <v>0.98499546861514997</v>
      </c>
      <c r="AI49" s="1">
        <v>18.237775637280802</v>
      </c>
      <c r="AJ49" s="1">
        <v>408.477822065353</v>
      </c>
      <c r="AK49" s="1">
        <v>281.37940263748101</v>
      </c>
      <c r="AL49" s="7"/>
      <c r="AM49" s="1"/>
      <c r="AN49" s="1"/>
      <c r="AO49" s="8"/>
      <c r="AP49" s="1"/>
      <c r="AQ49" s="1"/>
      <c r="AR49" s="1"/>
      <c r="AS49" s="8"/>
      <c r="AT49" s="7">
        <v>0.16</v>
      </c>
      <c r="AU49" s="1">
        <v>0.19056100000000001</v>
      </c>
      <c r="AV49" s="1">
        <v>31.348248344335001</v>
      </c>
      <c r="AW49" s="1">
        <v>0.98583540259097202</v>
      </c>
      <c r="AX49" s="1">
        <v>18.4879576463258</v>
      </c>
      <c r="AY49" s="1">
        <v>34.172446987408598</v>
      </c>
      <c r="AZ49" s="1">
        <v>0.98875490242840902</v>
      </c>
      <c r="BA49" s="1">
        <v>19.490367719206802</v>
      </c>
      <c r="BB49" s="1">
        <v>399.45707702636702</v>
      </c>
      <c r="BC49" s="1">
        <v>281.80890917777998</v>
      </c>
      <c r="BD49" s="7"/>
      <c r="BE49" s="1"/>
      <c r="BF49" s="1"/>
      <c r="BG49" s="8"/>
      <c r="BH49" s="1"/>
      <c r="BI49" s="1"/>
      <c r="BJ49" s="1"/>
      <c r="BK49" s="8"/>
    </row>
    <row r="50" spans="1:63">
      <c r="A50" s="49"/>
      <c r="B50" s="7" t="s">
        <v>18</v>
      </c>
      <c r="C50" s="17">
        <v>0.12</v>
      </c>
      <c r="D50" s="7">
        <v>42</v>
      </c>
      <c r="E50" s="1">
        <v>0.108511</v>
      </c>
      <c r="F50" s="1">
        <v>30.548525726146501</v>
      </c>
      <c r="G50" s="1">
        <v>0.95818221017840199</v>
      </c>
      <c r="H50" s="1">
        <v>13.7863892449896</v>
      </c>
      <c r="I50" s="1">
        <v>33.556531358632199</v>
      </c>
      <c r="J50" s="1">
        <v>0.966205973915926</v>
      </c>
      <c r="K50" s="8">
        <v>14.7116006504849</v>
      </c>
      <c r="L50" s="7">
        <v>39</v>
      </c>
      <c r="M50" s="1">
        <v>0.11425200000000001</v>
      </c>
      <c r="N50" s="1">
        <v>31.961794572584399</v>
      </c>
      <c r="O50" s="1">
        <v>0.96748970920803201</v>
      </c>
      <c r="P50" s="1">
        <v>14.879791458904601</v>
      </c>
      <c r="Q50" s="1">
        <v>34.991893827189898</v>
      </c>
      <c r="R50" s="1">
        <v>0.97304794199292999</v>
      </c>
      <c r="S50" s="8">
        <v>15.6940806732364</v>
      </c>
      <c r="T50" s="7"/>
      <c r="U50" s="1"/>
      <c r="V50" s="1"/>
      <c r="W50" s="8"/>
      <c r="X50" s="7"/>
      <c r="Y50" s="1"/>
      <c r="Z50" s="1"/>
      <c r="AA50" s="8"/>
      <c r="AB50" s="7">
        <v>8</v>
      </c>
      <c r="AC50" s="1">
        <v>0.17834900000000001</v>
      </c>
      <c r="AD50" s="1">
        <v>33.415629772115601</v>
      </c>
      <c r="AE50" s="1">
        <v>0.97695602753823796</v>
      </c>
      <c r="AF50" s="1">
        <v>16.374426524401301</v>
      </c>
      <c r="AG50" s="1">
        <v>36.475749070491801</v>
      </c>
      <c r="AH50" s="1">
        <v>0.98030607413979898</v>
      </c>
      <c r="AI50" s="1">
        <v>17.0566770135948</v>
      </c>
      <c r="AJ50" s="1">
        <v>295.65254902839598</v>
      </c>
      <c r="AK50" s="1">
        <v>191.51600408554</v>
      </c>
      <c r="AL50" s="7"/>
      <c r="AM50" s="1"/>
      <c r="AN50" s="1"/>
      <c r="AO50" s="8"/>
      <c r="AP50" s="1"/>
      <c r="AQ50" s="1"/>
      <c r="AR50" s="1"/>
      <c r="AS50" s="8"/>
      <c r="AT50" s="7">
        <v>0.08</v>
      </c>
      <c r="AU50" s="1">
        <v>0.12882033333333301</v>
      </c>
      <c r="AV50" s="1">
        <v>29.971748308728198</v>
      </c>
      <c r="AW50" s="1">
        <v>0.97963257548625504</v>
      </c>
      <c r="AX50" s="1">
        <v>16.9106388460734</v>
      </c>
      <c r="AY50" s="1">
        <v>32.761643584623002</v>
      </c>
      <c r="AZ50" s="1">
        <v>0.98346948576513105</v>
      </c>
      <c r="BA50" s="1">
        <v>17.817136360902399</v>
      </c>
      <c r="BB50" s="1">
        <v>294.82252001762299</v>
      </c>
      <c r="BC50" s="1">
        <v>201.690632820129</v>
      </c>
      <c r="BD50" s="7"/>
      <c r="BE50" s="1"/>
      <c r="BF50" s="1"/>
      <c r="BG50" s="8"/>
      <c r="BH50" s="1"/>
      <c r="BI50" s="1"/>
      <c r="BJ50" s="1"/>
      <c r="BK50" s="8"/>
    </row>
    <row r="51" spans="1:63">
      <c r="A51" s="49"/>
      <c r="B51" s="7" t="s">
        <v>18</v>
      </c>
      <c r="C51" s="17">
        <v>0.06</v>
      </c>
      <c r="D51" s="7">
        <v>47</v>
      </c>
      <c r="E51" s="1">
        <v>5.1077666666666598E-2</v>
      </c>
      <c r="F51" s="1">
        <v>27.843468995708601</v>
      </c>
      <c r="G51" s="1">
        <v>0.93085589319207496</v>
      </c>
      <c r="H51" s="1">
        <v>11.602448291463499</v>
      </c>
      <c r="I51" s="1">
        <v>30.8480629775921</v>
      </c>
      <c r="J51" s="1">
        <v>0.94111034000979799</v>
      </c>
      <c r="K51" s="8">
        <v>12.2996095314858</v>
      </c>
      <c r="L51" s="7">
        <v>44</v>
      </c>
      <c r="M51" s="1">
        <v>5.6134666666666597E-2</v>
      </c>
      <c r="N51" s="1">
        <v>29.297015882338599</v>
      </c>
      <c r="O51" s="1">
        <v>0.94714939141045296</v>
      </c>
      <c r="P51" s="1">
        <v>12.769500073052701</v>
      </c>
      <c r="Q51" s="1">
        <v>32.326660912427897</v>
      </c>
      <c r="R51" s="1">
        <v>0.95448558755532098</v>
      </c>
      <c r="S51" s="8">
        <v>13.418510592973</v>
      </c>
      <c r="T51" s="7"/>
      <c r="U51" s="1"/>
      <c r="V51" s="1"/>
      <c r="W51" s="8"/>
      <c r="X51" s="7"/>
      <c r="Y51" s="1"/>
      <c r="Z51" s="1"/>
      <c r="AA51" s="8"/>
      <c r="AB51" s="7">
        <v>4</v>
      </c>
      <c r="AC51" s="1">
        <v>0.12591933333333299</v>
      </c>
      <c r="AD51" s="1">
        <v>31.8635376598566</v>
      </c>
      <c r="AE51" s="1">
        <v>0.96926882029025596</v>
      </c>
      <c r="AF51" s="1">
        <v>15.1242076770985</v>
      </c>
      <c r="AG51" s="1">
        <v>34.947647407554399</v>
      </c>
      <c r="AH51" s="1">
        <v>0.97326531873092303</v>
      </c>
      <c r="AI51" s="1">
        <v>15.729249891924599</v>
      </c>
      <c r="AJ51" s="1">
        <v>297.40280485153198</v>
      </c>
      <c r="AK51" s="1">
        <v>210.15259099006599</v>
      </c>
      <c r="AL51" s="7"/>
      <c r="AM51" s="1"/>
      <c r="AN51" s="1"/>
      <c r="AO51" s="8"/>
      <c r="AP51" s="1"/>
      <c r="AQ51" s="1"/>
      <c r="AR51" s="1"/>
      <c r="AS51" s="8"/>
      <c r="AT51" s="7">
        <v>0.04</v>
      </c>
      <c r="AU51" s="1">
        <v>8.7252333333333307E-2</v>
      </c>
      <c r="AV51" s="1">
        <v>28.632810625410901</v>
      </c>
      <c r="AW51" s="1">
        <v>0.971090195106598</v>
      </c>
      <c r="AX51" s="1">
        <v>15.3895483928766</v>
      </c>
      <c r="AY51" s="1">
        <v>31.407262567542698</v>
      </c>
      <c r="AZ51" s="1">
        <v>0.97610980774532996</v>
      </c>
      <c r="BA51" s="1">
        <v>16.217803552812601</v>
      </c>
      <c r="BB51" s="1">
        <v>390.67545366287197</v>
      </c>
      <c r="BC51" s="1">
        <v>295.991143465042</v>
      </c>
      <c r="BD51" s="7"/>
      <c r="BE51" s="1"/>
      <c r="BF51" s="1"/>
      <c r="BG51" s="8"/>
      <c r="BH51" s="1"/>
      <c r="BI51" s="1"/>
      <c r="BJ51" s="1"/>
      <c r="BK51" s="8"/>
    </row>
    <row r="52" spans="1:63">
      <c r="A52" s="49"/>
      <c r="B52" s="7" t="s">
        <v>27</v>
      </c>
      <c r="C52" s="17">
        <v>1.5</v>
      </c>
      <c r="D52" s="7">
        <v>18</v>
      </c>
      <c r="E52" s="1">
        <v>1.3987392268061101</v>
      </c>
      <c r="F52" s="1">
        <v>45.317012156225502</v>
      </c>
      <c r="G52" s="1">
        <v>0.99722448916765005</v>
      </c>
      <c r="H52" s="1">
        <v>25.566570733508001</v>
      </c>
      <c r="I52" s="1">
        <v>48.675044558361897</v>
      </c>
      <c r="J52" s="1">
        <v>0.99839915198643903</v>
      </c>
      <c r="K52" s="8">
        <v>27.956498985648199</v>
      </c>
      <c r="L52" s="7">
        <v>15</v>
      </c>
      <c r="M52" s="1">
        <v>1.4440604655054401</v>
      </c>
      <c r="N52" s="1">
        <v>46.066993686035701</v>
      </c>
      <c r="O52" s="1">
        <v>0.99768095762753195</v>
      </c>
      <c r="P52" s="1">
        <v>26.346913160620499</v>
      </c>
      <c r="Q52" s="1">
        <v>49.517102208832704</v>
      </c>
      <c r="R52" s="1">
        <v>0.99868049830664196</v>
      </c>
      <c r="S52" s="8">
        <v>28.795900481000199</v>
      </c>
      <c r="T52" s="13">
        <f>bdrate(E52:E55,F52:F55,M52:M55,N52:N55)</f>
        <v>-0.18576303174590691</v>
      </c>
      <c r="U52" s="12">
        <f>bdrate(E52:E55,H52:H55,M52:M55,P52:P55)</f>
        <v>-0.18454885776427599</v>
      </c>
      <c r="V52" s="12">
        <f>bdrate(E52:E55,I52:I55,M52:M55,Q52:Q55)</f>
        <v>-0.18976328214290195</v>
      </c>
      <c r="W52" s="14">
        <f>bdrate(E52:E55,K52:K55,M52:M55,S52:S55)</f>
        <v>-0.16121900350889551</v>
      </c>
      <c r="X52" s="13">
        <f>bdrate(E54:E57,F54:F57,M54:M57,N54:N57)</f>
        <v>-0.32306131652540859</v>
      </c>
      <c r="Y52" s="12">
        <f>bdrate(E54:E57,H54:H57,M54:M57,P54:P57)</f>
        <v>-0.2833793339265579</v>
      </c>
      <c r="Z52" s="12">
        <f>bdrate(E54:E57,I54:I57,M54:M57,Q54:Q57)</f>
        <v>-0.31988887609348615</v>
      </c>
      <c r="AA52" s="14">
        <f>bdrate(E54:E57,K54:K57,M54:M57,S54:S57)</f>
        <v>-0.25215839489118108</v>
      </c>
      <c r="AB52" s="7"/>
      <c r="AC52" s="1"/>
      <c r="AD52" s="1"/>
      <c r="AE52" s="1"/>
      <c r="AF52" s="1"/>
      <c r="AG52" s="1"/>
      <c r="AH52" s="1"/>
      <c r="AI52" s="1"/>
      <c r="AJ52" s="1"/>
      <c r="AK52" s="1"/>
      <c r="AL52" s="13" t="e">
        <f>bdrate(E52:E55,F52:F55,AC52:AC55,AD52:AD55)</f>
        <v>#VALUE!</v>
      </c>
      <c r="AM52" s="12" t="e">
        <f>bdrate(E52:E55,H52:H55,AC52:AC55,AF52:AF55)</f>
        <v>#VALUE!</v>
      </c>
      <c r="AN52" s="12" t="e">
        <f>bdrate(E52:E55,I52:I55,AC52:AC55,AG52:AG55)</f>
        <v>#VALUE!</v>
      </c>
      <c r="AO52" s="14" t="e">
        <f>bdrate(E52:E55,K52:K55,AC52:AC55,AI52:AI55)</f>
        <v>#VALUE!</v>
      </c>
      <c r="AP52" s="12">
        <f>bdrate(E54:E57,F54:F57,AC54:AC57,AD54:AD57)</f>
        <v>-9.5642697272115829E-2</v>
      </c>
      <c r="AQ52" s="12">
        <f>bdrate(E54:E57,H54:H57,AC54:AC57,AF54:AF57)</f>
        <v>-0.15311003686192382</v>
      </c>
      <c r="AR52" s="12">
        <f>bdrate(E54:E57,I54:I57,AC54:AC57,AG54:AG57)</f>
        <v>-8.2356310980704728E-2</v>
      </c>
      <c r="AS52" s="14">
        <f>bdrate(E54:E57,K54:K57,AC54:AC57,AI54:AI57)</f>
        <v>-7.0409504842615434E-2</v>
      </c>
      <c r="AT52" s="7"/>
      <c r="AU52" s="1"/>
      <c r="AV52" s="1"/>
      <c r="AW52" s="1"/>
      <c r="AX52" s="1"/>
      <c r="AY52" s="1"/>
      <c r="AZ52" s="1"/>
      <c r="BA52" s="1"/>
      <c r="BB52" s="1"/>
      <c r="BC52" s="1"/>
      <c r="BD52" s="13" t="e">
        <f>bdrate(E52:E55,F52:F55,AU52:AU55,AV52:AV55)</f>
        <v>#VALUE!</v>
      </c>
      <c r="BE52" s="12" t="e">
        <f>bdrate(E52:E55,H52:H55,AU52:AU55,AX52:AX55)</f>
        <v>#VALUE!</v>
      </c>
      <c r="BF52" s="12" t="e">
        <f>bdrate(E52:E55,I52:I55,AU52:AU55,AY52:AY55)</f>
        <v>#VALUE!</v>
      </c>
      <c r="BG52" s="14" t="e">
        <f>bdrate(E52:E55,K52:K55,AU52:AU55,BA52:BA55)</f>
        <v>#VALUE!</v>
      </c>
      <c r="BH52" s="12">
        <f>bdrate(E54:E57,F54:F57,AU54:AU57,AV54:AV57)</f>
        <v>0.50988025839281859</v>
      </c>
      <c r="BI52" s="12">
        <f>bdrate(E54:E57,H54:H57,AU54:AU57,AX54:AX57)</f>
        <v>-0.46651436203556085</v>
      </c>
      <c r="BJ52" s="12">
        <f>bdrate(E54:E57,I54:I57,AU54:AU57,AY54:AY57)</f>
        <v>0.64251466483934383</v>
      </c>
      <c r="BK52" s="14">
        <f>bdrate(E54:E57,K54:K57,AU54:AU57,BA54:BA57)</f>
        <v>-0.45949135462211754</v>
      </c>
    </row>
    <row r="53" spans="1:63">
      <c r="A53" s="49"/>
      <c r="B53" s="7" t="s">
        <v>18</v>
      </c>
      <c r="C53" s="17">
        <v>1</v>
      </c>
      <c r="D53" s="7">
        <v>21</v>
      </c>
      <c r="E53" s="1">
        <v>0.95514191203287002</v>
      </c>
      <c r="F53" s="1">
        <v>43.509127770647801</v>
      </c>
      <c r="G53" s="1">
        <v>0.99579090072272602</v>
      </c>
      <c r="H53" s="1">
        <v>23.758108307110401</v>
      </c>
      <c r="I53" s="1">
        <v>46.750655572990397</v>
      </c>
      <c r="J53" s="1">
        <v>0.99727210584263704</v>
      </c>
      <c r="K53" s="8">
        <v>25.641724843694</v>
      </c>
      <c r="L53" s="7">
        <v>19</v>
      </c>
      <c r="M53" s="1">
        <v>0.87163460443235696</v>
      </c>
      <c r="N53" s="1">
        <v>43.832644872580801</v>
      </c>
      <c r="O53" s="1">
        <v>0.99613570521814498</v>
      </c>
      <c r="P53" s="1">
        <v>24.129297514983701</v>
      </c>
      <c r="Q53" s="1">
        <v>47.133992295886699</v>
      </c>
      <c r="R53" s="1">
        <v>0.99746944412762095</v>
      </c>
      <c r="S53" s="8">
        <v>25.967840694210899</v>
      </c>
      <c r="T53" s="7"/>
      <c r="U53" s="1"/>
      <c r="V53" s="1"/>
      <c r="W53" s="8"/>
      <c r="X53" s="7"/>
      <c r="Y53" s="1"/>
      <c r="Z53" s="1"/>
      <c r="AA53" s="8"/>
      <c r="AB53" s="7">
        <v>64</v>
      </c>
      <c r="AC53" s="1">
        <v>0.30911949625278801</v>
      </c>
      <c r="AD53" s="1">
        <v>39.247108314506299</v>
      </c>
      <c r="AE53" s="1">
        <v>0.99095462239556098</v>
      </c>
      <c r="AF53" s="1">
        <v>20.4357329855528</v>
      </c>
      <c r="AG53" s="1">
        <v>42.511688687173702</v>
      </c>
      <c r="AH53" s="1">
        <v>0.99330736015954002</v>
      </c>
      <c r="AI53" s="1">
        <v>21.744025456090199</v>
      </c>
      <c r="AJ53" s="1">
        <v>944.56865930557206</v>
      </c>
      <c r="AK53" s="1">
        <v>366.20453763008101</v>
      </c>
      <c r="AL53" s="7"/>
      <c r="AM53" s="1"/>
      <c r="AN53" s="1"/>
      <c r="AO53" s="8"/>
      <c r="AP53" s="1"/>
      <c r="AQ53" s="1"/>
      <c r="AR53" s="1"/>
      <c r="AS53" s="8"/>
      <c r="AT53" s="7">
        <v>0.64</v>
      </c>
      <c r="AU53" s="1">
        <v>0.33628464715148598</v>
      </c>
      <c r="AV53" s="1">
        <v>36.429553672922403</v>
      </c>
      <c r="AW53" s="1">
        <v>0.99459044787731199</v>
      </c>
      <c r="AX53" s="1">
        <v>22.6683869029033</v>
      </c>
      <c r="AY53" s="1">
        <v>39.2328286634718</v>
      </c>
      <c r="AZ53" s="1">
        <v>0.99608380122046503</v>
      </c>
      <c r="BA53" s="1">
        <v>24.071352722662802</v>
      </c>
      <c r="BB53" s="1">
        <v>551.07029199600197</v>
      </c>
      <c r="BC53" s="1">
        <v>221.229658126831</v>
      </c>
      <c r="BD53" s="7"/>
      <c r="BE53" s="1"/>
      <c r="BF53" s="1"/>
      <c r="BG53" s="8"/>
      <c r="BH53" s="1"/>
      <c r="BI53" s="1"/>
      <c r="BJ53" s="1"/>
      <c r="BK53" s="8"/>
    </row>
    <row r="54" spans="1:63">
      <c r="A54" s="49"/>
      <c r="B54" s="7" t="s">
        <v>18</v>
      </c>
      <c r="C54" s="17">
        <v>0.5</v>
      </c>
      <c r="D54" s="7">
        <v>26</v>
      </c>
      <c r="E54" s="1">
        <v>0.46478515141392501</v>
      </c>
      <c r="F54" s="1">
        <v>40.579996821441298</v>
      </c>
      <c r="G54" s="1">
        <v>0.99202441227122695</v>
      </c>
      <c r="H54" s="1">
        <v>20.982373035111799</v>
      </c>
      <c r="I54" s="1">
        <v>43.739195082304597</v>
      </c>
      <c r="J54" s="1">
        <v>0.99419394554993901</v>
      </c>
      <c r="K54" s="8">
        <v>22.361188956056001</v>
      </c>
      <c r="L54" s="7">
        <v>23</v>
      </c>
      <c r="M54" s="1">
        <v>0.49048007444816899</v>
      </c>
      <c r="N54" s="1">
        <v>41.626011065382698</v>
      </c>
      <c r="O54" s="1">
        <v>0.99354461121528503</v>
      </c>
      <c r="P54" s="1">
        <v>21.900775966243</v>
      </c>
      <c r="Q54" s="1">
        <v>44.818518813883401</v>
      </c>
      <c r="R54" s="1">
        <v>0.99532604929142898</v>
      </c>
      <c r="S54" s="8">
        <v>23.303158719841601</v>
      </c>
      <c r="T54" s="7"/>
      <c r="U54" s="1"/>
      <c r="V54" s="1"/>
      <c r="W54" s="8"/>
      <c r="X54" s="7"/>
      <c r="Y54" s="1"/>
      <c r="Z54" s="1"/>
      <c r="AA54" s="8"/>
      <c r="AB54" s="7">
        <v>32</v>
      </c>
      <c r="AC54" s="1">
        <v>0.22582815817638599</v>
      </c>
      <c r="AD54" s="1">
        <v>38.0282608080324</v>
      </c>
      <c r="AE54" s="1">
        <v>0.98907027995351504</v>
      </c>
      <c r="AF54" s="1">
        <v>19.613909619134301</v>
      </c>
      <c r="AG54" s="1">
        <v>41.272451186900099</v>
      </c>
      <c r="AH54" s="1">
        <v>0.99175219528161596</v>
      </c>
      <c r="AI54" s="1">
        <v>20.836616303060701</v>
      </c>
      <c r="AJ54" s="1">
        <v>1038.6936550140299</v>
      </c>
      <c r="AK54" s="1">
        <v>481.35052156448302</v>
      </c>
      <c r="AL54" s="7"/>
      <c r="AM54" s="1"/>
      <c r="AN54" s="1"/>
      <c r="AO54" s="8"/>
      <c r="AP54" s="1"/>
      <c r="AQ54" s="1"/>
      <c r="AR54" s="1"/>
      <c r="AS54" s="8"/>
      <c r="AT54" s="7">
        <v>0.32</v>
      </c>
      <c r="AU54" s="1">
        <v>0.21270852055553299</v>
      </c>
      <c r="AV54" s="1">
        <v>35.079934306982402</v>
      </c>
      <c r="AW54" s="1">
        <v>0.99189869718075396</v>
      </c>
      <c r="AX54" s="1">
        <v>20.9144513399646</v>
      </c>
      <c r="AY54" s="1">
        <v>37.869625516153299</v>
      </c>
      <c r="AZ54" s="1">
        <v>0.99399687356351696</v>
      </c>
      <c r="BA54" s="1">
        <v>22.216225095363001</v>
      </c>
      <c r="BB54" s="1">
        <v>579.54930877685501</v>
      </c>
      <c r="BC54" s="1">
        <v>355.70959615707397</v>
      </c>
      <c r="BD54" s="7"/>
      <c r="BE54" s="1"/>
      <c r="BF54" s="1"/>
      <c r="BG54" s="8"/>
      <c r="BH54" s="1"/>
      <c r="BI54" s="1"/>
      <c r="BJ54" s="1"/>
      <c r="BK54" s="8"/>
    </row>
    <row r="55" spans="1:63">
      <c r="A55" s="49"/>
      <c r="B55" s="7" t="s">
        <v>18</v>
      </c>
      <c r="C55" s="17">
        <v>0.25</v>
      </c>
      <c r="D55" s="7">
        <v>31</v>
      </c>
      <c r="E55" s="1">
        <v>0.24473911737360199</v>
      </c>
      <c r="F55" s="1">
        <v>38.113440095545201</v>
      </c>
      <c r="G55" s="1">
        <v>0.98804115620099997</v>
      </c>
      <c r="H55" s="1">
        <v>19.223108066341599</v>
      </c>
      <c r="I55" s="1">
        <v>41.289829702115497</v>
      </c>
      <c r="J55" s="1">
        <v>0.99119427835641505</v>
      </c>
      <c r="K55" s="8">
        <v>20.5523504708068</v>
      </c>
      <c r="L55" s="7">
        <v>28</v>
      </c>
      <c r="M55" s="1">
        <v>0.241389205228319</v>
      </c>
      <c r="N55" s="1">
        <v>39.2991112047863</v>
      </c>
      <c r="O55" s="1">
        <v>0.98986472633523703</v>
      </c>
      <c r="P55" s="1">
        <v>19.941645203314401</v>
      </c>
      <c r="Q55" s="1">
        <v>42.460489006979998</v>
      </c>
      <c r="R55" s="1">
        <v>0.99238848302109495</v>
      </c>
      <c r="S55" s="8">
        <v>21.185287795090701</v>
      </c>
      <c r="T55" s="7"/>
      <c r="U55" s="1"/>
      <c r="V55" s="1"/>
      <c r="W55" s="8"/>
      <c r="X55" s="7"/>
      <c r="Y55" s="1"/>
      <c r="Z55" s="1"/>
      <c r="AA55" s="8"/>
      <c r="AB55" s="7">
        <v>16</v>
      </c>
      <c r="AC55" s="1">
        <v>0.16192298037943201</v>
      </c>
      <c r="AD55" s="1">
        <v>36.861324953665701</v>
      </c>
      <c r="AE55" s="1">
        <v>0.98618937020108499</v>
      </c>
      <c r="AF55" s="1">
        <v>18.5978651606607</v>
      </c>
      <c r="AG55" s="1">
        <v>40.004475750435901</v>
      </c>
      <c r="AH55" s="1">
        <v>0.98927384544585595</v>
      </c>
      <c r="AI55" s="1">
        <v>19.695559495388999</v>
      </c>
      <c r="AJ55" s="1">
        <v>406.82445716857899</v>
      </c>
      <c r="AK55" s="1">
        <v>274.34345674514702</v>
      </c>
      <c r="AL55" s="7"/>
      <c r="AM55" s="1"/>
      <c r="AN55" s="1"/>
      <c r="AO55" s="8"/>
      <c r="AP55" s="1"/>
      <c r="AQ55" s="1"/>
      <c r="AR55" s="1"/>
      <c r="AS55" s="8"/>
      <c r="AT55" s="7">
        <v>0.16</v>
      </c>
      <c r="AU55" s="1">
        <v>0.13354308606909199</v>
      </c>
      <c r="AV55" s="1">
        <v>33.633374760499898</v>
      </c>
      <c r="AW55" s="1">
        <v>0.98836129815807805</v>
      </c>
      <c r="AX55" s="1">
        <v>19.340954573433802</v>
      </c>
      <c r="AY55" s="1">
        <v>36.442962017129801</v>
      </c>
      <c r="AZ55" s="1">
        <v>0.99134305075193596</v>
      </c>
      <c r="BA55" s="1">
        <v>20.626351285553099</v>
      </c>
      <c r="BB55" s="1">
        <v>400.16464304924</v>
      </c>
      <c r="BC55" s="1">
        <v>279.98194527625998</v>
      </c>
      <c r="BD55" s="7"/>
      <c r="BE55" s="1"/>
      <c r="BF55" s="1"/>
      <c r="BG55" s="8"/>
      <c r="BH55" s="1"/>
      <c r="BI55" s="1"/>
      <c r="BJ55" s="1"/>
      <c r="BK55" s="8"/>
    </row>
    <row r="56" spans="1:63">
      <c r="A56" s="49"/>
      <c r="B56" s="7" t="s">
        <v>18</v>
      </c>
      <c r="C56" s="17">
        <v>0.12</v>
      </c>
      <c r="D56" s="7">
        <v>37</v>
      </c>
      <c r="E56" s="1">
        <v>0.118209590503131</v>
      </c>
      <c r="F56" s="1">
        <v>35.010635274978597</v>
      </c>
      <c r="G56" s="1">
        <v>0.98092902194998</v>
      </c>
      <c r="H56" s="1">
        <v>17.196270337062501</v>
      </c>
      <c r="I56" s="1">
        <v>38.2041558383712</v>
      </c>
      <c r="J56" s="1">
        <v>0.98589471760866798</v>
      </c>
      <c r="K56" s="8">
        <v>18.5061821473588</v>
      </c>
      <c r="L56" s="7">
        <v>34</v>
      </c>
      <c r="M56" s="1">
        <v>0.115685744755276</v>
      </c>
      <c r="N56" s="1">
        <v>36.760161398679301</v>
      </c>
      <c r="O56" s="1">
        <v>0.98472370073205095</v>
      </c>
      <c r="P56" s="1">
        <v>18.159818422373299</v>
      </c>
      <c r="Q56" s="1">
        <v>39.920543433378903</v>
      </c>
      <c r="R56" s="1">
        <v>0.98840290621063198</v>
      </c>
      <c r="S56" s="8">
        <v>19.3565083054669</v>
      </c>
      <c r="T56" s="7"/>
      <c r="U56" s="1"/>
      <c r="V56" s="1"/>
      <c r="W56" s="8"/>
      <c r="X56" s="7"/>
      <c r="Y56" s="1"/>
      <c r="Z56" s="1"/>
      <c r="AA56" s="8"/>
      <c r="AB56" s="7">
        <v>8</v>
      </c>
      <c r="AC56" s="1">
        <v>0.122562023641253</v>
      </c>
      <c r="AD56" s="1">
        <v>35.660899937173703</v>
      </c>
      <c r="AE56" s="1">
        <v>0.98321374760744096</v>
      </c>
      <c r="AF56" s="1">
        <v>17.7504625126512</v>
      </c>
      <c r="AG56" s="1">
        <v>38.748711380071803</v>
      </c>
      <c r="AH56" s="1">
        <v>0.986636586190211</v>
      </c>
      <c r="AI56" s="1">
        <v>18.7408258307564</v>
      </c>
      <c r="AJ56" s="1">
        <v>299.47075963020302</v>
      </c>
      <c r="AK56" s="1">
        <v>194.320600032806</v>
      </c>
      <c r="AL56" s="7"/>
      <c r="AM56" s="1"/>
      <c r="AN56" s="1"/>
      <c r="AO56" s="8"/>
      <c r="AP56" s="1"/>
      <c r="AQ56" s="1"/>
      <c r="AR56" s="1"/>
      <c r="AS56" s="8"/>
      <c r="AT56" s="7">
        <v>0.08</v>
      </c>
      <c r="AU56" s="1">
        <v>9.2631509025307604E-2</v>
      </c>
      <c r="AV56" s="1">
        <v>32.271647284725603</v>
      </c>
      <c r="AW56" s="1">
        <v>0.98472403769052896</v>
      </c>
      <c r="AX56" s="1">
        <v>18.159914218363699</v>
      </c>
      <c r="AY56" s="1">
        <v>35.121615084138099</v>
      </c>
      <c r="AZ56" s="1">
        <v>0.98870189342603199</v>
      </c>
      <c r="BA56" s="1">
        <v>19.469943329217202</v>
      </c>
      <c r="BB56" s="1">
        <v>343.14101862907398</v>
      </c>
      <c r="BC56" s="1">
        <v>253.745698451995</v>
      </c>
      <c r="BD56" s="7"/>
      <c r="BE56" s="1"/>
      <c r="BF56" s="1"/>
      <c r="BG56" s="8"/>
      <c r="BH56" s="1"/>
      <c r="BI56" s="1"/>
      <c r="BJ56" s="1"/>
      <c r="BK56" s="8"/>
    </row>
    <row r="57" spans="1:63">
      <c r="A57" s="49"/>
      <c r="B57" s="7" t="s">
        <v>18</v>
      </c>
      <c r="C57" s="17">
        <v>0.06</v>
      </c>
      <c r="D57" s="7">
        <v>43</v>
      </c>
      <c r="E57" s="1">
        <v>5.77449366707267E-2</v>
      </c>
      <c r="F57" s="1">
        <v>31.584832864791</v>
      </c>
      <c r="G57" s="1">
        <v>0.96768489829439697</v>
      </c>
      <c r="H57" s="1">
        <v>14.905944728803201</v>
      </c>
      <c r="I57" s="1">
        <v>34.730985450508598</v>
      </c>
      <c r="J57" s="1">
        <v>0.975456020597113</v>
      </c>
      <c r="K57" s="8">
        <v>16.100550221874499</v>
      </c>
      <c r="L57" s="7">
        <v>40</v>
      </c>
      <c r="M57" s="1">
        <v>5.7456750207953697E-2</v>
      </c>
      <c r="N57" s="1">
        <v>33.830119506372</v>
      </c>
      <c r="O57" s="1">
        <v>0.97611825115498596</v>
      </c>
      <c r="P57" s="1">
        <v>16.219338732742699</v>
      </c>
      <c r="Q57" s="1">
        <v>36.981707208779703</v>
      </c>
      <c r="R57" s="1">
        <v>0.98146731942167897</v>
      </c>
      <c r="S57" s="8">
        <v>17.320617595167001</v>
      </c>
      <c r="T57" s="7"/>
      <c r="U57" s="1"/>
      <c r="V57" s="1"/>
      <c r="W57" s="8"/>
      <c r="X57" s="7"/>
      <c r="Y57" s="1"/>
      <c r="Z57" s="1"/>
      <c r="AA57" s="8"/>
      <c r="AB57" s="7">
        <v>4</v>
      </c>
      <c r="AC57" s="1">
        <v>9.1211696759541605E-2</v>
      </c>
      <c r="AD57" s="1">
        <v>34.217866114249297</v>
      </c>
      <c r="AE57" s="1">
        <v>0.97859662042718598</v>
      </c>
      <c r="AF57" s="1">
        <v>16.695176465600799</v>
      </c>
      <c r="AG57" s="1">
        <v>37.2916134721766</v>
      </c>
      <c r="AH57" s="1">
        <v>0.98254772039256</v>
      </c>
      <c r="AI57" s="1">
        <v>17.581478376863899</v>
      </c>
      <c r="AJ57" s="1">
        <v>469.03331637382502</v>
      </c>
      <c r="AK57" s="1">
        <v>241.701883792877</v>
      </c>
      <c r="AL57" s="7"/>
      <c r="AM57" s="1"/>
      <c r="AN57" s="1"/>
      <c r="AO57" s="8"/>
      <c r="AP57" s="1"/>
      <c r="AQ57" s="1"/>
      <c r="AR57" s="1"/>
      <c r="AS57" s="8"/>
      <c r="AT57" s="7">
        <v>0.04</v>
      </c>
      <c r="AU57" s="1">
        <v>6.6602752972721196E-2</v>
      </c>
      <c r="AV57" s="1">
        <v>30.8551985673956</v>
      </c>
      <c r="AW57" s="1">
        <v>0.98001679665909103</v>
      </c>
      <c r="AX57" s="1">
        <v>16.993348923978701</v>
      </c>
      <c r="AY57" s="1">
        <v>33.7284022716279</v>
      </c>
      <c r="AZ57" s="1">
        <v>0.98515519637330695</v>
      </c>
      <c r="BA57" s="1">
        <v>18.2842554306003</v>
      </c>
      <c r="BB57" s="1">
        <v>383.40751433372498</v>
      </c>
      <c r="BC57" s="1">
        <v>289.10819673538202</v>
      </c>
      <c r="BD57" s="7"/>
      <c r="BE57" s="1"/>
      <c r="BF57" s="1"/>
      <c r="BG57" s="8"/>
      <c r="BH57" s="1"/>
      <c r="BI57" s="1"/>
      <c r="BJ57" s="1"/>
      <c r="BK57" s="8"/>
    </row>
    <row r="58" spans="1:63">
      <c r="A58" s="49"/>
      <c r="B58" s="7" t="s">
        <v>28</v>
      </c>
      <c r="C58" s="17">
        <v>1.5</v>
      </c>
      <c r="D58" s="7">
        <v>20</v>
      </c>
      <c r="E58" s="1">
        <v>1.412247</v>
      </c>
      <c r="F58" s="1">
        <v>43.733690498099101</v>
      </c>
      <c r="G58" s="1">
        <v>0.99643974559829296</v>
      </c>
      <c r="H58" s="1">
        <v>24.485189679513098</v>
      </c>
      <c r="I58" s="1">
        <v>46.969024647531597</v>
      </c>
      <c r="J58" s="1">
        <v>0.997838260187078</v>
      </c>
      <c r="K58" s="8">
        <v>26.651965789359799</v>
      </c>
      <c r="L58" s="7">
        <v>17</v>
      </c>
      <c r="M58" s="1">
        <v>1.47741533333333</v>
      </c>
      <c r="N58" s="1">
        <v>44.671170577854497</v>
      </c>
      <c r="O58" s="1">
        <v>0.99717800689868297</v>
      </c>
      <c r="P58" s="1">
        <v>25.494440522626601</v>
      </c>
      <c r="Q58" s="1">
        <v>47.982212543383604</v>
      </c>
      <c r="R58" s="1">
        <v>0.99827615100985101</v>
      </c>
      <c r="S58" s="8">
        <v>27.6350078121284</v>
      </c>
      <c r="T58" s="13">
        <f>bdrate(E58:E61,F58:F61,M58:M61,N58:N61)</f>
        <v>-0.20183265054728494</v>
      </c>
      <c r="U58" s="12">
        <f>bdrate(E58:E61,H58:H61,M58:M61,P58:P61)</f>
        <v>-0.18410198754876061</v>
      </c>
      <c r="V58" s="12">
        <f>bdrate(E58:E61,I58:I61,M58:M61,Q58:Q61)</f>
        <v>-0.20212026032790176</v>
      </c>
      <c r="W58" s="14">
        <f>bdrate(E58:E61,K58:K61,M58:M61,S58:S61)</f>
        <v>-0.15766884177444485</v>
      </c>
      <c r="X58" s="13">
        <f>bdrate(E60:E63,F60:F63,M60:M63,N60:N63)</f>
        <v>-0.29988867846945355</v>
      </c>
      <c r="Y58" s="12">
        <f>bdrate(E60:E63,H60:H63,M60:M63,P60:P63)</f>
        <v>-0.26321037617350562</v>
      </c>
      <c r="Z58" s="12">
        <f>bdrate(E60:E63,I60:I63,M60:M63,Q60:Q63)</f>
        <v>-0.29940995163718942</v>
      </c>
      <c r="AA58" s="14">
        <f>bdrate(E60:E63,K60:K63,M60:M63,S60:S63)</f>
        <v>-0.22660311773376796</v>
      </c>
      <c r="AB58" s="7"/>
      <c r="AC58" s="1"/>
      <c r="AD58" s="1"/>
      <c r="AE58" s="1"/>
      <c r="AF58" s="1"/>
      <c r="AG58" s="1"/>
      <c r="AH58" s="1"/>
      <c r="AI58" s="1"/>
      <c r="AJ58" s="1"/>
      <c r="AK58" s="1"/>
      <c r="AL58" s="13" t="e">
        <f>bdrate(E58:E61,F58:F61,AC58:AC61,AD58:AD61)</f>
        <v>#VALUE!</v>
      </c>
      <c r="AM58" s="12" t="e">
        <f>bdrate(E58:E61,H58:H61,AC58:AC61,AF58:AF61)</f>
        <v>#VALUE!</v>
      </c>
      <c r="AN58" s="12" t="e">
        <f>bdrate(E58:E61,I58:I61,AC58:AC61,AG58:AG61)</f>
        <v>#VALUE!</v>
      </c>
      <c r="AO58" s="14" t="e">
        <f>bdrate(E58:E61,K58:K61,AC58:AC61,AI58:AI61)</f>
        <v>#VALUE!</v>
      </c>
      <c r="AP58" s="12">
        <f>bdrate(E60:E63,F60:F63,AC60:AC63,AD60:AD63)</f>
        <v>-0.20768115295695444</v>
      </c>
      <c r="AQ58" s="12">
        <f>bdrate(E60:E63,H60:H63,AC60:AC63,AF60:AF63)</f>
        <v>-0.21392925967817333</v>
      </c>
      <c r="AR58" s="12">
        <f>bdrate(E60:E63,I60:I63,AC60:AC63,AG60:AG63)</f>
        <v>-0.21050788344425397</v>
      </c>
      <c r="AS58" s="14">
        <f>bdrate(E60:E63,K60:K63,AC60:AC63,AI60:AI63)</f>
        <v>-0.15973100806591689</v>
      </c>
      <c r="AT58" s="7"/>
      <c r="AU58" s="1"/>
      <c r="AV58" s="1"/>
      <c r="AW58" s="1"/>
      <c r="AX58" s="1"/>
      <c r="AY58" s="1"/>
      <c r="AZ58" s="1"/>
      <c r="BA58" s="1"/>
      <c r="BB58" s="1"/>
      <c r="BC58" s="1"/>
      <c r="BD58" s="13" t="e">
        <f>bdrate(E58:E61,F58:F61,AU58:AU61,AV58:AV61)</f>
        <v>#VALUE!</v>
      </c>
      <c r="BE58" s="12" t="e">
        <f>bdrate(E58:E61,H58:H61,AU58:AU61,AX58:AX61)</f>
        <v>#VALUE!</v>
      </c>
      <c r="BF58" s="12" t="e">
        <f>bdrate(E58:E61,I58:I61,AU58:AU61,AY58:AY61)</f>
        <v>#VALUE!</v>
      </c>
      <c r="BG58" s="14" t="e">
        <f>bdrate(E58:E61,K58:K61,AU58:AU61,BA58:BA61)</f>
        <v>#VALUE!</v>
      </c>
      <c r="BH58" s="12">
        <f>bdrate(E60:E63,F60:F63,AU60:AU63,AV60:AV63)</f>
        <v>0.32358988702085711</v>
      </c>
      <c r="BI58" s="12">
        <f>bdrate(E60:E63,H60:H63,AU60:AU63,AX60:AX63)</f>
        <v>-0.51340483093076827</v>
      </c>
      <c r="BJ58" s="12">
        <f>bdrate(E60:E63,I60:I63,AU60:AU63,AY60:AY63)</f>
        <v>0.37186372903165177</v>
      </c>
      <c r="BK58" s="14">
        <f>bdrate(E60:E63,K60:K63,AU60:AU63,BA60:BA63)</f>
        <v>-0.51115362213888138</v>
      </c>
    </row>
    <row r="59" spans="1:63">
      <c r="A59" s="49"/>
      <c r="B59" s="7" t="s">
        <v>18</v>
      </c>
      <c r="C59" s="17">
        <v>1</v>
      </c>
      <c r="D59" s="7">
        <v>23</v>
      </c>
      <c r="E59" s="1">
        <v>0.995657666666666</v>
      </c>
      <c r="F59" s="1">
        <v>41.912591855252202</v>
      </c>
      <c r="G59" s="1">
        <v>0.994578005127701</v>
      </c>
      <c r="H59" s="1">
        <v>22.658408974773199</v>
      </c>
      <c r="I59" s="1">
        <v>45.062264612813998</v>
      </c>
      <c r="J59" s="1">
        <v>0.99641817887316197</v>
      </c>
      <c r="K59" s="8">
        <v>24.4589610625004</v>
      </c>
      <c r="L59" s="7">
        <v>21</v>
      </c>
      <c r="M59" s="1">
        <v>0.90809099999999998</v>
      </c>
      <c r="N59" s="1">
        <v>42.291601995368602</v>
      </c>
      <c r="O59" s="1">
        <v>0.995001916453785</v>
      </c>
      <c r="P59" s="1">
        <v>23.011964886344099</v>
      </c>
      <c r="Q59" s="1">
        <v>45.467273000152403</v>
      </c>
      <c r="R59" s="1">
        <v>0.99662560524740795</v>
      </c>
      <c r="S59" s="8">
        <v>24.718041129608402</v>
      </c>
      <c r="T59" s="7"/>
      <c r="U59" s="1"/>
      <c r="V59" s="1"/>
      <c r="W59" s="8"/>
      <c r="X59" s="7"/>
      <c r="Y59" s="1"/>
      <c r="Z59" s="1"/>
      <c r="AA59" s="8"/>
      <c r="AB59" s="7">
        <v>64</v>
      </c>
      <c r="AC59" s="1">
        <v>0.43556099999999998</v>
      </c>
      <c r="AD59" s="1">
        <v>38.741057428577903</v>
      </c>
      <c r="AE59" s="1">
        <v>0.98983738437300095</v>
      </c>
      <c r="AF59" s="1">
        <v>19.929945001056801</v>
      </c>
      <c r="AG59" s="1">
        <v>41.8692612457316</v>
      </c>
      <c r="AH59" s="1">
        <v>0.99262592114394399</v>
      </c>
      <c r="AI59" s="1">
        <v>21.322922224979202</v>
      </c>
      <c r="AJ59" s="1">
        <v>985.77996373176495</v>
      </c>
      <c r="AK59" s="1">
        <v>417.734443187713</v>
      </c>
      <c r="AL59" s="7"/>
      <c r="AM59" s="1"/>
      <c r="AN59" s="1"/>
      <c r="AO59" s="8"/>
      <c r="AP59" s="1"/>
      <c r="AQ59" s="1"/>
      <c r="AR59" s="1"/>
      <c r="AS59" s="8"/>
      <c r="AT59" s="7">
        <v>0.64</v>
      </c>
      <c r="AU59" s="1">
        <v>0.42564966666666598</v>
      </c>
      <c r="AV59" s="1">
        <v>35.769374715921998</v>
      </c>
      <c r="AW59" s="1">
        <v>0.99356024025006695</v>
      </c>
      <c r="AX59" s="1">
        <v>21.911303346937501</v>
      </c>
      <c r="AY59" s="1">
        <v>38.600118629172002</v>
      </c>
      <c r="AZ59" s="1">
        <v>0.99540911064610105</v>
      </c>
      <c r="BA59" s="1">
        <v>23.381031741410201</v>
      </c>
      <c r="BB59" s="1">
        <v>340.583794355392</v>
      </c>
      <c r="BC59" s="1">
        <v>207.56263732910099</v>
      </c>
      <c r="BD59" s="7"/>
      <c r="BE59" s="1"/>
      <c r="BF59" s="1"/>
      <c r="BG59" s="8"/>
      <c r="BH59" s="1"/>
      <c r="BI59" s="1"/>
      <c r="BJ59" s="1"/>
      <c r="BK59" s="8"/>
    </row>
    <row r="60" spans="1:63">
      <c r="A60" s="49"/>
      <c r="B60" s="7" t="s">
        <v>18</v>
      </c>
      <c r="C60" s="17">
        <v>0.5</v>
      </c>
      <c r="D60" s="7">
        <v>29</v>
      </c>
      <c r="E60" s="1">
        <v>0.491956</v>
      </c>
      <c r="F60" s="1">
        <v>38.432122159897098</v>
      </c>
      <c r="G60" s="1">
        <v>0.98825856527184897</v>
      </c>
      <c r="H60" s="1">
        <v>19.302788318407</v>
      </c>
      <c r="I60" s="1">
        <v>41.505146222209603</v>
      </c>
      <c r="J60" s="1">
        <v>0.99145798870502699</v>
      </c>
      <c r="K60" s="8">
        <v>20.684398586477801</v>
      </c>
      <c r="L60" s="7">
        <v>26</v>
      </c>
      <c r="M60" s="1">
        <v>0.49388500000000002</v>
      </c>
      <c r="N60" s="1">
        <v>39.594192547681999</v>
      </c>
      <c r="O60" s="1">
        <v>0.99065794946991004</v>
      </c>
      <c r="P60" s="1">
        <v>20.2955778799241</v>
      </c>
      <c r="Q60" s="1">
        <v>42.690671548029997</v>
      </c>
      <c r="R60" s="1">
        <v>0.99315074383107604</v>
      </c>
      <c r="S60" s="8">
        <v>21.643565904451599</v>
      </c>
      <c r="T60" s="7"/>
      <c r="U60" s="1"/>
      <c r="V60" s="1"/>
      <c r="W60" s="8"/>
      <c r="X60" s="7"/>
      <c r="Y60" s="1"/>
      <c r="Z60" s="1"/>
      <c r="AA60" s="8"/>
      <c r="AB60" s="7">
        <v>32</v>
      </c>
      <c r="AC60" s="1">
        <v>0.31239366666666601</v>
      </c>
      <c r="AD60" s="1">
        <v>37.219237458752602</v>
      </c>
      <c r="AE60" s="1">
        <v>0.98561816361945298</v>
      </c>
      <c r="AF60" s="1">
        <v>18.421856564414099</v>
      </c>
      <c r="AG60" s="1">
        <v>40.305408067487903</v>
      </c>
      <c r="AH60" s="1">
        <v>0.98881217877772798</v>
      </c>
      <c r="AI60" s="1">
        <v>19.512544821290099</v>
      </c>
      <c r="AJ60" s="1">
        <v>1171.02077746391</v>
      </c>
      <c r="AK60" s="1">
        <v>582.23085021972599</v>
      </c>
      <c r="AL60" s="7"/>
      <c r="AM60" s="1"/>
      <c r="AN60" s="1"/>
      <c r="AO60" s="8"/>
      <c r="AP60" s="1"/>
      <c r="AQ60" s="1"/>
      <c r="AR60" s="1"/>
      <c r="AS60" s="8"/>
      <c r="AT60" s="7">
        <v>0.32</v>
      </c>
      <c r="AU60" s="1">
        <v>0.29982033333333302</v>
      </c>
      <c r="AV60" s="1">
        <v>34.571178424770999</v>
      </c>
      <c r="AW60" s="1">
        <v>0.99061292837845505</v>
      </c>
      <c r="AX60" s="1">
        <v>20.274698685384202</v>
      </c>
      <c r="AY60" s="1">
        <v>37.397606752472399</v>
      </c>
      <c r="AZ60" s="1">
        <v>0.99307874991785305</v>
      </c>
      <c r="BA60" s="1">
        <v>21.5981545832549</v>
      </c>
      <c r="BB60" s="1">
        <v>327.326751470565</v>
      </c>
      <c r="BC60" s="1">
        <v>201.25678753852799</v>
      </c>
      <c r="BD60" s="7"/>
      <c r="BE60" s="1"/>
      <c r="BF60" s="1"/>
      <c r="BG60" s="8"/>
      <c r="BH60" s="1"/>
      <c r="BI60" s="1"/>
      <c r="BJ60" s="1"/>
      <c r="BK60" s="8"/>
    </row>
    <row r="61" spans="1:63">
      <c r="A61" s="49"/>
      <c r="B61" s="7" t="s">
        <v>18</v>
      </c>
      <c r="C61" s="17">
        <v>0.25</v>
      </c>
      <c r="D61" s="7">
        <v>35</v>
      </c>
      <c r="E61" s="1">
        <v>0.23137533333333299</v>
      </c>
      <c r="F61" s="1">
        <v>34.959510155529799</v>
      </c>
      <c r="G61" s="1">
        <v>0.97461164373484999</v>
      </c>
      <c r="H61" s="1">
        <v>15.953654160259999</v>
      </c>
      <c r="I61" s="1">
        <v>37.978004134946801</v>
      </c>
      <c r="J61" s="1">
        <v>0.97978660954110097</v>
      </c>
      <c r="K61" s="8">
        <v>16.9436083472349</v>
      </c>
      <c r="L61" s="7">
        <v>32</v>
      </c>
      <c r="M61" s="1">
        <v>0.23415900000000001</v>
      </c>
      <c r="N61" s="1">
        <v>36.497102859064803</v>
      </c>
      <c r="O61" s="1">
        <v>0.98108497135262596</v>
      </c>
      <c r="P61" s="1">
        <v>17.2319299661883</v>
      </c>
      <c r="Q61" s="1">
        <v>39.531762141224</v>
      </c>
      <c r="R61" s="1">
        <v>0.98475066937405997</v>
      </c>
      <c r="S61" s="8">
        <v>18.167492193887298</v>
      </c>
      <c r="T61" s="7"/>
      <c r="U61" s="1"/>
      <c r="V61" s="1"/>
      <c r="W61" s="8"/>
      <c r="X61" s="7"/>
      <c r="Y61" s="1"/>
      <c r="Z61" s="1"/>
      <c r="AA61" s="8"/>
      <c r="AB61" s="7">
        <v>16</v>
      </c>
      <c r="AC61" s="1">
        <v>0.21541866666666601</v>
      </c>
      <c r="AD61" s="1">
        <v>35.710762827219597</v>
      </c>
      <c r="AE61" s="1">
        <v>0.97821263485388099</v>
      </c>
      <c r="AF61" s="1">
        <v>16.617952879589499</v>
      </c>
      <c r="AG61" s="1">
        <v>38.743355303464803</v>
      </c>
      <c r="AH61" s="1">
        <v>0.98175219134730096</v>
      </c>
      <c r="AI61" s="1">
        <v>17.387892817380099</v>
      </c>
      <c r="AJ61" s="1">
        <v>416.97649550437899</v>
      </c>
      <c r="AK61" s="1">
        <v>305.44048261642399</v>
      </c>
      <c r="AL61" s="7"/>
      <c r="AM61" s="1"/>
      <c r="AN61" s="1"/>
      <c r="AO61" s="8"/>
      <c r="AP61" s="1"/>
      <c r="AQ61" s="1"/>
      <c r="AR61" s="1"/>
      <c r="AS61" s="8"/>
      <c r="AT61" s="7">
        <v>0.16</v>
      </c>
      <c r="AU61" s="1">
        <v>0.205843</v>
      </c>
      <c r="AV61" s="1">
        <v>33.102475228409098</v>
      </c>
      <c r="AW61" s="1">
        <v>0.98596248461779201</v>
      </c>
      <c r="AX61" s="1">
        <v>18.527097548334702</v>
      </c>
      <c r="AY61" s="1">
        <v>35.9250707895524</v>
      </c>
      <c r="AZ61" s="1">
        <v>0.98936591092999104</v>
      </c>
      <c r="BA61" s="1">
        <v>19.7329970640181</v>
      </c>
      <c r="BB61" s="1">
        <v>374.79568648338301</v>
      </c>
      <c r="BC61" s="1">
        <v>257.74865555763199</v>
      </c>
      <c r="BD61" s="7"/>
      <c r="BE61" s="1"/>
      <c r="BF61" s="1"/>
      <c r="BG61" s="8"/>
      <c r="BH61" s="1"/>
      <c r="BI61" s="1"/>
      <c r="BJ61" s="1"/>
      <c r="BK61" s="8"/>
    </row>
    <row r="62" spans="1:63">
      <c r="A62" s="49"/>
      <c r="B62" s="7" t="s">
        <v>18</v>
      </c>
      <c r="C62" s="17">
        <v>0.12</v>
      </c>
      <c r="D62" s="7">
        <v>41</v>
      </c>
      <c r="E62" s="1">
        <v>0.110444</v>
      </c>
      <c r="F62" s="1">
        <v>31.705405445767301</v>
      </c>
      <c r="G62" s="1">
        <v>0.95403145446514404</v>
      </c>
      <c r="H62" s="1">
        <v>13.375392373020899</v>
      </c>
      <c r="I62" s="1">
        <v>34.6804764607636</v>
      </c>
      <c r="J62" s="1">
        <v>0.96231707440680303</v>
      </c>
      <c r="K62" s="8">
        <v>14.2385538720456</v>
      </c>
      <c r="L62" s="7">
        <v>38</v>
      </c>
      <c r="M62" s="1">
        <v>0.10997</v>
      </c>
      <c r="N62" s="1">
        <v>33.367178477596497</v>
      </c>
      <c r="O62" s="1">
        <v>0.96366350541139101</v>
      </c>
      <c r="P62" s="1">
        <v>14.396569717515399</v>
      </c>
      <c r="Q62" s="1">
        <v>36.360756761872402</v>
      </c>
      <c r="R62" s="1">
        <v>0.96909479448083302</v>
      </c>
      <c r="S62" s="8">
        <v>15.099683640105701</v>
      </c>
      <c r="T62" s="7"/>
      <c r="U62" s="1"/>
      <c r="V62" s="1"/>
      <c r="W62" s="8"/>
      <c r="X62" s="7"/>
      <c r="Y62" s="1"/>
      <c r="Z62" s="1"/>
      <c r="AA62" s="8"/>
      <c r="AB62" s="7">
        <v>8</v>
      </c>
      <c r="AC62" s="1">
        <v>0.15682033333333301</v>
      </c>
      <c r="AD62" s="1">
        <v>34.305682672869096</v>
      </c>
      <c r="AE62" s="1">
        <v>0.97095918791758096</v>
      </c>
      <c r="AF62" s="1">
        <v>15.3699124341332</v>
      </c>
      <c r="AG62" s="1">
        <v>37.332192019373601</v>
      </c>
      <c r="AH62" s="1">
        <v>0.97484402570891104</v>
      </c>
      <c r="AI62" s="1">
        <v>15.9935885778368</v>
      </c>
      <c r="AJ62" s="1">
        <v>364.735362291336</v>
      </c>
      <c r="AK62" s="1">
        <v>252.76386427879299</v>
      </c>
      <c r="AL62" s="7"/>
      <c r="AM62" s="1"/>
      <c r="AN62" s="1"/>
      <c r="AO62" s="8"/>
      <c r="AP62" s="1"/>
      <c r="AQ62" s="1"/>
      <c r="AR62" s="1"/>
      <c r="AS62" s="8"/>
      <c r="AT62" s="7">
        <v>0.08</v>
      </c>
      <c r="AU62" s="1">
        <v>0.140199666666666</v>
      </c>
      <c r="AV62" s="1">
        <v>31.625648102463799</v>
      </c>
      <c r="AW62" s="1">
        <v>0.97944874437245599</v>
      </c>
      <c r="AX62" s="1">
        <v>16.871616387292899</v>
      </c>
      <c r="AY62" s="1">
        <v>34.453101372379201</v>
      </c>
      <c r="AZ62" s="1">
        <v>0.98396403052660397</v>
      </c>
      <c r="BA62" s="1">
        <v>17.9490477915813</v>
      </c>
      <c r="BB62" s="1">
        <v>365.78825283050497</v>
      </c>
      <c r="BC62" s="1">
        <v>268.39424228668202</v>
      </c>
      <c r="BD62" s="7"/>
      <c r="BE62" s="1"/>
      <c r="BF62" s="1"/>
      <c r="BG62" s="8"/>
      <c r="BH62" s="1"/>
      <c r="BI62" s="1"/>
      <c r="BJ62" s="1"/>
      <c r="BK62" s="8"/>
    </row>
    <row r="63" spans="1:63">
      <c r="A63" s="49"/>
      <c r="B63" s="7" t="s">
        <v>18</v>
      </c>
      <c r="C63" s="17">
        <v>0.06</v>
      </c>
      <c r="D63" s="7">
        <v>46</v>
      </c>
      <c r="E63" s="1">
        <v>5.8468666666666599E-2</v>
      </c>
      <c r="F63" s="1">
        <v>28.959449082125602</v>
      </c>
      <c r="G63" s="1">
        <v>0.92795128354890699</v>
      </c>
      <c r="H63" s="1">
        <v>11.4237375174344</v>
      </c>
      <c r="I63" s="1">
        <v>31.894077763246301</v>
      </c>
      <c r="J63" s="1">
        <v>0.93967939082406404</v>
      </c>
      <c r="K63" s="8">
        <v>12.195342811898101</v>
      </c>
      <c r="L63" s="7">
        <v>44</v>
      </c>
      <c r="M63" s="1">
        <v>5.3628000000000002E-2</v>
      </c>
      <c r="N63" s="1">
        <v>30.216336179506399</v>
      </c>
      <c r="O63" s="1">
        <v>0.94028418383095802</v>
      </c>
      <c r="P63" s="1">
        <v>12.239106275771</v>
      </c>
      <c r="Q63" s="1">
        <v>33.181680402501598</v>
      </c>
      <c r="R63" s="1">
        <v>0.94809188768832098</v>
      </c>
      <c r="S63" s="8">
        <v>12.847647643696099</v>
      </c>
      <c r="T63" s="7"/>
      <c r="U63" s="1"/>
      <c r="V63" s="1"/>
      <c r="W63" s="8"/>
      <c r="X63" s="7"/>
      <c r="Y63" s="1"/>
      <c r="Z63" s="1"/>
      <c r="AA63" s="8"/>
      <c r="AB63" s="7">
        <v>4</v>
      </c>
      <c r="AC63" s="1">
        <v>0.114485</v>
      </c>
      <c r="AD63" s="1">
        <v>32.863019048588299</v>
      </c>
      <c r="AE63" s="1">
        <v>0.96195851987198699</v>
      </c>
      <c r="AF63" s="1">
        <v>14.197425937608299</v>
      </c>
      <c r="AG63" s="1">
        <v>35.8964635526699</v>
      </c>
      <c r="AH63" s="1">
        <v>0.96639233540994496</v>
      </c>
      <c r="AI63" s="1">
        <v>14.7356166577782</v>
      </c>
      <c r="AJ63" s="1">
        <v>540.91633892059303</v>
      </c>
      <c r="AK63" s="1">
        <v>303.52926611900301</v>
      </c>
      <c r="AL63" s="7"/>
      <c r="AM63" s="1"/>
      <c r="AN63" s="1"/>
      <c r="AO63" s="8"/>
      <c r="AP63" s="1"/>
      <c r="AQ63" s="1"/>
      <c r="AR63" s="1"/>
      <c r="AS63" s="8"/>
      <c r="AT63" s="7">
        <v>0.04</v>
      </c>
      <c r="AU63" s="1">
        <v>9.4938333333333305E-2</v>
      </c>
      <c r="AV63" s="1">
        <v>30.0646540988763</v>
      </c>
      <c r="AW63" s="1">
        <v>0.970248946997324</v>
      </c>
      <c r="AX63" s="1">
        <v>15.2649765833347</v>
      </c>
      <c r="AY63" s="1">
        <v>32.878284084532901</v>
      </c>
      <c r="AZ63" s="1">
        <v>0.975955067280877</v>
      </c>
      <c r="BA63" s="1">
        <v>16.1897643380142</v>
      </c>
      <c r="BB63" s="1">
        <v>388.488376379013</v>
      </c>
      <c r="BC63" s="1">
        <v>287.05375766754099</v>
      </c>
      <c r="BD63" s="7"/>
      <c r="BE63" s="1"/>
      <c r="BF63" s="1"/>
      <c r="BG63" s="8"/>
      <c r="BH63" s="1"/>
      <c r="BI63" s="1"/>
      <c r="BJ63" s="1"/>
      <c r="BK63" s="8"/>
    </row>
    <row r="64" spans="1:63">
      <c r="A64" s="49"/>
      <c r="B64" s="7" t="s">
        <v>29</v>
      </c>
      <c r="C64" s="17">
        <v>1.5</v>
      </c>
      <c r="D64" s="7">
        <v>17</v>
      </c>
      <c r="E64" s="1">
        <v>1.3811549999999999</v>
      </c>
      <c r="F64" s="1">
        <v>46.071152943220902</v>
      </c>
      <c r="G64" s="1">
        <v>0.99710590596631699</v>
      </c>
      <c r="H64" s="1">
        <v>25.384873620745601</v>
      </c>
      <c r="I64" s="1">
        <v>49.286377307192701</v>
      </c>
      <c r="J64" s="1">
        <v>0.99832201199505</v>
      </c>
      <c r="K64" s="8">
        <v>27.752111480383199</v>
      </c>
      <c r="L64" s="7">
        <v>14</v>
      </c>
      <c r="M64" s="1">
        <v>1.4458800000000001</v>
      </c>
      <c r="N64" s="1">
        <v>46.694130214820802</v>
      </c>
      <c r="O64" s="1">
        <v>0.99757314005770303</v>
      </c>
      <c r="P64" s="1">
        <v>26.149552867265601</v>
      </c>
      <c r="Q64" s="1">
        <v>50.016205212058097</v>
      </c>
      <c r="R64" s="1">
        <v>0.99861982838140595</v>
      </c>
      <c r="S64" s="8">
        <v>28.6006690753056</v>
      </c>
      <c r="T64" s="13">
        <f>bdrate(E64:E67,F64:F67,M64:M67,N64:N67)</f>
        <v>-0.15222123273156984</v>
      </c>
      <c r="U64" s="12">
        <f>bdrate(E64:E67,H64:H67,M64:M67,P64:P67)</f>
        <v>-0.16224367435425391</v>
      </c>
      <c r="V64" s="12">
        <f>bdrate(E64:E67,I64:I67,M64:M67,Q64:Q67)</f>
        <v>-0.1587039234591765</v>
      </c>
      <c r="W64" s="14">
        <f>bdrate(E64:E67,K64:K67,M64:M67,S64:S67)</f>
        <v>-0.1376459503670574</v>
      </c>
      <c r="X64" s="13">
        <f>bdrate(E66:E69,F66:F69,M66:M69,N66:N69)</f>
        <v>-0.2780109398711732</v>
      </c>
      <c r="Y64" s="12">
        <f>bdrate(E66:E69,H66:H69,M66:M69,P66:P69)</f>
        <v>-0.25935917248304619</v>
      </c>
      <c r="Z64" s="12">
        <f>bdrate(E66:E69,I66:I69,M66:M69,Q66:Q69)</f>
        <v>-0.28145593104941113</v>
      </c>
      <c r="AA64" s="14">
        <f>bdrate(E66:E69,K66:K69,M66:M69,S66:S69)</f>
        <v>-0.22148806697239121</v>
      </c>
      <c r="AB64" s="7"/>
      <c r="AC64" s="1"/>
      <c r="AD64" s="1"/>
      <c r="AE64" s="1"/>
      <c r="AF64" s="1"/>
      <c r="AG64" s="1"/>
      <c r="AH64" s="1"/>
      <c r="AI64" s="1"/>
      <c r="AJ64" s="1"/>
      <c r="AK64" s="1"/>
      <c r="AL64" s="13" t="e">
        <f>bdrate(E64:E67,F64:F67,AC64:AC67,AD64:AD67)</f>
        <v>#VALUE!</v>
      </c>
      <c r="AM64" s="12" t="e">
        <f>bdrate(E64:E67,H64:H67,AC64:AC67,AF64:AF67)</f>
        <v>#VALUE!</v>
      </c>
      <c r="AN64" s="12" t="e">
        <f>bdrate(E64:E67,I64:I67,AC64:AC67,AG64:AG67)</f>
        <v>#VALUE!</v>
      </c>
      <c r="AO64" s="14" t="e">
        <f>bdrate(E64:E67,K64:K67,AC64:AC67,AI64:AI67)</f>
        <v>#VALUE!</v>
      </c>
      <c r="AP64" s="12">
        <f>bdrate(E66:E69,F66:F69,AC66:AC69,AD66:AD69)</f>
        <v>-0.14026495114753834</v>
      </c>
      <c r="AQ64" s="12">
        <f>bdrate(E66:E69,H66:H69,AC66:AC69,AF66:AF69)</f>
        <v>-0.20788928334956991</v>
      </c>
      <c r="AR64" s="12">
        <f>bdrate(E66:E69,I66:I69,AC66:AC69,AG66:AG69)</f>
        <v>-0.14009976895403053</v>
      </c>
      <c r="AS64" s="14">
        <f>bdrate(E66:E69,K66:K69,AC66:AC69,AI66:AI69)</f>
        <v>-0.10281738674716201</v>
      </c>
      <c r="AT64" s="7"/>
      <c r="AU64" s="1"/>
      <c r="AV64" s="1"/>
      <c r="AW64" s="1"/>
      <c r="AX64" s="1"/>
      <c r="AY64" s="1"/>
      <c r="AZ64" s="1"/>
      <c r="BA64" s="1"/>
      <c r="BB64" s="1"/>
      <c r="BC64" s="1"/>
      <c r="BD64" s="13" t="e">
        <f>bdrate(E64:E67,F64:F67,AU64:AU67,AV64:AV67)</f>
        <v>#VALUE!</v>
      </c>
      <c r="BE64" s="12" t="e">
        <f>bdrate(E64:E67,H64:H67,AU64:AU67,AX64:AX67)</f>
        <v>#VALUE!</v>
      </c>
      <c r="BF64" s="12" t="e">
        <f>bdrate(E64:E67,I64:I67,AU64:AU67,AY64:AY67)</f>
        <v>#VALUE!</v>
      </c>
      <c r="BG64" s="14" t="e">
        <f>bdrate(E64:E67,K64:K67,AU64:AU67,BA64:BA67)</f>
        <v>#VALUE!</v>
      </c>
      <c r="BH64" s="12">
        <f>bdrate(E66:E69,F66:F69,AU66:AU69,AV66:AV69)</f>
        <v>0.49732913745110574</v>
      </c>
      <c r="BI64" s="12">
        <f>bdrate(E66:E69,H66:H69,AU66:AU69,AX66:AX69)</f>
        <v>-0.46226103320176992</v>
      </c>
      <c r="BJ64" s="12">
        <f>bdrate(E66:E69,I66:I69,AU66:AU69,AY66:AY69)</f>
        <v>0.58596800934190951</v>
      </c>
      <c r="BK64" s="14">
        <f>bdrate(E66:E69,K66:K69,AU66:AU69,BA66:BA69)</f>
        <v>-0.4399972711852066</v>
      </c>
    </row>
    <row r="65" spans="1:63">
      <c r="A65" s="49"/>
      <c r="B65" s="7" t="s">
        <v>18</v>
      </c>
      <c r="C65" s="17">
        <v>1</v>
      </c>
      <c r="D65" s="7">
        <v>20</v>
      </c>
      <c r="E65" s="1">
        <v>0.90803466666666599</v>
      </c>
      <c r="F65" s="1">
        <v>44.278939931475101</v>
      </c>
      <c r="G65" s="1">
        <v>0.99559047554013702</v>
      </c>
      <c r="H65" s="1">
        <v>23.556082440000601</v>
      </c>
      <c r="I65" s="1">
        <v>47.387325279438599</v>
      </c>
      <c r="J65" s="1">
        <v>0.997050122641152</v>
      </c>
      <c r="K65" s="8">
        <v>25.3019603943983</v>
      </c>
      <c r="L65" s="7">
        <v>17</v>
      </c>
      <c r="M65" s="1">
        <v>0.98756133333333296</v>
      </c>
      <c r="N65" s="1">
        <v>45.120603573026401</v>
      </c>
      <c r="O65" s="1">
        <v>0.99645680325193597</v>
      </c>
      <c r="P65" s="1">
        <v>24.506047313174001</v>
      </c>
      <c r="Q65" s="1">
        <v>48.305808260667298</v>
      </c>
      <c r="R65" s="1">
        <v>0.99768970541411595</v>
      </c>
      <c r="S65" s="8">
        <v>26.3633263964607</v>
      </c>
      <c r="T65" s="7"/>
      <c r="U65" s="1"/>
      <c r="V65" s="1"/>
      <c r="W65" s="8"/>
      <c r="X65" s="7"/>
      <c r="Y65" s="1"/>
      <c r="Z65" s="1"/>
      <c r="AA65" s="8"/>
      <c r="AB65" s="7">
        <v>64</v>
      </c>
      <c r="AC65" s="1">
        <v>0.23015233333333299</v>
      </c>
      <c r="AD65" s="1">
        <v>40.293176159209501</v>
      </c>
      <c r="AE65" s="1">
        <v>0.99025297998582895</v>
      </c>
      <c r="AF65" s="1">
        <v>20.111281421702198</v>
      </c>
      <c r="AG65" s="1">
        <v>43.378751992477497</v>
      </c>
      <c r="AH65" s="1">
        <v>0.99218409379303096</v>
      </c>
      <c r="AI65" s="1">
        <v>21.0702066091165</v>
      </c>
      <c r="AJ65" s="1">
        <v>436.45325708389203</v>
      </c>
      <c r="AK65" s="1">
        <v>220.56455492973299</v>
      </c>
      <c r="AL65" s="7"/>
      <c r="AM65" s="1"/>
      <c r="AN65" s="1"/>
      <c r="AO65" s="8"/>
      <c r="AP65" s="1"/>
      <c r="AQ65" s="1"/>
      <c r="AR65" s="1"/>
      <c r="AS65" s="8"/>
      <c r="AT65" s="7">
        <v>0.64</v>
      </c>
      <c r="AU65" s="1">
        <v>0.314456333333333</v>
      </c>
      <c r="AV65" s="1">
        <v>38.484992210764503</v>
      </c>
      <c r="AW65" s="1">
        <v>0.99439276722733305</v>
      </c>
      <c r="AX65" s="1">
        <v>22.512514146904302</v>
      </c>
      <c r="AY65" s="1">
        <v>41.346826483622301</v>
      </c>
      <c r="AZ65" s="1">
        <v>0.99564645196169499</v>
      </c>
      <c r="BA65" s="1">
        <v>23.611566590474599</v>
      </c>
      <c r="BB65" s="1">
        <v>337.488050222396</v>
      </c>
      <c r="BC65" s="1">
        <v>209.53232645988399</v>
      </c>
      <c r="BD65" s="7"/>
      <c r="BE65" s="1"/>
      <c r="BF65" s="1"/>
      <c r="BG65" s="8"/>
      <c r="BH65" s="1"/>
      <c r="BI65" s="1"/>
      <c r="BJ65" s="1"/>
      <c r="BK65" s="8"/>
    </row>
    <row r="66" spans="1:63">
      <c r="A66" s="49"/>
      <c r="B66" s="7" t="s">
        <v>18</v>
      </c>
      <c r="C66" s="17">
        <v>0.5</v>
      </c>
      <c r="D66" s="7">
        <v>24</v>
      </c>
      <c r="E66" s="1">
        <v>0.46933599999999998</v>
      </c>
      <c r="F66" s="1">
        <v>41.927090166531798</v>
      </c>
      <c r="G66" s="1">
        <v>0.99223841523787804</v>
      </c>
      <c r="H66" s="1">
        <v>21.1004959534284</v>
      </c>
      <c r="I66" s="1">
        <v>44.991736146533498</v>
      </c>
      <c r="J66" s="1">
        <v>0.99407563348071604</v>
      </c>
      <c r="K66" s="8">
        <v>22.273580810795298</v>
      </c>
      <c r="L66" s="7">
        <v>22</v>
      </c>
      <c r="M66" s="1">
        <v>0.44193133333333301</v>
      </c>
      <c r="N66" s="1">
        <v>42.327956068901997</v>
      </c>
      <c r="O66" s="1">
        <v>0.99298571538642399</v>
      </c>
      <c r="P66" s="1">
        <v>21.5401661604254</v>
      </c>
      <c r="Q66" s="1">
        <v>45.4223581647557</v>
      </c>
      <c r="R66" s="1">
        <v>0.99465770679504995</v>
      </c>
      <c r="S66" s="8">
        <v>22.7227227996175</v>
      </c>
      <c r="T66" s="7"/>
      <c r="U66" s="1"/>
      <c r="V66" s="1"/>
      <c r="W66" s="8"/>
      <c r="X66" s="7"/>
      <c r="Y66" s="1"/>
      <c r="Z66" s="1"/>
      <c r="AA66" s="8"/>
      <c r="AB66" s="7">
        <v>32</v>
      </c>
      <c r="AC66" s="1">
        <v>0.16952300000000001</v>
      </c>
      <c r="AD66" s="1">
        <v>39.069181437613999</v>
      </c>
      <c r="AE66" s="1">
        <v>0.988238424795153</v>
      </c>
      <c r="AF66" s="1">
        <v>19.295345101510101</v>
      </c>
      <c r="AG66" s="1">
        <v>42.203963299529804</v>
      </c>
      <c r="AH66" s="1">
        <v>0.99043445044496004</v>
      </c>
      <c r="AI66" s="1">
        <v>20.192900740564198</v>
      </c>
      <c r="AJ66" s="1">
        <v>1122.8011147975899</v>
      </c>
      <c r="AK66" s="1">
        <v>569.654371261596</v>
      </c>
      <c r="AL66" s="7"/>
      <c r="AM66" s="1"/>
      <c r="AN66" s="1"/>
      <c r="AO66" s="8"/>
      <c r="AP66" s="1"/>
      <c r="AQ66" s="1"/>
      <c r="AR66" s="1"/>
      <c r="AS66" s="8"/>
      <c r="AT66" s="7">
        <v>0.32</v>
      </c>
      <c r="AU66" s="1">
        <v>0.18775500000000001</v>
      </c>
      <c r="AV66" s="1">
        <v>37.1237132964187</v>
      </c>
      <c r="AW66" s="1">
        <v>0.99144060792607303</v>
      </c>
      <c r="AX66" s="1">
        <v>20.675570797521399</v>
      </c>
      <c r="AY66" s="1">
        <v>39.969920640687398</v>
      </c>
      <c r="AZ66" s="1">
        <v>0.99315919829514698</v>
      </c>
      <c r="BA66" s="1">
        <v>21.648929983397299</v>
      </c>
      <c r="BB66" s="1">
        <v>318.02883696556</v>
      </c>
      <c r="BC66" s="1">
        <v>199.39967083930901</v>
      </c>
      <c r="BD66" s="7"/>
      <c r="BE66" s="1"/>
      <c r="BF66" s="1"/>
      <c r="BG66" s="8"/>
      <c r="BH66" s="1"/>
      <c r="BI66" s="1"/>
      <c r="BJ66" s="1"/>
      <c r="BK66" s="8"/>
    </row>
    <row r="67" spans="1:63">
      <c r="A67" s="49"/>
      <c r="B67" s="7" t="s">
        <v>18</v>
      </c>
      <c r="C67" s="17">
        <v>0.25</v>
      </c>
      <c r="D67" s="7">
        <v>29</v>
      </c>
      <c r="E67" s="1">
        <v>0.24647866666666601</v>
      </c>
      <c r="F67" s="1">
        <v>39.861320139106098</v>
      </c>
      <c r="G67" s="1">
        <v>0.98865663838110696</v>
      </c>
      <c r="H67" s="1">
        <v>19.4525822267526</v>
      </c>
      <c r="I67" s="1">
        <v>42.945175594288003</v>
      </c>
      <c r="J67" s="1">
        <v>0.99126521135893697</v>
      </c>
      <c r="K67" s="8">
        <v>20.587475993393902</v>
      </c>
      <c r="L67" s="7">
        <v>26</v>
      </c>
      <c r="M67" s="1">
        <v>0.244889</v>
      </c>
      <c r="N67" s="1">
        <v>40.737661221690701</v>
      </c>
      <c r="O67" s="1">
        <v>0.99018263249629501</v>
      </c>
      <c r="P67" s="1">
        <v>20.0800495130513</v>
      </c>
      <c r="Q67" s="1">
        <v>43.8358836268159</v>
      </c>
      <c r="R67" s="1">
        <v>0.99228367576232102</v>
      </c>
      <c r="S67" s="8">
        <v>21.125895317181499</v>
      </c>
      <c r="T67" s="7"/>
      <c r="U67" s="1"/>
      <c r="V67" s="1"/>
      <c r="W67" s="8"/>
      <c r="X67" s="7"/>
      <c r="Y67" s="1"/>
      <c r="Z67" s="1"/>
      <c r="AA67" s="8"/>
      <c r="AB67" s="7">
        <v>16</v>
      </c>
      <c r="AC67" s="1">
        <v>0.121583</v>
      </c>
      <c r="AD67" s="1">
        <v>37.940183010706903</v>
      </c>
      <c r="AE67" s="1">
        <v>0.985012085727205</v>
      </c>
      <c r="AF67" s="1">
        <v>18.242587996293899</v>
      </c>
      <c r="AG67" s="1">
        <v>41.031420579388701</v>
      </c>
      <c r="AH67" s="1">
        <v>0.987622060600722</v>
      </c>
      <c r="AI67" s="1">
        <v>19.073516478852099</v>
      </c>
      <c r="AJ67" s="1">
        <v>418.55652213096602</v>
      </c>
      <c r="AK67" s="1">
        <v>300.02942132949801</v>
      </c>
      <c r="AL67" s="7"/>
      <c r="AM67" s="1"/>
      <c r="AN67" s="1"/>
      <c r="AO67" s="8"/>
      <c r="AP67" s="1"/>
      <c r="AQ67" s="1"/>
      <c r="AR67" s="1"/>
      <c r="AS67" s="8"/>
      <c r="AT67" s="7">
        <v>0.16</v>
      </c>
      <c r="AU67" s="1">
        <v>0.11768366666666601</v>
      </c>
      <c r="AV67" s="1">
        <v>35.537526491844702</v>
      </c>
      <c r="AW67" s="1">
        <v>0.98809671499257201</v>
      </c>
      <c r="AX67" s="1">
        <v>19.243331677066699</v>
      </c>
      <c r="AY67" s="1">
        <v>38.391747667420901</v>
      </c>
      <c r="AZ67" s="1">
        <v>0.99056076931007697</v>
      </c>
      <c r="BA67" s="1">
        <v>20.250633998477099</v>
      </c>
      <c r="BB67" s="1">
        <v>384.17483234405501</v>
      </c>
      <c r="BC67" s="1">
        <v>274.650733947753</v>
      </c>
      <c r="BD67" s="7"/>
      <c r="BE67" s="1"/>
      <c r="BF67" s="1"/>
      <c r="BG67" s="8"/>
      <c r="BH67" s="1"/>
      <c r="BI67" s="1"/>
      <c r="BJ67" s="1"/>
      <c r="BK67" s="8"/>
    </row>
    <row r="68" spans="1:63">
      <c r="A68" s="49"/>
      <c r="B68" s="7" t="s">
        <v>18</v>
      </c>
      <c r="C68" s="17">
        <v>0.12</v>
      </c>
      <c r="D68" s="7">
        <v>35</v>
      </c>
      <c r="E68" s="1">
        <v>0.119839666666666</v>
      </c>
      <c r="F68" s="1">
        <v>37.174276479610299</v>
      </c>
      <c r="G68" s="1">
        <v>0.98225439718443697</v>
      </c>
      <c r="H68" s="1">
        <v>17.509092431450199</v>
      </c>
      <c r="I68" s="1">
        <v>40.278281855339202</v>
      </c>
      <c r="J68" s="1">
        <v>0.98641027072254694</v>
      </c>
      <c r="K68" s="8">
        <v>18.667891948112501</v>
      </c>
      <c r="L68" s="7">
        <v>32</v>
      </c>
      <c r="M68" s="1">
        <v>0.11880300000000001</v>
      </c>
      <c r="N68" s="1">
        <v>38.503270966370003</v>
      </c>
      <c r="O68" s="1">
        <v>0.98545175721462297</v>
      </c>
      <c r="P68" s="1">
        <v>18.371894599221299</v>
      </c>
      <c r="Q68" s="1">
        <v>41.613006766754097</v>
      </c>
      <c r="R68" s="1">
        <v>0.98843120293091602</v>
      </c>
      <c r="S68" s="8">
        <v>19.3671179691855</v>
      </c>
      <c r="T68" s="7"/>
      <c r="U68" s="1"/>
      <c r="V68" s="1"/>
      <c r="W68" s="8"/>
      <c r="X68" s="7"/>
      <c r="Y68" s="1"/>
      <c r="Z68" s="1"/>
      <c r="AA68" s="8"/>
      <c r="AB68" s="7">
        <v>8</v>
      </c>
      <c r="AC68" s="1">
        <v>9.1697000000000001E-2</v>
      </c>
      <c r="AD68" s="1">
        <v>36.682309013853398</v>
      </c>
      <c r="AE68" s="1">
        <v>0.98159700164038399</v>
      </c>
      <c r="AF68" s="1">
        <v>17.351114125909898</v>
      </c>
      <c r="AG68" s="1">
        <v>39.776362324640999</v>
      </c>
      <c r="AH68" s="1">
        <v>0.98457287350294698</v>
      </c>
      <c r="AI68" s="1">
        <v>18.117149593995698</v>
      </c>
      <c r="AJ68" s="1">
        <v>355.70163154602</v>
      </c>
      <c r="AK68" s="1">
        <v>251.15122008323601</v>
      </c>
      <c r="AL68" s="7"/>
      <c r="AM68" s="1"/>
      <c r="AN68" s="1"/>
      <c r="AO68" s="8"/>
      <c r="AP68" s="1"/>
      <c r="AQ68" s="1"/>
      <c r="AR68" s="1"/>
      <c r="AS68" s="8"/>
      <c r="AT68" s="7">
        <v>0.08</v>
      </c>
      <c r="AU68" s="1">
        <v>8.1269666666666601E-2</v>
      </c>
      <c r="AV68" s="1">
        <v>33.6842543945234</v>
      </c>
      <c r="AW68" s="1">
        <v>0.98428135271199302</v>
      </c>
      <c r="AX68" s="1">
        <v>18.035848311103599</v>
      </c>
      <c r="AY68" s="1">
        <v>36.583286652308203</v>
      </c>
      <c r="AZ68" s="1">
        <v>0.987738755462088</v>
      </c>
      <c r="BA68" s="1">
        <v>19.114654459256101</v>
      </c>
      <c r="BB68" s="1">
        <v>355.59709620475701</v>
      </c>
      <c r="BC68" s="1">
        <v>265.945062875747</v>
      </c>
      <c r="BD68" s="7"/>
      <c r="BE68" s="1"/>
      <c r="BF68" s="1"/>
      <c r="BG68" s="8"/>
      <c r="BH68" s="1"/>
      <c r="BI68" s="1"/>
      <c r="BJ68" s="1"/>
      <c r="BK68" s="8"/>
    </row>
    <row r="69" spans="1:63">
      <c r="A69" s="49"/>
      <c r="B69" s="7" t="s">
        <v>18</v>
      </c>
      <c r="C69" s="17">
        <v>0.06</v>
      </c>
      <c r="D69" s="7">
        <v>41</v>
      </c>
      <c r="E69" s="1">
        <v>5.8014000000000003E-2</v>
      </c>
      <c r="F69" s="1">
        <v>34.106964325643801</v>
      </c>
      <c r="G69" s="1">
        <v>0.97085676663366505</v>
      </c>
      <c r="H69" s="1">
        <v>15.354622660438499</v>
      </c>
      <c r="I69" s="1">
        <v>37.203783627547701</v>
      </c>
      <c r="J69" s="1">
        <v>0.97759515272248099</v>
      </c>
      <c r="K69" s="8">
        <v>16.496580121060699</v>
      </c>
      <c r="L69" s="7">
        <v>38</v>
      </c>
      <c r="M69" s="1">
        <v>5.8785666666666597E-2</v>
      </c>
      <c r="N69" s="1">
        <v>35.795995627134701</v>
      </c>
      <c r="O69" s="1">
        <v>0.97774700091052202</v>
      </c>
      <c r="P69" s="1">
        <v>16.5261144984092</v>
      </c>
      <c r="Q69" s="1">
        <v>38.896042797399502</v>
      </c>
      <c r="R69" s="1">
        <v>0.98220526762111204</v>
      </c>
      <c r="S69" s="8">
        <v>17.497085391153899</v>
      </c>
      <c r="T69" s="7"/>
      <c r="U69" s="1"/>
      <c r="V69" s="1"/>
      <c r="W69" s="8"/>
      <c r="X69" s="7"/>
      <c r="Y69" s="1"/>
      <c r="Z69" s="1"/>
      <c r="AA69" s="8"/>
      <c r="AB69" s="7">
        <v>4</v>
      </c>
      <c r="AC69" s="1">
        <v>6.8955666666666596E-2</v>
      </c>
      <c r="AD69" s="1">
        <v>35.294572990240802</v>
      </c>
      <c r="AE69" s="1">
        <v>0.97681418146424603</v>
      </c>
      <c r="AF69" s="1">
        <v>16.347775674720399</v>
      </c>
      <c r="AG69" s="1">
        <v>38.397811267116801</v>
      </c>
      <c r="AH69" s="1">
        <v>0.98031425794429194</v>
      </c>
      <c r="AI69" s="1">
        <v>17.058482097980701</v>
      </c>
      <c r="AJ69" s="1">
        <v>551.44021582603398</v>
      </c>
      <c r="AK69" s="1">
        <v>302.64659905433598</v>
      </c>
      <c r="AL69" s="7"/>
      <c r="AM69" s="1"/>
      <c r="AN69" s="1"/>
      <c r="AO69" s="8"/>
      <c r="AP69" s="1"/>
      <c r="AQ69" s="1"/>
      <c r="AR69" s="1"/>
      <c r="AS69" s="8"/>
      <c r="AT69" s="7">
        <v>0.04</v>
      </c>
      <c r="AU69" s="1">
        <v>5.7178333333333303E-2</v>
      </c>
      <c r="AV69" s="1">
        <v>31.964805580297501</v>
      </c>
      <c r="AW69" s="1">
        <v>0.978860252851808</v>
      </c>
      <c r="AX69" s="1">
        <v>16.749002115793001</v>
      </c>
      <c r="AY69" s="1">
        <v>34.870380755840699</v>
      </c>
      <c r="AZ69" s="1">
        <v>0.98361379157988504</v>
      </c>
      <c r="BA69" s="1">
        <v>17.855215255458301</v>
      </c>
      <c r="BB69" s="1">
        <v>384.33747363090498</v>
      </c>
      <c r="BC69" s="1">
        <v>290.16299915313698</v>
      </c>
      <c r="BD69" s="7"/>
      <c r="BE69" s="1"/>
      <c r="BF69" s="1"/>
      <c r="BG69" s="8"/>
      <c r="BH69" s="1"/>
      <c r="BI69" s="1"/>
      <c r="BJ69" s="1"/>
      <c r="BK69" s="8"/>
    </row>
    <row r="70" spans="1:63">
      <c r="A70" s="49"/>
      <c r="B70" s="7" t="s">
        <v>30</v>
      </c>
      <c r="C70" s="17">
        <v>1.5</v>
      </c>
      <c r="D70" s="7">
        <v>20</v>
      </c>
      <c r="E70" s="1">
        <v>1.49190849134805</v>
      </c>
      <c r="F70" s="1">
        <v>43.664953123548599</v>
      </c>
      <c r="G70" s="1">
        <v>0.99534303317915496</v>
      </c>
      <c r="H70" s="1">
        <v>23.318968562428299</v>
      </c>
      <c r="I70" s="1">
        <v>46.947738468806698</v>
      </c>
      <c r="J70" s="1">
        <v>0.997160285618929</v>
      </c>
      <c r="K70" s="8">
        <v>25.467253391651798</v>
      </c>
      <c r="L70" s="7">
        <v>17</v>
      </c>
      <c r="M70" s="1">
        <v>1.48201438550369</v>
      </c>
      <c r="N70" s="1">
        <v>44.435708903575403</v>
      </c>
      <c r="O70" s="1">
        <v>0.996262801887704</v>
      </c>
      <c r="P70" s="1">
        <v>24.274538791917799</v>
      </c>
      <c r="Q70" s="1">
        <v>47.8732755671818</v>
      </c>
      <c r="R70" s="1">
        <v>0.99781394613465002</v>
      </c>
      <c r="S70" s="8">
        <v>26.6033914104326</v>
      </c>
      <c r="T70" s="13">
        <f>bdrate(E70:E73,F70:F73,M70:M73,N70:N73)</f>
        <v>-0.22911639282048424</v>
      </c>
      <c r="U70" s="12">
        <f>bdrate(E70:E73,H70:H73,M70:M73,P70:P73)</f>
        <v>-0.25681247314014688</v>
      </c>
      <c r="V70" s="12">
        <f>bdrate(E70:E73,I70:I73,M70:M73,Q70:Q73)</f>
        <v>-0.24019681949364002</v>
      </c>
      <c r="W70" s="14">
        <f>bdrate(E70:E73,K70:K73,M70:M73,S70:S73)</f>
        <v>-0.2359679841783906</v>
      </c>
      <c r="X70" s="13">
        <f>bdrate(E72:E75,F72:F75,M72:M75,N72:N75)</f>
        <v>-0.31285298526474647</v>
      </c>
      <c r="Y70" s="12">
        <f>bdrate(E72:E75,H72:H75,M72:M75,P72:P75)</f>
        <v>-0.32983043977804827</v>
      </c>
      <c r="Z70" s="12">
        <f>bdrate(E72:E75,I72:I75,M72:M75,Q72:Q75)</f>
        <v>-0.31478933934449049</v>
      </c>
      <c r="AA70" s="14">
        <f>bdrate(E72:E75,K72:K75,M72:M75,S72:S75)</f>
        <v>-0.27048369775256431</v>
      </c>
      <c r="AB70" s="7"/>
      <c r="AC70" s="1"/>
      <c r="AD70" s="1"/>
      <c r="AE70" s="1"/>
      <c r="AF70" s="1"/>
      <c r="AG70" s="1"/>
      <c r="AH70" s="1"/>
      <c r="AI70" s="1"/>
      <c r="AJ70" s="1"/>
      <c r="AK70" s="1"/>
      <c r="AL70" s="13" t="e">
        <f>bdrate(E70:E73,F70:F73,AC70:AC73,AD70:AD73)</f>
        <v>#VALUE!</v>
      </c>
      <c r="AM70" s="12" t="e">
        <f>bdrate(E70:E73,H70:H73,AC70:AC73,AF70:AF73)</f>
        <v>#VALUE!</v>
      </c>
      <c r="AN70" s="12" t="e">
        <f>bdrate(E70:E73,I70:I73,AC70:AC73,AG70:AG73)</f>
        <v>#VALUE!</v>
      </c>
      <c r="AO70" s="14" t="e">
        <f>bdrate(E70:E73,K70:K73,AC70:AC73,AI70:AI73)</f>
        <v>#VALUE!</v>
      </c>
      <c r="AP70" s="12">
        <f>bdrate(E72:E75,F72:F75,AC72:AC75,AD72:AD75)</f>
        <v>-0.27245916876420295</v>
      </c>
      <c r="AQ70" s="12">
        <f>bdrate(E72:E75,H72:H75,AC72:AC75,AF72:AF75)</f>
        <v>-0.36698737070758358</v>
      </c>
      <c r="AR70" s="12">
        <f>bdrate(E72:E75,I72:I75,AC72:AC75,AG72:AG75)</f>
        <v>-0.27294063897654453</v>
      </c>
      <c r="AS70" s="14">
        <f>bdrate(E72:E75,K72:K75,AC72:AC75,AI72:AI75)</f>
        <v>-0.29703729432692727</v>
      </c>
      <c r="AT70" s="7"/>
      <c r="AU70" s="1"/>
      <c r="AV70" s="1"/>
      <c r="AW70" s="1"/>
      <c r="AX70" s="1"/>
      <c r="AY70" s="1"/>
      <c r="AZ70" s="1"/>
      <c r="BA70" s="1"/>
      <c r="BB70" s="1"/>
      <c r="BC70" s="1"/>
      <c r="BD70" s="13" t="e">
        <f>bdrate(E70:E73,F70:F73,AU70:AU73,AV70:AV73)</f>
        <v>#VALUE!</v>
      </c>
      <c r="BE70" s="12" t="e">
        <f>bdrate(E70:E73,H70:H73,AU70:AU73,AX70:AX73)</f>
        <v>#VALUE!</v>
      </c>
      <c r="BF70" s="12" t="e">
        <f>bdrate(E70:E73,I70:I73,AU70:AU73,AY70:AY73)</f>
        <v>#VALUE!</v>
      </c>
      <c r="BG70" s="14" t="e">
        <f>bdrate(E70:E73,K70:K73,AU70:AU73,BA70:BA73)</f>
        <v>#VALUE!</v>
      </c>
      <c r="BH70" s="12">
        <f>bdrate(E72:E75,F72:F75,AU72:AU75,AV72:AV75)</f>
        <v>8.0900168737159106E-3</v>
      </c>
      <c r="BI70" s="12">
        <f>bdrate(E72:E75,H72:H75,AU72:AU75,AX72:AX75)</f>
        <v>-0.54503648294719964</v>
      </c>
      <c r="BJ70" s="12">
        <f>bdrate(E72:E75,I72:I75,AU72:AU75,AY72:AY75)</f>
        <v>8.3554747104776839E-2</v>
      </c>
      <c r="BK70" s="14">
        <f>bdrate(E72:E75,K72:K75,AU72:AU75,BA72:BA75)</f>
        <v>-0.49345277334336624</v>
      </c>
    </row>
    <row r="71" spans="1:63">
      <c r="A71" s="49"/>
      <c r="B71" s="7" t="s">
        <v>18</v>
      </c>
      <c r="C71" s="17">
        <v>1</v>
      </c>
      <c r="D71" s="7">
        <v>24</v>
      </c>
      <c r="E71" s="1">
        <v>0.91183883588013903</v>
      </c>
      <c r="F71" s="1">
        <v>41.121125856568199</v>
      </c>
      <c r="G71" s="1">
        <v>0.99131832349656301</v>
      </c>
      <c r="H71" s="1">
        <v>20.613964008734701</v>
      </c>
      <c r="I71" s="1">
        <v>44.299880543342603</v>
      </c>
      <c r="J71" s="1">
        <v>0.99371754268959001</v>
      </c>
      <c r="K71" s="8">
        <v>22.018704537765899</v>
      </c>
      <c r="L71" s="7">
        <v>21</v>
      </c>
      <c r="M71" s="1">
        <v>0.89886719086365896</v>
      </c>
      <c r="N71" s="1">
        <v>42.022255971739597</v>
      </c>
      <c r="O71" s="1">
        <v>0.99347259126721699</v>
      </c>
      <c r="P71" s="1">
        <v>21.8525919183379</v>
      </c>
      <c r="Q71" s="1">
        <v>45.318424781122999</v>
      </c>
      <c r="R71" s="1">
        <v>0.99550862774444104</v>
      </c>
      <c r="S71" s="8">
        <v>23.4762094809135</v>
      </c>
      <c r="T71" s="7"/>
      <c r="U71" s="1"/>
      <c r="V71" s="1"/>
      <c r="W71" s="8"/>
      <c r="X71" s="7"/>
      <c r="Y71" s="1"/>
      <c r="Z71" s="1"/>
      <c r="AA71" s="8"/>
      <c r="AB71" s="7">
        <v>64</v>
      </c>
      <c r="AC71" s="1">
        <v>0.412916728482349</v>
      </c>
      <c r="AD71" s="1">
        <v>38.5109994250748</v>
      </c>
      <c r="AE71" s="1">
        <v>0.989163738402009</v>
      </c>
      <c r="AF71" s="1">
        <v>19.651205192172601</v>
      </c>
      <c r="AG71" s="1">
        <v>42.016303737289498</v>
      </c>
      <c r="AH71" s="1">
        <v>0.99225264662421697</v>
      </c>
      <c r="AI71" s="1">
        <v>21.108466343453401</v>
      </c>
      <c r="AJ71" s="1">
        <v>526.06638741493202</v>
      </c>
      <c r="AK71" s="1">
        <v>268.96711468696498</v>
      </c>
      <c r="AL71" s="7"/>
      <c r="AM71" s="1"/>
      <c r="AN71" s="1"/>
      <c r="AO71" s="8"/>
      <c r="AP71" s="1"/>
      <c r="AQ71" s="1"/>
      <c r="AR71" s="1"/>
      <c r="AS71" s="8"/>
      <c r="AT71" s="7">
        <v>0.64</v>
      </c>
      <c r="AU71" s="1">
        <v>0.44131950460306302</v>
      </c>
      <c r="AV71" s="1">
        <v>35.784249481434998</v>
      </c>
      <c r="AW71" s="1">
        <v>0.993523858800483</v>
      </c>
      <c r="AX71" s="1">
        <v>21.886836908787799</v>
      </c>
      <c r="AY71" s="1">
        <v>38.636746226772203</v>
      </c>
      <c r="AZ71" s="1">
        <v>0.99538594149673199</v>
      </c>
      <c r="BA71" s="1">
        <v>23.359169032078299</v>
      </c>
      <c r="BB71" s="1">
        <v>440.81969261169399</v>
      </c>
      <c r="BC71" s="1">
        <v>294.974958896636</v>
      </c>
      <c r="BD71" s="7"/>
      <c r="BE71" s="1"/>
      <c r="BF71" s="1"/>
      <c r="BG71" s="8"/>
      <c r="BH71" s="1"/>
      <c r="BI71" s="1"/>
      <c r="BJ71" s="1"/>
      <c r="BK71" s="8"/>
    </row>
    <row r="72" spans="1:63">
      <c r="A72" s="49"/>
      <c r="B72" s="7" t="s">
        <v>18</v>
      </c>
      <c r="C72" s="17">
        <v>0.5</v>
      </c>
      <c r="D72" s="7">
        <v>30</v>
      </c>
      <c r="E72" s="1">
        <v>0.47916598799098498</v>
      </c>
      <c r="F72" s="1">
        <v>37.952721855018602</v>
      </c>
      <c r="G72" s="1">
        <v>0.98651742905194795</v>
      </c>
      <c r="H72" s="1">
        <v>18.7022728568719</v>
      </c>
      <c r="I72" s="1">
        <v>41.174503162940397</v>
      </c>
      <c r="J72" s="1">
        <v>0.99068523322791702</v>
      </c>
      <c r="K72" s="8">
        <v>20.308280147200101</v>
      </c>
      <c r="L72" s="7">
        <v>26</v>
      </c>
      <c r="M72" s="1">
        <v>0.49196084879935698</v>
      </c>
      <c r="N72" s="1">
        <v>39.461359717974197</v>
      </c>
      <c r="O72" s="1">
        <v>0.98914363589779297</v>
      </c>
      <c r="P72" s="1">
        <v>19.6431559967703</v>
      </c>
      <c r="Q72" s="1">
        <v>42.733030383759903</v>
      </c>
      <c r="R72" s="1">
        <v>0.99202267059387705</v>
      </c>
      <c r="S72" s="8">
        <v>20.981424743512498</v>
      </c>
      <c r="T72" s="7"/>
      <c r="U72" s="1"/>
      <c r="V72" s="1"/>
      <c r="W72" s="8"/>
      <c r="X72" s="7"/>
      <c r="Y72" s="1"/>
      <c r="Z72" s="1"/>
      <c r="AA72" s="8"/>
      <c r="AB72" s="7">
        <v>32</v>
      </c>
      <c r="AC72" s="1">
        <v>0.30877063390210602</v>
      </c>
      <c r="AD72" s="1">
        <v>37.1905171168493</v>
      </c>
      <c r="AE72" s="1">
        <v>0.98688241348919004</v>
      </c>
      <c r="AF72" s="1">
        <v>18.821460629372499</v>
      </c>
      <c r="AG72" s="1">
        <v>40.605720589280601</v>
      </c>
      <c r="AH72" s="1">
        <v>0.99071321972150905</v>
      </c>
      <c r="AI72" s="1">
        <v>20.321348295642601</v>
      </c>
      <c r="AJ72" s="1">
        <v>1350.60160303115</v>
      </c>
      <c r="AK72" s="1">
        <v>711.82631421089104</v>
      </c>
      <c r="AL72" s="7"/>
      <c r="AM72" s="1"/>
      <c r="AN72" s="1"/>
      <c r="AO72" s="8"/>
      <c r="AP72" s="1"/>
      <c r="AQ72" s="1"/>
      <c r="AR72" s="1"/>
      <c r="AS72" s="8"/>
      <c r="AT72" s="7">
        <v>0.32</v>
      </c>
      <c r="AU72" s="1">
        <v>0.276918490791278</v>
      </c>
      <c r="AV72" s="1">
        <v>34.5988806123312</v>
      </c>
      <c r="AW72" s="1">
        <v>0.98955054609784199</v>
      </c>
      <c r="AX72" s="1">
        <v>19.809064055794</v>
      </c>
      <c r="AY72" s="1">
        <v>37.436969028668102</v>
      </c>
      <c r="AZ72" s="1">
        <v>0.99222476152215799</v>
      </c>
      <c r="BA72" s="1">
        <v>21.092862816551399</v>
      </c>
      <c r="BB72" s="1">
        <v>388.51203513145401</v>
      </c>
      <c r="BC72" s="1">
        <v>240.87097311019801</v>
      </c>
      <c r="BD72" s="7"/>
      <c r="BE72" s="1"/>
      <c r="BF72" s="1"/>
      <c r="BG72" s="8"/>
      <c r="BH72" s="1"/>
      <c r="BI72" s="1"/>
      <c r="BJ72" s="1"/>
      <c r="BK72" s="8"/>
    </row>
    <row r="73" spans="1:63">
      <c r="A73" s="49"/>
      <c r="B73" s="7" t="s">
        <v>18</v>
      </c>
      <c r="C73" s="17">
        <v>0.25</v>
      </c>
      <c r="D73" s="7">
        <v>36</v>
      </c>
      <c r="E73" s="1">
        <v>0.240295940637578</v>
      </c>
      <c r="F73" s="1">
        <v>34.483410575790103</v>
      </c>
      <c r="G73" s="1">
        <v>0.97709266636755698</v>
      </c>
      <c r="H73" s="1">
        <v>16.4002545887293</v>
      </c>
      <c r="I73" s="1">
        <v>37.695492580996799</v>
      </c>
      <c r="J73" s="1">
        <v>0.98455549766054395</v>
      </c>
      <c r="K73" s="8">
        <v>18.112260811929101</v>
      </c>
      <c r="L73" s="7">
        <v>33</v>
      </c>
      <c r="M73" s="1">
        <v>0.224246203133769</v>
      </c>
      <c r="N73" s="1">
        <v>35.885753435654301</v>
      </c>
      <c r="O73" s="1">
        <v>0.98204514613058602</v>
      </c>
      <c r="P73" s="1">
        <v>17.458181251502999</v>
      </c>
      <c r="Q73" s="1">
        <v>39.148889908598498</v>
      </c>
      <c r="R73" s="1">
        <v>0.98716732280608199</v>
      </c>
      <c r="S73" s="8">
        <v>18.916827302770699</v>
      </c>
      <c r="T73" s="7"/>
      <c r="U73" s="1"/>
      <c r="V73" s="1"/>
      <c r="W73" s="8"/>
      <c r="X73" s="7"/>
      <c r="Y73" s="1"/>
      <c r="Z73" s="1"/>
      <c r="AA73" s="8"/>
      <c r="AB73" s="7">
        <v>16</v>
      </c>
      <c r="AC73" s="1">
        <v>0.225088348876303</v>
      </c>
      <c r="AD73" s="1">
        <v>35.753019694256899</v>
      </c>
      <c r="AE73" s="1">
        <v>0.98339550510652496</v>
      </c>
      <c r="AF73" s="1">
        <v>17.797743310450201</v>
      </c>
      <c r="AG73" s="1">
        <v>39.019944043133002</v>
      </c>
      <c r="AH73" s="1">
        <v>0.98802289098985796</v>
      </c>
      <c r="AI73" s="1">
        <v>19.216479976778601</v>
      </c>
      <c r="AJ73" s="1">
        <v>552.38886666297901</v>
      </c>
      <c r="AK73" s="1">
        <v>378.64356803893997</v>
      </c>
      <c r="AL73" s="7"/>
      <c r="AM73" s="1"/>
      <c r="AN73" s="1"/>
      <c r="AO73" s="8"/>
      <c r="AP73" s="1"/>
      <c r="AQ73" s="1"/>
      <c r="AR73" s="1"/>
      <c r="AS73" s="8"/>
      <c r="AT73" s="7">
        <v>0.16</v>
      </c>
      <c r="AU73" s="1">
        <v>0.17451035927102099</v>
      </c>
      <c r="AV73" s="1">
        <v>33.050399141756202</v>
      </c>
      <c r="AW73" s="1">
        <v>0.98448646602120704</v>
      </c>
      <c r="AX73" s="1">
        <v>18.092892587522499</v>
      </c>
      <c r="AY73" s="1">
        <v>35.888518360135201</v>
      </c>
      <c r="AZ73" s="1">
        <v>0.98841669058030601</v>
      </c>
      <c r="BA73" s="1">
        <v>19.361673423897098</v>
      </c>
      <c r="BB73" s="1">
        <v>506.37640690803499</v>
      </c>
      <c r="BC73" s="1">
        <v>372.53754568099902</v>
      </c>
      <c r="BD73" s="7"/>
      <c r="BE73" s="1"/>
      <c r="BF73" s="1"/>
      <c r="BG73" s="8"/>
      <c r="BH73" s="1"/>
      <c r="BI73" s="1"/>
      <c r="BJ73" s="1"/>
      <c r="BK73" s="8"/>
    </row>
    <row r="74" spans="1:63">
      <c r="A74" s="49"/>
      <c r="B74" s="7" t="s">
        <v>18</v>
      </c>
      <c r="C74" s="17">
        <v>0.12</v>
      </c>
      <c r="D74" s="7">
        <v>42</v>
      </c>
      <c r="E74" s="1">
        <v>0.111453451839617</v>
      </c>
      <c r="F74" s="1">
        <v>30.9377821258187</v>
      </c>
      <c r="G74" s="1">
        <v>0.95730797777141197</v>
      </c>
      <c r="H74" s="1">
        <v>13.696532731202399</v>
      </c>
      <c r="I74" s="1">
        <v>34.094185072446699</v>
      </c>
      <c r="J74" s="1">
        <v>0.970374596712825</v>
      </c>
      <c r="K74" s="8">
        <v>15.2833572894125</v>
      </c>
      <c r="L74" s="7">
        <v>39</v>
      </c>
      <c r="M74" s="1">
        <v>0.107768649229629</v>
      </c>
      <c r="N74" s="1">
        <v>32.536968566149497</v>
      </c>
      <c r="O74" s="1">
        <v>0.96847762536452697</v>
      </c>
      <c r="P74" s="1">
        <v>15.0138107378918</v>
      </c>
      <c r="Q74" s="1">
        <v>35.721266589094398</v>
      </c>
      <c r="R74" s="1">
        <v>0.97689364304522697</v>
      </c>
      <c r="S74" s="8">
        <v>16.362685218146002</v>
      </c>
      <c r="T74" s="7"/>
      <c r="U74" s="1"/>
      <c r="V74" s="1"/>
      <c r="W74" s="8"/>
      <c r="X74" s="7"/>
      <c r="Y74" s="1"/>
      <c r="Z74" s="1"/>
      <c r="AA74" s="8"/>
      <c r="AB74" s="7">
        <v>8</v>
      </c>
      <c r="AC74" s="1">
        <v>0.16687294949165801</v>
      </c>
      <c r="AD74" s="1">
        <v>34.276900371700997</v>
      </c>
      <c r="AE74" s="1">
        <v>0.97866680280254703</v>
      </c>
      <c r="AF74" s="1">
        <v>16.7094405213813</v>
      </c>
      <c r="AG74" s="1">
        <v>37.429821301792998</v>
      </c>
      <c r="AH74" s="1">
        <v>0.98409698202457896</v>
      </c>
      <c r="AI74" s="1">
        <v>17.985204501640499</v>
      </c>
      <c r="AJ74" s="1">
        <v>456.477958917617</v>
      </c>
      <c r="AK74" s="1">
        <v>343.674844741821</v>
      </c>
      <c r="AL74" s="7"/>
      <c r="AM74" s="1"/>
      <c r="AN74" s="1"/>
      <c r="AO74" s="8"/>
      <c r="AP74" s="1"/>
      <c r="AQ74" s="1"/>
      <c r="AR74" s="1"/>
      <c r="AS74" s="8"/>
      <c r="AT74" s="7">
        <v>0.08</v>
      </c>
      <c r="AU74" s="1">
        <v>0.122853405015318</v>
      </c>
      <c r="AV74" s="1">
        <v>31.3436741676948</v>
      </c>
      <c r="AW74" s="1">
        <v>0.97890124430117398</v>
      </c>
      <c r="AX74" s="1">
        <v>16.757431565065001</v>
      </c>
      <c r="AY74" s="1">
        <v>34.215952876288398</v>
      </c>
      <c r="AZ74" s="1">
        <v>0.98445638852671302</v>
      </c>
      <c r="BA74" s="1">
        <v>18.084480678583802</v>
      </c>
      <c r="BB74" s="1">
        <v>444.62518548965397</v>
      </c>
      <c r="BC74" s="1">
        <v>342.38874530792202</v>
      </c>
      <c r="BD74" s="7"/>
      <c r="BE74" s="1"/>
      <c r="BF74" s="1"/>
      <c r="BG74" s="8"/>
      <c r="BH74" s="1"/>
      <c r="BI74" s="1"/>
      <c r="BJ74" s="1"/>
      <c r="BK74" s="8"/>
    </row>
    <row r="75" spans="1:63">
      <c r="A75" s="49"/>
      <c r="B75" s="7" t="s">
        <v>18</v>
      </c>
      <c r="C75" s="17">
        <v>0.06</v>
      </c>
      <c r="D75" s="7">
        <v>47</v>
      </c>
      <c r="E75" s="1">
        <v>5.3806860486066602E-2</v>
      </c>
      <c r="F75" s="1">
        <v>28.126085896756301</v>
      </c>
      <c r="G75" s="1">
        <v>0.9289185713168</v>
      </c>
      <c r="H75" s="1">
        <v>11.482438517868999</v>
      </c>
      <c r="I75" s="1">
        <v>31.192569842150899</v>
      </c>
      <c r="J75" s="1">
        <v>0.94752249562844504</v>
      </c>
      <c r="K75" s="8">
        <v>12.800268265179399</v>
      </c>
      <c r="L75" s="7">
        <v>44</v>
      </c>
      <c r="M75" s="1">
        <v>5.5408431347934599E-2</v>
      </c>
      <c r="N75" s="1">
        <v>29.775891714522299</v>
      </c>
      <c r="O75" s="1">
        <v>0.94790258696676</v>
      </c>
      <c r="P75" s="1">
        <v>12.8318384163872</v>
      </c>
      <c r="Q75" s="1">
        <v>32.8532295872091</v>
      </c>
      <c r="R75" s="1">
        <v>0.95980814960537697</v>
      </c>
      <c r="S75" s="8">
        <v>13.958619988421701</v>
      </c>
      <c r="T75" s="7"/>
      <c r="U75" s="1"/>
      <c r="V75" s="1"/>
      <c r="W75" s="8"/>
      <c r="X75" s="7"/>
      <c r="Y75" s="1"/>
      <c r="Z75" s="1"/>
      <c r="AA75" s="8"/>
      <c r="AB75" s="7">
        <v>4</v>
      </c>
      <c r="AC75" s="1">
        <v>0.122796966864373</v>
      </c>
      <c r="AD75" s="1">
        <v>32.758627047215498</v>
      </c>
      <c r="AE75" s="1">
        <v>0.97143490627891504</v>
      </c>
      <c r="AF75" s="1">
        <v>15.441643466959199</v>
      </c>
      <c r="AG75" s="1">
        <v>35.837814114801802</v>
      </c>
      <c r="AH75" s="1">
        <v>0.97785120055194696</v>
      </c>
      <c r="AI75" s="1">
        <v>16.546498092700901</v>
      </c>
      <c r="AJ75" s="1">
        <v>479.23899006843499</v>
      </c>
      <c r="AK75" s="1">
        <v>350.35505533218299</v>
      </c>
      <c r="AL75" s="7"/>
      <c r="AM75" s="1"/>
      <c r="AN75" s="1"/>
      <c r="AO75" s="8"/>
      <c r="AP75" s="1"/>
      <c r="AQ75" s="1"/>
      <c r="AR75" s="1"/>
      <c r="AS75" s="8"/>
      <c r="AT75" s="7">
        <v>0.04</v>
      </c>
      <c r="AU75" s="1">
        <v>8.7165127585840801E-2</v>
      </c>
      <c r="AV75" s="1">
        <v>29.905308985673599</v>
      </c>
      <c r="AW75" s="1">
        <v>0.97123500180906397</v>
      </c>
      <c r="AX75" s="1">
        <v>15.411356489517701</v>
      </c>
      <c r="AY75" s="1">
        <v>32.738062561063103</v>
      </c>
      <c r="AZ75" s="1">
        <v>0.97873057301435196</v>
      </c>
      <c r="BA75" s="1">
        <v>16.722442101594801</v>
      </c>
      <c r="BB75" s="1">
        <v>471.822464466094</v>
      </c>
      <c r="BC75" s="1">
        <v>352.38013124465903</v>
      </c>
      <c r="BD75" s="7"/>
      <c r="BE75" s="1"/>
      <c r="BF75" s="1"/>
      <c r="BG75" s="8"/>
      <c r="BH75" s="1"/>
      <c r="BI75" s="1"/>
      <c r="BJ75" s="1"/>
      <c r="BK75" s="8"/>
    </row>
    <row r="76" spans="1:63">
      <c r="A76" s="49"/>
      <c r="B76" s="7" t="s">
        <v>31</v>
      </c>
      <c r="C76" s="17">
        <v>1.5</v>
      </c>
      <c r="D76" s="7">
        <v>24</v>
      </c>
      <c r="E76" s="1">
        <v>1.4919143282312901</v>
      </c>
      <c r="F76" s="1">
        <v>40.337004727271903</v>
      </c>
      <c r="G76" s="1">
        <v>0.99058364934258702</v>
      </c>
      <c r="H76" s="1">
        <v>20.261173770822399</v>
      </c>
      <c r="I76" s="1">
        <v>43.4999943284392</v>
      </c>
      <c r="J76" s="1">
        <v>0.99356092967214305</v>
      </c>
      <c r="K76" s="8">
        <v>21.911768314953399</v>
      </c>
      <c r="L76" s="7">
        <v>22</v>
      </c>
      <c r="M76" s="1">
        <v>1.4174734268707401</v>
      </c>
      <c r="N76" s="1">
        <v>40.600318894891799</v>
      </c>
      <c r="O76" s="1">
        <v>0.99136976805662302</v>
      </c>
      <c r="P76" s="1">
        <v>20.6397753216716</v>
      </c>
      <c r="Q76" s="1">
        <v>43.808220459302298</v>
      </c>
      <c r="R76" s="1">
        <v>0.99389049282070097</v>
      </c>
      <c r="S76" s="8">
        <v>22.139938205173902</v>
      </c>
      <c r="T76" s="13">
        <f>bdrate(E76:E79,F76:F79,M76:M79,N76:N79)</f>
        <v>-0.10067917393628367</v>
      </c>
      <c r="U76" s="12">
        <f>bdrate(E76:E79,H76:H79,M76:M79,P76:P79)</f>
        <v>-0.11929674865043149</v>
      </c>
      <c r="V76" s="12">
        <f>bdrate(E76:E79,I76:I79,M76:M79,Q76:Q79)</f>
        <v>-0.11508587566082118</v>
      </c>
      <c r="W76" s="14">
        <f>bdrate(E76:E79,K76:K79,M76:M79,S76:S79)</f>
        <v>-0.10036206918701351</v>
      </c>
      <c r="X76" s="13">
        <f>bdrate(E78:E81,F78:F81,M78:M81,N78:N81)</f>
        <v>-0.12801399266552627</v>
      </c>
      <c r="Y76" s="12">
        <f>bdrate(E78:E81,H78:H81,M78:M81,P78:P81)</f>
        <v>-0.13601247473020228</v>
      </c>
      <c r="Z76" s="12">
        <f>bdrate(E78:E81,I78:I81,M78:M81,Q78:Q81)</f>
        <v>-0.15360727520969597</v>
      </c>
      <c r="AA76" s="14">
        <f>bdrate(E78:E81,K78:K81,M78:M81,S78:S81)</f>
        <v>-0.11911270842058519</v>
      </c>
      <c r="AB76" s="7"/>
      <c r="AC76" s="1"/>
      <c r="AD76" s="1"/>
      <c r="AE76" s="1"/>
      <c r="AF76" s="1"/>
      <c r="AG76" s="1"/>
      <c r="AH76" s="1"/>
      <c r="AI76" s="1"/>
      <c r="AJ76" s="1"/>
      <c r="AK76" s="1"/>
      <c r="AL76" s="13" t="e">
        <f>bdrate(E76:E79,F76:F79,AC76:AC79,AD76:AD79)</f>
        <v>#VALUE!</v>
      </c>
      <c r="AM76" s="12" t="e">
        <f>bdrate(E76:E79,H76:H79,AC76:AC79,AF76:AF79)</f>
        <v>#VALUE!</v>
      </c>
      <c r="AN76" s="12" t="e">
        <f>bdrate(E76:E79,I76:I79,AC76:AC79,AG76:AG79)</f>
        <v>#VALUE!</v>
      </c>
      <c r="AO76" s="14" t="e">
        <f>bdrate(E76:E79,K76:K79,AC76:AC79,AI76:AI79)</f>
        <v>#VALUE!</v>
      </c>
      <c r="AP76" s="12">
        <f>bdrate(E78:E81,F78:F81,AC78:AC81,AD78:AD81)</f>
        <v>3.5428130654420631E-2</v>
      </c>
      <c r="AQ76" s="12">
        <f>bdrate(E78:E81,H78:H81,AC78:AC81,AF78:AF81)</f>
        <v>-0.10237088759949065</v>
      </c>
      <c r="AR76" s="12">
        <f>bdrate(E78:E81,I78:I81,AC78:AC81,AG78:AG81)</f>
        <v>-7.2662831225338231E-2</v>
      </c>
      <c r="AS76" s="14">
        <f>bdrate(E78:E81,K78:K81,AC78:AC81,AI78:AI81)</f>
        <v>-6.3222067143030691E-2</v>
      </c>
      <c r="AT76" s="7"/>
      <c r="AU76" s="1"/>
      <c r="AV76" s="1"/>
      <c r="AW76" s="1"/>
      <c r="AX76" s="1"/>
      <c r="AY76" s="1"/>
      <c r="AZ76" s="1"/>
      <c r="BA76" s="1"/>
      <c r="BB76" s="1"/>
      <c r="BC76" s="1"/>
      <c r="BD76" s="13" t="e">
        <f>bdrate(E76:E79,F76:F79,AU76:AU79,AV76:AV79)</f>
        <v>#VALUE!</v>
      </c>
      <c r="BE76" s="12" t="e">
        <f>bdrate(E76:E79,H76:H79,AU76:AU79,AX76:AX79)</f>
        <v>#VALUE!</v>
      </c>
      <c r="BF76" s="12" t="e">
        <f>bdrate(E76:E79,I76:I79,AU76:AU79,AY76:AY79)</f>
        <v>#VALUE!</v>
      </c>
      <c r="BG76" s="14" t="e">
        <f>bdrate(E76:E79,K76:K79,AU76:AU79,BA76:BA79)</f>
        <v>#VALUE!</v>
      </c>
      <c r="BH76" s="12">
        <f>bdrate(E78:E81,F78:F81,AU78:AU81,AV78:AV81)</f>
        <v>0.92873138690893264</v>
      </c>
      <c r="BI76" s="12">
        <f>bdrate(E78:E81,H78:H81,AU78:AU81,AX78:AX81)</f>
        <v>-0.50143822878698652</v>
      </c>
      <c r="BJ76" s="12">
        <f>bdrate(E78:E81,I78:I81,AU78:AU81,AY78:AY81)</f>
        <v>1.5260540664779021</v>
      </c>
      <c r="BK76" s="14">
        <f>bdrate(E78:E81,K78:K81,AU78:AU81,BA78:BA81)</f>
        <v>-0.48015571815122282</v>
      </c>
    </row>
    <row r="77" spans="1:63">
      <c r="A77" s="49"/>
      <c r="B77" s="7" t="s">
        <v>18</v>
      </c>
      <c r="C77" s="17">
        <v>1</v>
      </c>
      <c r="D77" s="7">
        <v>28</v>
      </c>
      <c r="E77" s="1">
        <v>0.85861181972789102</v>
      </c>
      <c r="F77" s="1">
        <v>37.063274801875203</v>
      </c>
      <c r="G77" s="1">
        <v>0.97960515112108004</v>
      </c>
      <c r="H77" s="1">
        <v>16.9047950835593</v>
      </c>
      <c r="I77" s="1">
        <v>40.445072584650603</v>
      </c>
      <c r="J77" s="1">
        <v>0.98362470057097495</v>
      </c>
      <c r="K77" s="8">
        <v>17.858107500119601</v>
      </c>
      <c r="L77" s="7">
        <v>25</v>
      </c>
      <c r="M77" s="1">
        <v>0.977076158588435</v>
      </c>
      <c r="N77" s="1">
        <v>38.259232813518103</v>
      </c>
      <c r="O77" s="1">
        <v>0.98508793726678401</v>
      </c>
      <c r="P77" s="1">
        <v>18.264622779627398</v>
      </c>
      <c r="Q77" s="1">
        <v>41.607147060365598</v>
      </c>
      <c r="R77" s="1">
        <v>0.98823733913839196</v>
      </c>
      <c r="S77" s="8">
        <v>19.294944242804501</v>
      </c>
      <c r="T77" s="7"/>
      <c r="U77" s="1"/>
      <c r="V77" s="1"/>
      <c r="W77" s="8"/>
      <c r="X77" s="7"/>
      <c r="Y77" s="1"/>
      <c r="Z77" s="1"/>
      <c r="AA77" s="8"/>
      <c r="AB77" s="7">
        <v>64</v>
      </c>
      <c r="AC77" s="1">
        <v>0.71784040178571396</v>
      </c>
      <c r="AD77" s="1">
        <v>36.132222752894698</v>
      </c>
      <c r="AE77" s="1">
        <v>0.978384424816507</v>
      </c>
      <c r="AF77" s="1">
        <v>16.652332035403099</v>
      </c>
      <c r="AG77" s="1">
        <v>39.687162654802798</v>
      </c>
      <c r="AH77" s="1">
        <v>0.98192669995310999</v>
      </c>
      <c r="AI77" s="1">
        <v>17.429625413349601</v>
      </c>
      <c r="AJ77" s="1">
        <v>680.139739751815</v>
      </c>
      <c r="AK77" s="1">
        <v>297.461689233779</v>
      </c>
      <c r="AL77" s="7"/>
      <c r="AM77" s="1"/>
      <c r="AN77" s="1"/>
      <c r="AO77" s="8"/>
      <c r="AP77" s="1"/>
      <c r="AQ77" s="1"/>
      <c r="AR77" s="1"/>
      <c r="AS77" s="8"/>
      <c r="AT77" s="7">
        <v>0.64</v>
      </c>
      <c r="AU77" s="1">
        <v>0.62854937287414903</v>
      </c>
      <c r="AV77" s="1">
        <v>33.180696820694301</v>
      </c>
      <c r="AW77" s="1">
        <v>0.98620169649006495</v>
      </c>
      <c r="AX77" s="1">
        <v>18.601743064658098</v>
      </c>
      <c r="AY77" s="1">
        <v>37.1623060351615</v>
      </c>
      <c r="AZ77" s="1">
        <v>0.988094580785564</v>
      </c>
      <c r="BA77" s="1">
        <v>19.2425530758284</v>
      </c>
      <c r="BB77" s="1">
        <v>502.78065681457502</v>
      </c>
      <c r="BC77" s="1">
        <v>326.39733886718699</v>
      </c>
      <c r="BD77" s="7"/>
      <c r="BE77" s="1"/>
      <c r="BF77" s="1"/>
      <c r="BG77" s="8"/>
      <c r="BH77" s="1"/>
      <c r="BI77" s="1"/>
      <c r="BJ77" s="1"/>
      <c r="BK77" s="8"/>
    </row>
    <row r="78" spans="1:63">
      <c r="A78" s="49"/>
      <c r="B78" s="7" t="s">
        <v>18</v>
      </c>
      <c r="C78" s="17">
        <v>0.5</v>
      </c>
      <c r="D78" s="7">
        <v>31</v>
      </c>
      <c r="E78" s="1">
        <v>0.49370163690476099</v>
      </c>
      <c r="F78" s="1">
        <v>34.764402824532297</v>
      </c>
      <c r="G78" s="1">
        <v>0.96515513159594302</v>
      </c>
      <c r="H78" s="1">
        <v>14.578611713076601</v>
      </c>
      <c r="I78" s="1">
        <v>38.378024250829696</v>
      </c>
      <c r="J78" s="1">
        <v>0.97013085612668604</v>
      </c>
      <c r="K78" s="8">
        <v>15.2477722521724</v>
      </c>
      <c r="L78" s="7">
        <v>30</v>
      </c>
      <c r="M78" s="1">
        <v>0.41696800595237998</v>
      </c>
      <c r="N78" s="1">
        <v>34.567656111120698</v>
      </c>
      <c r="O78" s="1">
        <v>0.96405214200553802</v>
      </c>
      <c r="P78" s="1">
        <v>14.4432698258013</v>
      </c>
      <c r="Q78" s="1">
        <v>38.260444060653803</v>
      </c>
      <c r="R78" s="1">
        <v>0.96860980953880504</v>
      </c>
      <c r="S78" s="8">
        <v>15.032060491933899</v>
      </c>
      <c r="T78" s="7"/>
      <c r="U78" s="1"/>
      <c r="V78" s="1"/>
      <c r="W78" s="8"/>
      <c r="X78" s="7"/>
      <c r="Y78" s="1"/>
      <c r="Z78" s="1"/>
      <c r="AA78" s="8"/>
      <c r="AB78" s="7">
        <v>32</v>
      </c>
      <c r="AC78" s="1">
        <v>0.41105761054421702</v>
      </c>
      <c r="AD78" s="1">
        <v>34.103749796799903</v>
      </c>
      <c r="AE78" s="1">
        <v>0.96373210342044602</v>
      </c>
      <c r="AF78" s="1">
        <v>14.404776313614599</v>
      </c>
      <c r="AG78" s="1">
        <v>37.856543274401801</v>
      </c>
      <c r="AH78" s="1">
        <v>0.96791337976001202</v>
      </c>
      <c r="AI78" s="1">
        <v>14.936760257659699</v>
      </c>
      <c r="AJ78" s="1">
        <v>1419.9699192047101</v>
      </c>
      <c r="AK78" s="1">
        <v>740.674719333648</v>
      </c>
      <c r="AL78" s="7"/>
      <c r="AM78" s="1"/>
      <c r="AN78" s="1"/>
      <c r="AO78" s="8"/>
      <c r="AP78" s="1"/>
      <c r="AQ78" s="1"/>
      <c r="AR78" s="1"/>
      <c r="AS78" s="8"/>
      <c r="AT78" s="7">
        <v>0.32</v>
      </c>
      <c r="AU78" s="1">
        <v>0.48667756164965897</v>
      </c>
      <c r="AV78" s="1">
        <v>32.867448012120903</v>
      </c>
      <c r="AW78" s="1">
        <v>0.98238011519031299</v>
      </c>
      <c r="AX78" s="1">
        <v>17.539969351226699</v>
      </c>
      <c r="AY78" s="1">
        <v>36.7237994565115</v>
      </c>
      <c r="AZ78" s="1">
        <v>0.98466875696775702</v>
      </c>
      <c r="BA78" s="1">
        <v>18.144226318280399</v>
      </c>
      <c r="BB78" s="1">
        <v>412.852128028869</v>
      </c>
      <c r="BC78" s="1">
        <v>251.848077774047</v>
      </c>
      <c r="BD78" s="7"/>
      <c r="BE78" s="1"/>
      <c r="BF78" s="1"/>
      <c r="BG78" s="8"/>
      <c r="BH78" s="1"/>
      <c r="BI78" s="1"/>
      <c r="BJ78" s="1"/>
      <c r="BK78" s="8"/>
    </row>
    <row r="79" spans="1:63">
      <c r="A79" s="49"/>
      <c r="B79" s="7" t="s">
        <v>18</v>
      </c>
      <c r="C79" s="17">
        <v>0.25</v>
      </c>
      <c r="D79" s="7">
        <v>34</v>
      </c>
      <c r="E79" s="1">
        <v>0.23589019982993101</v>
      </c>
      <c r="F79" s="1">
        <v>32.743115501207697</v>
      </c>
      <c r="G79" s="1">
        <v>0.94422578518766198</v>
      </c>
      <c r="H79" s="1">
        <v>12.535665349853</v>
      </c>
      <c r="I79" s="1">
        <v>36.580629947571801</v>
      </c>
      <c r="J79" s="1">
        <v>0.95028248856295605</v>
      </c>
      <c r="K79" s="8">
        <v>13.034906176854101</v>
      </c>
      <c r="L79" s="7">
        <v>33</v>
      </c>
      <c r="M79" s="1">
        <v>0.197280771683673</v>
      </c>
      <c r="N79" s="1">
        <v>32.638570846559702</v>
      </c>
      <c r="O79" s="1">
        <v>0.94302868924808603</v>
      </c>
      <c r="P79" s="1">
        <v>12.4434378851637</v>
      </c>
      <c r="Q79" s="1">
        <v>36.535560960847498</v>
      </c>
      <c r="R79" s="1">
        <v>0.94865151129188696</v>
      </c>
      <c r="S79" s="8">
        <v>12.8947233406058</v>
      </c>
      <c r="T79" s="7"/>
      <c r="U79" s="1"/>
      <c r="V79" s="1"/>
      <c r="W79" s="8"/>
      <c r="X79" s="7"/>
      <c r="Y79" s="1"/>
      <c r="Z79" s="1"/>
      <c r="AA79" s="8"/>
      <c r="AB79" s="7">
        <v>16</v>
      </c>
      <c r="AC79" s="1">
        <v>0.16616257440476101</v>
      </c>
      <c r="AD79" s="1">
        <v>32.046731853967998</v>
      </c>
      <c r="AE79" s="1">
        <v>0.93799789102645803</v>
      </c>
      <c r="AF79" s="1">
        <v>12.0759353792119</v>
      </c>
      <c r="AG79" s="1">
        <v>36.115918471337899</v>
      </c>
      <c r="AH79" s="1">
        <v>0.94324189962465299</v>
      </c>
      <c r="AI79" s="1">
        <v>12.459721482799299</v>
      </c>
      <c r="AJ79" s="1">
        <v>669.16995954513504</v>
      </c>
      <c r="AK79" s="1">
        <v>392.28398251533503</v>
      </c>
      <c r="AL79" s="7"/>
      <c r="AM79" s="1"/>
      <c r="AN79" s="1"/>
      <c r="AO79" s="8"/>
      <c r="AP79" s="1"/>
      <c r="AQ79" s="1"/>
      <c r="AR79" s="1"/>
      <c r="AS79" s="8"/>
      <c r="AT79" s="7">
        <v>0.16</v>
      </c>
      <c r="AU79" s="1">
        <v>0.33756988732993198</v>
      </c>
      <c r="AV79" s="1">
        <v>32.255405707449697</v>
      </c>
      <c r="AW79" s="1">
        <v>0.97443083046173595</v>
      </c>
      <c r="AX79" s="1">
        <v>15.922833772066101</v>
      </c>
      <c r="AY79" s="1">
        <v>35.747282924647102</v>
      </c>
      <c r="AZ79" s="1">
        <v>0.97739506412416899</v>
      </c>
      <c r="BA79" s="1">
        <v>16.457967206054501</v>
      </c>
      <c r="BB79" s="1">
        <v>643.93743276596001</v>
      </c>
      <c r="BC79" s="1">
        <v>383.14628934860201</v>
      </c>
      <c r="BD79" s="7"/>
      <c r="BE79" s="1"/>
      <c r="BF79" s="1"/>
      <c r="BG79" s="8"/>
      <c r="BH79" s="1"/>
      <c r="BI79" s="1"/>
      <c r="BJ79" s="1"/>
      <c r="BK79" s="8"/>
    </row>
    <row r="80" spans="1:63">
      <c r="A80" s="49"/>
      <c r="B80" s="7" t="s">
        <v>18</v>
      </c>
      <c r="C80" s="17">
        <v>0.12</v>
      </c>
      <c r="D80" s="7">
        <v>36</v>
      </c>
      <c r="E80" s="1">
        <v>0.119123883928571</v>
      </c>
      <c r="F80" s="1">
        <v>31.586760326249902</v>
      </c>
      <c r="G80" s="1">
        <v>0.92687294484166305</v>
      </c>
      <c r="H80" s="1">
        <v>11.359219153523901</v>
      </c>
      <c r="I80" s="1">
        <v>35.547148882833902</v>
      </c>
      <c r="J80" s="1">
        <v>0.93358943792536198</v>
      </c>
      <c r="K80" s="8">
        <v>11.777628440363999</v>
      </c>
      <c r="L80" s="7">
        <v>35</v>
      </c>
      <c r="M80" s="1">
        <v>9.9978475765306093E-2</v>
      </c>
      <c r="N80" s="1">
        <v>31.561070079273101</v>
      </c>
      <c r="O80" s="1">
        <v>0.92649762281101899</v>
      </c>
      <c r="P80" s="1">
        <v>11.336986148836701</v>
      </c>
      <c r="Q80" s="1">
        <v>35.559235611393497</v>
      </c>
      <c r="R80" s="1">
        <v>0.93282042025016498</v>
      </c>
      <c r="S80" s="8">
        <v>11.727627172686701</v>
      </c>
      <c r="T80" s="7"/>
      <c r="U80" s="1"/>
      <c r="V80" s="1"/>
      <c r="W80" s="8"/>
      <c r="X80" s="7"/>
      <c r="Y80" s="1"/>
      <c r="Z80" s="1"/>
      <c r="AA80" s="8"/>
      <c r="AB80" s="7">
        <v>8</v>
      </c>
      <c r="AC80" s="1">
        <v>6.1695099914965898E-2</v>
      </c>
      <c r="AD80" s="1">
        <v>30.874453737873001</v>
      </c>
      <c r="AE80" s="1">
        <v>0.91348939017936603</v>
      </c>
      <c r="AF80" s="1">
        <v>10.629306265931</v>
      </c>
      <c r="AG80" s="1">
        <v>35.054040763860499</v>
      </c>
      <c r="AH80" s="1">
        <v>0.91940316638522301</v>
      </c>
      <c r="AI80" s="1">
        <v>10.936820198654001</v>
      </c>
      <c r="AJ80" s="1">
        <v>483.83730149269098</v>
      </c>
      <c r="AK80" s="1">
        <v>350.24076223373402</v>
      </c>
      <c r="AL80" s="7"/>
      <c r="AM80" s="1"/>
      <c r="AN80" s="1"/>
      <c r="AO80" s="8"/>
      <c r="AP80" s="1"/>
      <c r="AQ80" s="1"/>
      <c r="AR80" s="1"/>
      <c r="AS80" s="8"/>
      <c r="AT80" s="7">
        <v>0.08</v>
      </c>
      <c r="AU80" s="1">
        <v>0.20562420280612201</v>
      </c>
      <c r="AV80" s="1">
        <v>31.484763548513701</v>
      </c>
      <c r="AW80" s="1">
        <v>0.96039400840868405</v>
      </c>
      <c r="AX80" s="1">
        <v>14.022391090691199</v>
      </c>
      <c r="AY80" s="1">
        <v>34.742698359905198</v>
      </c>
      <c r="AZ80" s="1">
        <v>0.96438401577438504</v>
      </c>
      <c r="BA80" s="1">
        <v>14.4835504969517</v>
      </c>
      <c r="BB80" s="1">
        <v>442.997349977493</v>
      </c>
      <c r="BC80" s="1">
        <v>316.07501459121698</v>
      </c>
      <c r="BD80" s="7"/>
      <c r="BE80" s="1"/>
      <c r="BF80" s="1"/>
      <c r="BG80" s="8"/>
      <c r="BH80" s="1"/>
      <c r="BI80" s="1"/>
      <c r="BJ80" s="1"/>
      <c r="BK80" s="8"/>
    </row>
    <row r="81" spans="1:63">
      <c r="A81" s="49"/>
      <c r="B81" s="7" t="s">
        <v>18</v>
      </c>
      <c r="C81" s="17">
        <v>0.06</v>
      </c>
      <c r="D81" s="7">
        <v>38</v>
      </c>
      <c r="E81" s="1">
        <v>5.22103528911564E-2</v>
      </c>
      <c r="F81" s="1">
        <v>30.781026995313301</v>
      </c>
      <c r="G81" s="1">
        <v>0.908996534400623</v>
      </c>
      <c r="H81" s="1">
        <v>10.4094206853575</v>
      </c>
      <c r="I81" s="1">
        <v>34.779542998683603</v>
      </c>
      <c r="J81" s="1">
        <v>0.91641739979299097</v>
      </c>
      <c r="K81" s="8">
        <v>10.7788412232866</v>
      </c>
      <c r="L81" s="7">
        <v>37</v>
      </c>
      <c r="M81" s="1">
        <v>4.0796396683673401E-2</v>
      </c>
      <c r="N81" s="1">
        <v>30.758822990216601</v>
      </c>
      <c r="O81" s="1">
        <v>0.90843391596621004</v>
      </c>
      <c r="P81" s="1">
        <v>10.3826535869606</v>
      </c>
      <c r="Q81" s="1">
        <v>34.805148289601597</v>
      </c>
      <c r="R81" s="1">
        <v>0.91544705144735095</v>
      </c>
      <c r="S81" s="8">
        <v>10.728712429708199</v>
      </c>
      <c r="T81" s="7"/>
      <c r="U81" s="1"/>
      <c r="V81" s="1"/>
      <c r="W81" s="8"/>
      <c r="X81" s="7"/>
      <c r="Y81" s="1"/>
      <c r="Z81" s="1"/>
      <c r="AA81" s="8"/>
      <c r="AB81" s="7">
        <v>4</v>
      </c>
      <c r="AC81" s="1">
        <v>3.44502019557823E-2</v>
      </c>
      <c r="AD81" s="1">
        <v>30.457527415017001</v>
      </c>
      <c r="AE81" s="1">
        <v>0.89991341560185001</v>
      </c>
      <c r="AF81" s="1">
        <v>9.99624131434941</v>
      </c>
      <c r="AG81" s="1">
        <v>34.576216581023203</v>
      </c>
      <c r="AH81" s="1">
        <v>0.90649576860831904</v>
      </c>
      <c r="AI81" s="1">
        <v>10.291687353469801</v>
      </c>
      <c r="AJ81" s="1">
        <v>419.41289663314802</v>
      </c>
      <c r="AK81" s="1">
        <v>294.73231863975502</v>
      </c>
      <c r="AL81" s="7"/>
      <c r="AM81" s="1"/>
      <c r="AN81" s="1"/>
      <c r="AO81" s="8"/>
      <c r="AP81" s="1"/>
      <c r="AQ81" s="1"/>
      <c r="AR81" s="1"/>
      <c r="AS81" s="8"/>
      <c r="AT81" s="7">
        <v>0.04</v>
      </c>
      <c r="AU81" s="1">
        <v>0.102748458758503</v>
      </c>
      <c r="AV81" s="1">
        <v>30.501723687625098</v>
      </c>
      <c r="AW81" s="1">
        <v>0.93860309179555301</v>
      </c>
      <c r="AX81" s="1">
        <v>12.1185349829786</v>
      </c>
      <c r="AY81" s="1">
        <v>33.502007741776097</v>
      </c>
      <c r="AZ81" s="1">
        <v>0.94396149277437802</v>
      </c>
      <c r="BA81" s="1">
        <v>12.515134421284101</v>
      </c>
      <c r="BB81" s="1">
        <v>491.47202777862498</v>
      </c>
      <c r="BC81" s="1">
        <v>361.95103645324701</v>
      </c>
      <c r="BD81" s="7"/>
      <c r="BE81" s="1"/>
      <c r="BF81" s="1"/>
      <c r="BG81" s="8"/>
      <c r="BH81" s="1"/>
      <c r="BI81" s="1"/>
      <c r="BJ81" s="1"/>
      <c r="BK81" s="8"/>
    </row>
    <row r="82" spans="1:63">
      <c r="A82" s="49"/>
      <c r="B82" s="7" t="s">
        <v>32</v>
      </c>
      <c r="C82" s="17">
        <v>1.5</v>
      </c>
      <c r="D82" s="7">
        <v>17</v>
      </c>
      <c r="E82" s="1">
        <v>1.41530080782312</v>
      </c>
      <c r="F82" s="1">
        <v>46.046353370951103</v>
      </c>
      <c r="G82" s="1">
        <v>0.99642757437164198</v>
      </c>
      <c r="H82" s="1">
        <v>24.470368036931099</v>
      </c>
      <c r="I82" s="1">
        <v>49.136002408347601</v>
      </c>
      <c r="J82" s="1">
        <v>0.99786831697072398</v>
      </c>
      <c r="K82" s="8">
        <v>26.7127737228653</v>
      </c>
      <c r="L82" s="7">
        <v>15</v>
      </c>
      <c r="M82" s="1">
        <v>1.3396343537414901</v>
      </c>
      <c r="N82" s="1">
        <v>46.142558875278098</v>
      </c>
      <c r="O82" s="1">
        <v>0.99670008377157804</v>
      </c>
      <c r="P82" s="1">
        <v>24.814970849693601</v>
      </c>
      <c r="Q82" s="1">
        <v>49.239588852829499</v>
      </c>
      <c r="R82" s="1">
        <v>0.99795665598165295</v>
      </c>
      <c r="S82" s="8">
        <v>26.896585091914201</v>
      </c>
      <c r="T82" s="13">
        <f>bdrate(E82:E85,F82:F85,M82:M85,N82:N85)</f>
        <v>-0.10942914975882023</v>
      </c>
      <c r="U82" s="12">
        <f>bdrate(E82:E85,H82:H85,M82:M85,P82:P85)</f>
        <v>-0.14977386204943199</v>
      </c>
      <c r="V82" s="12">
        <f>bdrate(E82:E85,I82:I85,M82:M85,Q82:Q85)</f>
        <v>-0.10585737176216459</v>
      </c>
      <c r="W82" s="14">
        <f>bdrate(E82:E85,K82:K85,M82:M85,S82:S85)</f>
        <v>-0.10709371464548567</v>
      </c>
      <c r="X82" s="13">
        <f>bdrate(E84:E87,F84:F87,M84:M87,N84:N87)</f>
        <v>-0.20032673589816941</v>
      </c>
      <c r="Y82" s="12">
        <f>bdrate(E84:E87,H84:H87,M84:M87,P84:P87)</f>
        <v>-0.24484346694261039</v>
      </c>
      <c r="Z82" s="12">
        <f>bdrate(E84:E87,I84:I87,M84:M87,Q84:Q87)</f>
        <v>-0.22949828099265968</v>
      </c>
      <c r="AA82" s="14">
        <f>bdrate(E84:E87,K84:K87,M84:M87,S84:S87)</f>
        <v>-0.15742035710814239</v>
      </c>
      <c r="AB82" s="7"/>
      <c r="AC82" s="1"/>
      <c r="AD82" s="1"/>
      <c r="AE82" s="1"/>
      <c r="AF82" s="1"/>
      <c r="AG82" s="1"/>
      <c r="AH82" s="1"/>
      <c r="AI82" s="1"/>
      <c r="AJ82" s="1"/>
      <c r="AK82" s="1"/>
      <c r="AL82" s="13" t="e">
        <f>bdrate(E82:E85,F82:F85,AC82:AC85,AD82:AD85)</f>
        <v>#VALUE!</v>
      </c>
      <c r="AM82" s="12" t="e">
        <f>bdrate(E82:E85,H82:H85,AC82:AC85,AF82:AF85)</f>
        <v>#VALUE!</v>
      </c>
      <c r="AN82" s="12" t="e">
        <f>bdrate(E82:E85,I82:I85,AC82:AC85,AG82:AG85)</f>
        <v>#VALUE!</v>
      </c>
      <c r="AO82" s="14" t="e">
        <f>bdrate(E82:E85,K82:K85,AC82:AC85,AI82:AI85)</f>
        <v>#VALUE!</v>
      </c>
      <c r="AP82" s="12">
        <f>bdrate(E84:E87,F84:F87,AC84:AC87,AD84:AD87)</f>
        <v>-0.11678182852170504</v>
      </c>
      <c r="AQ82" s="12">
        <f>bdrate(E84:E87,H84:H87,AC84:AC87,AF84:AF87)</f>
        <v>-0.19920645149842942</v>
      </c>
      <c r="AR82" s="12">
        <f>bdrate(E84:E87,I84:I87,AC84:AC87,AG84:AG87)</f>
        <v>-0.16817746647702225</v>
      </c>
      <c r="AS82" s="14">
        <f>bdrate(E84:E87,K84:K87,AC84:AC87,AI84:AI87)</f>
        <v>-9.1403502633524036E-2</v>
      </c>
      <c r="AT82" s="7"/>
      <c r="AU82" s="1"/>
      <c r="AV82" s="1"/>
      <c r="AW82" s="1"/>
      <c r="AX82" s="1"/>
      <c r="AY82" s="1"/>
      <c r="AZ82" s="1"/>
      <c r="BA82" s="1"/>
      <c r="BB82" s="1"/>
      <c r="BC82" s="1"/>
      <c r="BD82" s="13" t="e">
        <f>bdrate(E82:E85,F82:F85,AU82:AU85,AV82:AV85)</f>
        <v>#VALUE!</v>
      </c>
      <c r="BE82" s="12" t="e">
        <f>bdrate(E82:E85,H82:H85,AU82:AU85,AX82:AX85)</f>
        <v>#VALUE!</v>
      </c>
      <c r="BF82" s="12" t="e">
        <f>bdrate(E82:E85,I82:I85,AU82:AU85,AY82:AY85)</f>
        <v>#VALUE!</v>
      </c>
      <c r="BG82" s="14" t="e">
        <f>bdrate(E82:E85,K82:K85,AU82:AU85,BA82:BA85)</f>
        <v>#VALUE!</v>
      </c>
      <c r="BH82" s="12">
        <f>bdrate(E84:E87,F84:F87,AU84:AU87,AV84:AV87)</f>
        <v>0.39546871638229431</v>
      </c>
      <c r="BI82" s="12">
        <f>bdrate(E84:E87,H84:H87,AU84:AU87,AX84:AX87)</f>
        <v>-0.39794811008855357</v>
      </c>
      <c r="BJ82" s="12">
        <f>bdrate(E84:E87,I84:I87,AU84:AU87,AY84:AY87)</f>
        <v>0.49526034630182214</v>
      </c>
      <c r="BK82" s="14">
        <f>bdrate(E84:E87,K84:K87,AU84:AU87,BA84:BA87)</f>
        <v>-0.30535430862851864</v>
      </c>
    </row>
    <row r="83" spans="1:63">
      <c r="A83" s="49"/>
      <c r="B83" s="7" t="s">
        <v>18</v>
      </c>
      <c r="C83" s="17">
        <v>1</v>
      </c>
      <c r="D83" s="7">
        <v>20</v>
      </c>
      <c r="E83" s="1">
        <v>0.82579427083333301</v>
      </c>
      <c r="F83" s="1">
        <v>43.791477231845398</v>
      </c>
      <c r="G83" s="1">
        <v>0.99402819840694001</v>
      </c>
      <c r="H83" s="1">
        <v>22.238946296929399</v>
      </c>
      <c r="I83" s="1">
        <v>46.923048610590001</v>
      </c>
      <c r="J83" s="1">
        <v>0.99571499387445295</v>
      </c>
      <c r="K83" s="8">
        <v>23.680485529031301</v>
      </c>
      <c r="L83" s="7">
        <v>18</v>
      </c>
      <c r="M83" s="1">
        <v>0.85712106717686998</v>
      </c>
      <c r="N83" s="1">
        <v>44.288419410359801</v>
      </c>
      <c r="O83" s="1">
        <v>0.99491551127273004</v>
      </c>
      <c r="P83" s="1">
        <v>22.9375271119536</v>
      </c>
      <c r="Q83" s="1">
        <v>47.375868691460497</v>
      </c>
      <c r="R83" s="1">
        <v>0.996362349167906</v>
      </c>
      <c r="S83" s="8">
        <v>24.391789899818601</v>
      </c>
      <c r="T83" s="7"/>
      <c r="U83" s="1"/>
      <c r="V83" s="1"/>
      <c r="W83" s="8"/>
      <c r="X83" s="7"/>
      <c r="Y83" s="1"/>
      <c r="Z83" s="1"/>
      <c r="AA83" s="8"/>
      <c r="AB83" s="7">
        <v>64</v>
      </c>
      <c r="AC83" s="1">
        <v>0.17372076955782301</v>
      </c>
      <c r="AD83" s="1">
        <v>40.507593612933</v>
      </c>
      <c r="AE83" s="1">
        <v>0.98704688111309502</v>
      </c>
      <c r="AF83" s="1">
        <v>18.876256483945099</v>
      </c>
      <c r="AG83" s="1">
        <v>43.793946824993</v>
      </c>
      <c r="AH83" s="1">
        <v>0.98907001250758497</v>
      </c>
      <c r="AI83" s="1">
        <v>19.613803350290901</v>
      </c>
      <c r="AJ83" s="1">
        <v>668.86680221557594</v>
      </c>
      <c r="AK83" s="1">
        <v>378.640482902526</v>
      </c>
      <c r="AL83" s="7"/>
      <c r="AM83" s="1"/>
      <c r="AN83" s="1"/>
      <c r="AO83" s="8"/>
      <c r="AP83" s="1"/>
      <c r="AQ83" s="1"/>
      <c r="AR83" s="1"/>
      <c r="AS83" s="8"/>
      <c r="AT83" s="7">
        <v>0.64</v>
      </c>
      <c r="AU83" s="1">
        <v>0.34875026573129198</v>
      </c>
      <c r="AV83" s="1">
        <v>40.677633560967799</v>
      </c>
      <c r="AW83" s="1">
        <v>0.993265416353588</v>
      </c>
      <c r="AX83" s="1">
        <v>21.7168924859063</v>
      </c>
      <c r="AY83" s="1">
        <v>43.933243163759798</v>
      </c>
      <c r="AZ83" s="1">
        <v>0.99422608238985799</v>
      </c>
      <c r="BA83" s="1">
        <v>22.385294174965502</v>
      </c>
      <c r="BB83" s="1">
        <v>476.70545530319202</v>
      </c>
      <c r="BC83" s="1">
        <v>349.70883488654999</v>
      </c>
      <c r="BD83" s="7"/>
      <c r="BE83" s="1"/>
      <c r="BF83" s="1"/>
      <c r="BG83" s="8"/>
      <c r="BH83" s="1"/>
      <c r="BI83" s="1"/>
      <c r="BJ83" s="1"/>
      <c r="BK83" s="8"/>
    </row>
    <row r="84" spans="1:63">
      <c r="A84" s="49"/>
      <c r="B84" s="7" t="s">
        <v>18</v>
      </c>
      <c r="C84" s="17">
        <v>0.5</v>
      </c>
      <c r="D84" s="7">
        <v>23</v>
      </c>
      <c r="E84" s="1">
        <v>0.42527290603741402</v>
      </c>
      <c r="F84" s="1">
        <v>41.9638897447809</v>
      </c>
      <c r="G84" s="1">
        <v>0.99066252715569003</v>
      </c>
      <c r="H84" s="1">
        <v>20.297706482109501</v>
      </c>
      <c r="I84" s="1">
        <v>45.189574220699001</v>
      </c>
      <c r="J84" s="1">
        <v>0.992703422690973</v>
      </c>
      <c r="K84" s="8">
        <v>21.3688081171283</v>
      </c>
      <c r="L84" s="7">
        <v>21</v>
      </c>
      <c r="M84" s="1">
        <v>0.423067602040816</v>
      </c>
      <c r="N84" s="1">
        <v>42.249204958085301</v>
      </c>
      <c r="O84" s="1">
        <v>0.99147877310650701</v>
      </c>
      <c r="P84" s="1">
        <v>20.694978706425498</v>
      </c>
      <c r="Q84" s="1">
        <v>45.448644692210699</v>
      </c>
      <c r="R84" s="1">
        <v>0.993185113203498</v>
      </c>
      <c r="S84" s="8">
        <v>21.665413539251102</v>
      </c>
      <c r="T84" s="7"/>
      <c r="U84" s="1"/>
      <c r="V84" s="1"/>
      <c r="W84" s="8"/>
      <c r="X84" s="7"/>
      <c r="Y84" s="1"/>
      <c r="Z84" s="1"/>
      <c r="AA84" s="8"/>
      <c r="AB84" s="7">
        <v>32</v>
      </c>
      <c r="AC84" s="1">
        <v>0.121620429421768</v>
      </c>
      <c r="AD84" s="1">
        <v>39.490551790816298</v>
      </c>
      <c r="AE84" s="1">
        <v>0.98343737594798697</v>
      </c>
      <c r="AF84" s="1">
        <v>17.808708558947899</v>
      </c>
      <c r="AG84" s="1">
        <v>42.763497996178003</v>
      </c>
      <c r="AH84" s="1">
        <v>0.98571431204184701</v>
      </c>
      <c r="AI84" s="1">
        <v>18.4509884038902</v>
      </c>
      <c r="AJ84" s="1">
        <v>1239.64524364471</v>
      </c>
      <c r="AK84" s="1">
        <v>734.37284827232304</v>
      </c>
      <c r="AL84" s="7"/>
      <c r="AM84" s="1"/>
      <c r="AN84" s="1"/>
      <c r="AO84" s="8"/>
      <c r="AP84" s="1"/>
      <c r="AQ84" s="1"/>
      <c r="AR84" s="1"/>
      <c r="AS84" s="8"/>
      <c r="AT84" s="7">
        <v>0.32</v>
      </c>
      <c r="AU84" s="1">
        <v>0.192531622023809</v>
      </c>
      <c r="AV84" s="1">
        <v>39.456429745510199</v>
      </c>
      <c r="AW84" s="1">
        <v>0.98957918230929198</v>
      </c>
      <c r="AX84" s="1">
        <v>19.820982018973901</v>
      </c>
      <c r="AY84" s="1">
        <v>42.373132913367201</v>
      </c>
      <c r="AZ84" s="1">
        <v>0.99092794109930205</v>
      </c>
      <c r="BA84" s="1">
        <v>20.422941387681</v>
      </c>
      <c r="BB84" s="1">
        <v>384.64191341400101</v>
      </c>
      <c r="BC84" s="1">
        <v>252.558473825454</v>
      </c>
      <c r="BD84" s="7"/>
      <c r="BE84" s="1"/>
      <c r="BF84" s="1"/>
      <c r="BG84" s="8"/>
      <c r="BH84" s="1"/>
      <c r="BI84" s="1"/>
      <c r="BJ84" s="1"/>
      <c r="BK84" s="8"/>
    </row>
    <row r="85" spans="1:63">
      <c r="A85" s="49"/>
      <c r="B85" s="7" t="s">
        <v>18</v>
      </c>
      <c r="C85" s="17">
        <v>0.25</v>
      </c>
      <c r="D85" s="7">
        <v>27</v>
      </c>
      <c r="E85" s="1">
        <v>0.241609534438775</v>
      </c>
      <c r="F85" s="1">
        <v>40.7159377441046</v>
      </c>
      <c r="G85" s="1">
        <v>0.98719573081206402</v>
      </c>
      <c r="H85" s="1">
        <v>18.926452041306799</v>
      </c>
      <c r="I85" s="1">
        <v>43.898551006895801</v>
      </c>
      <c r="J85" s="1">
        <v>0.98999049092995095</v>
      </c>
      <c r="K85" s="8">
        <v>19.995872225603801</v>
      </c>
      <c r="L85" s="7">
        <v>23</v>
      </c>
      <c r="M85" s="1">
        <v>0.22072013180272099</v>
      </c>
      <c r="N85" s="1">
        <v>40.931949335236801</v>
      </c>
      <c r="O85" s="1">
        <v>0.98827388464239596</v>
      </c>
      <c r="P85" s="1">
        <v>19.308458376862401</v>
      </c>
      <c r="Q85" s="1">
        <v>44.178225949940298</v>
      </c>
      <c r="R85" s="1">
        <v>0.99029523938517905</v>
      </c>
      <c r="S85" s="8">
        <v>20.130151727892301</v>
      </c>
      <c r="T85" s="7"/>
      <c r="U85" s="1"/>
      <c r="V85" s="1"/>
      <c r="W85" s="8"/>
      <c r="X85" s="7"/>
      <c r="Y85" s="1"/>
      <c r="Z85" s="1"/>
      <c r="AA85" s="8"/>
      <c r="AB85" s="7">
        <v>16</v>
      </c>
      <c r="AC85" s="1">
        <v>7.9871651785714204E-2</v>
      </c>
      <c r="AD85" s="1">
        <v>38.258408261717697</v>
      </c>
      <c r="AE85" s="1">
        <v>0.97710357817709603</v>
      </c>
      <c r="AF85" s="1">
        <v>16.402323824630599</v>
      </c>
      <c r="AG85" s="1">
        <v>41.524608326455898</v>
      </c>
      <c r="AH85" s="1">
        <v>0.97952511558245203</v>
      </c>
      <c r="AI85" s="1">
        <v>16.887785411896601</v>
      </c>
      <c r="AJ85" s="1">
        <v>651.69461202621403</v>
      </c>
      <c r="AK85" s="1">
        <v>417.66411089897099</v>
      </c>
      <c r="AL85" s="7"/>
      <c r="AM85" s="1"/>
      <c r="AN85" s="1"/>
      <c r="AO85" s="8"/>
      <c r="AP85" s="1"/>
      <c r="AQ85" s="1"/>
      <c r="AR85" s="1"/>
      <c r="AS85" s="8"/>
      <c r="AT85" s="7">
        <v>0.16</v>
      </c>
      <c r="AU85" s="1">
        <v>0.121324404761904</v>
      </c>
      <c r="AV85" s="1">
        <v>38.247496108482302</v>
      </c>
      <c r="AW85" s="1">
        <v>0.98590356656899303</v>
      </c>
      <c r="AX85" s="1">
        <v>18.5089075522881</v>
      </c>
      <c r="AY85" s="1">
        <v>41.098167399996399</v>
      </c>
      <c r="AZ85" s="1">
        <v>0.98775559464683405</v>
      </c>
      <c r="BA85" s="1">
        <v>19.120623014424702</v>
      </c>
      <c r="BB85" s="1">
        <v>658.35115361213605</v>
      </c>
      <c r="BC85" s="1">
        <v>414.12831068038901</v>
      </c>
      <c r="BD85" s="7"/>
      <c r="BE85" s="1"/>
      <c r="BF85" s="1"/>
      <c r="BG85" s="8"/>
      <c r="BH85" s="1"/>
      <c r="BI85" s="1"/>
      <c r="BJ85" s="1"/>
      <c r="BK85" s="8"/>
    </row>
    <row r="86" spans="1:63">
      <c r="A86" s="49"/>
      <c r="B86" s="7" t="s">
        <v>18</v>
      </c>
      <c r="C86" s="17">
        <v>0.12</v>
      </c>
      <c r="D86" s="7">
        <v>33</v>
      </c>
      <c r="E86" s="1">
        <v>0.107431972789115</v>
      </c>
      <c r="F86" s="1">
        <v>38.6946171760775</v>
      </c>
      <c r="G86" s="1">
        <v>0.97803845748826401</v>
      </c>
      <c r="H86" s="1">
        <v>16.583371596313899</v>
      </c>
      <c r="I86" s="1">
        <v>41.796970551726602</v>
      </c>
      <c r="J86" s="1">
        <v>0.98236883236644401</v>
      </c>
      <c r="K86" s="8">
        <v>17.537189253627101</v>
      </c>
      <c r="L86" s="7">
        <v>28</v>
      </c>
      <c r="M86" s="1">
        <v>0.112205303996598</v>
      </c>
      <c r="N86" s="1">
        <v>39.432516538623602</v>
      </c>
      <c r="O86" s="1">
        <v>0.98257451716145305</v>
      </c>
      <c r="P86" s="1">
        <v>17.5881517930104</v>
      </c>
      <c r="Q86" s="1">
        <v>42.674077468300901</v>
      </c>
      <c r="R86" s="1">
        <v>0.98506082107329995</v>
      </c>
      <c r="S86" s="8">
        <v>18.256732711553202</v>
      </c>
      <c r="T86" s="7"/>
      <c r="U86" s="1"/>
      <c r="V86" s="1"/>
      <c r="W86" s="8"/>
      <c r="X86" s="7"/>
      <c r="Y86" s="1"/>
      <c r="Z86" s="1"/>
      <c r="AA86" s="8"/>
      <c r="AB86" s="7">
        <v>8</v>
      </c>
      <c r="AC86" s="1">
        <v>5.3186383928571397E-2</v>
      </c>
      <c r="AD86" s="1">
        <v>36.941879764355903</v>
      </c>
      <c r="AE86" s="1">
        <v>0.96851385445302696</v>
      </c>
      <c r="AF86" s="1">
        <v>15.01880501324</v>
      </c>
      <c r="AG86" s="1">
        <v>40.223982846328497</v>
      </c>
      <c r="AH86" s="1">
        <v>0.97119308447274</v>
      </c>
      <c r="AI86" s="1">
        <v>15.4050324089364</v>
      </c>
      <c r="AJ86" s="1">
        <v>465.46999120712201</v>
      </c>
      <c r="AK86" s="1">
        <v>354.278801441192</v>
      </c>
      <c r="AL86" s="7"/>
      <c r="AM86" s="1"/>
      <c r="AN86" s="1"/>
      <c r="AO86" s="8"/>
      <c r="AP86" s="1"/>
      <c r="AQ86" s="1"/>
      <c r="AR86" s="1"/>
      <c r="AS86" s="8"/>
      <c r="AT86" s="7">
        <v>0.08</v>
      </c>
      <c r="AU86" s="1">
        <v>8.2547565901360503E-2</v>
      </c>
      <c r="AV86" s="1">
        <v>35.611807571812797</v>
      </c>
      <c r="AW86" s="1">
        <v>0.981013492941197</v>
      </c>
      <c r="AX86" s="1">
        <v>17.215549249215801</v>
      </c>
      <c r="AY86" s="1">
        <v>38.249111271675801</v>
      </c>
      <c r="AZ86" s="1">
        <v>0.98350941823473104</v>
      </c>
      <c r="BA86" s="1">
        <v>17.827640227672799</v>
      </c>
      <c r="BB86" s="1">
        <v>437.79405641555701</v>
      </c>
      <c r="BC86" s="1">
        <v>337.46109676360999</v>
      </c>
      <c r="BD86" s="7"/>
      <c r="BE86" s="1"/>
      <c r="BF86" s="1"/>
      <c r="BG86" s="8"/>
      <c r="BH86" s="1"/>
      <c r="BI86" s="1"/>
      <c r="BJ86" s="1"/>
      <c r="BK86" s="8"/>
    </row>
    <row r="87" spans="1:63">
      <c r="A87" s="49"/>
      <c r="B87" s="7" t="s">
        <v>18</v>
      </c>
      <c r="C87" s="17">
        <v>0.06</v>
      </c>
      <c r="D87" s="7">
        <v>37</v>
      </c>
      <c r="E87" s="1">
        <v>5.9023703231292503E-2</v>
      </c>
      <c r="F87" s="1">
        <v>37.142686805916398</v>
      </c>
      <c r="G87" s="1">
        <v>0.96800806487978097</v>
      </c>
      <c r="H87" s="1">
        <v>14.949594896247</v>
      </c>
      <c r="I87" s="1">
        <v>40.217263173635601</v>
      </c>
      <c r="J87" s="1">
        <v>0.97301827325368195</v>
      </c>
      <c r="K87" s="8">
        <v>15.689302602830599</v>
      </c>
      <c r="L87" s="7">
        <v>33</v>
      </c>
      <c r="M87" s="1">
        <v>5.4196162840136002E-2</v>
      </c>
      <c r="N87" s="1">
        <v>37.619995243085498</v>
      </c>
      <c r="O87" s="1">
        <v>0.97232096949075997</v>
      </c>
      <c r="P87" s="1">
        <v>15.578491256264501</v>
      </c>
      <c r="Q87" s="1">
        <v>40.870672112832899</v>
      </c>
      <c r="R87" s="1">
        <v>0.97503236519856595</v>
      </c>
      <c r="S87" s="8">
        <v>16.0262259666898</v>
      </c>
      <c r="T87" s="7"/>
      <c r="U87" s="1"/>
      <c r="V87" s="1"/>
      <c r="W87" s="8"/>
      <c r="X87" s="7"/>
      <c r="Y87" s="1"/>
      <c r="Z87" s="1"/>
      <c r="AA87" s="8"/>
      <c r="AB87" s="7">
        <v>4</v>
      </c>
      <c r="AC87" s="1">
        <v>3.3827859268707398E-2</v>
      </c>
      <c r="AD87" s="1">
        <v>35.516586592906002</v>
      </c>
      <c r="AE87" s="1">
        <v>0.95570282767027004</v>
      </c>
      <c r="AF87" s="1">
        <v>13.536239956909199</v>
      </c>
      <c r="AG87" s="1">
        <v>38.807970463124498</v>
      </c>
      <c r="AH87" s="1">
        <v>0.95773875655024499</v>
      </c>
      <c r="AI87" s="1">
        <v>13.740577288780701</v>
      </c>
      <c r="AJ87" s="1">
        <v>426.37605905532803</v>
      </c>
      <c r="AK87" s="1">
        <v>322.84363722801203</v>
      </c>
      <c r="AL87" s="7"/>
      <c r="AM87" s="1"/>
      <c r="AN87" s="1"/>
      <c r="AO87" s="8"/>
      <c r="AP87" s="1"/>
      <c r="AQ87" s="1"/>
      <c r="AR87" s="1"/>
      <c r="AS87" s="8"/>
      <c r="AT87" s="7">
        <v>0.04</v>
      </c>
      <c r="AU87" s="1">
        <v>5.5012489370748298E-2</v>
      </c>
      <c r="AV87" s="1">
        <v>32.558401214581302</v>
      </c>
      <c r="AW87" s="1">
        <v>0.97427274668094699</v>
      </c>
      <c r="AX87" s="1">
        <v>15.8960657725848</v>
      </c>
      <c r="AY87" s="1">
        <v>35.498363371571998</v>
      </c>
      <c r="AZ87" s="1">
        <v>0.97727009604715798</v>
      </c>
      <c r="BA87" s="1">
        <v>16.4340239941973</v>
      </c>
      <c r="BB87" s="1">
        <v>473.14998340606599</v>
      </c>
      <c r="BC87" s="1">
        <v>368.08186650276099</v>
      </c>
      <c r="BD87" s="7"/>
      <c r="BE87" s="1"/>
      <c r="BF87" s="1"/>
      <c r="BG87" s="8"/>
      <c r="BH87" s="1"/>
      <c r="BI87" s="1"/>
      <c r="BJ87" s="1"/>
      <c r="BK87" s="8"/>
    </row>
    <row r="88" spans="1:63">
      <c r="A88" s="49"/>
      <c r="B88" s="7" t="s">
        <v>33</v>
      </c>
      <c r="C88" s="17">
        <v>1.5</v>
      </c>
      <c r="D88" s="7">
        <v>15</v>
      </c>
      <c r="E88" s="1">
        <v>1.4083196288977</v>
      </c>
      <c r="F88" s="1">
        <v>48.085388368556899</v>
      </c>
      <c r="G88" s="1">
        <v>0.99797794724574895</v>
      </c>
      <c r="H88" s="1">
        <v>26.942075180916</v>
      </c>
      <c r="I88" s="1">
        <v>51.3462297391224</v>
      </c>
      <c r="J88" s="1">
        <v>0.99896404127073102</v>
      </c>
      <c r="K88" s="8">
        <v>29.8465754575695</v>
      </c>
      <c r="L88" s="7">
        <v>12</v>
      </c>
      <c r="M88" s="1">
        <v>1.3918515613843501</v>
      </c>
      <c r="N88" s="1">
        <v>48.272545343707499</v>
      </c>
      <c r="O88" s="1">
        <v>0.99820405516103095</v>
      </c>
      <c r="P88" s="1">
        <v>27.457070064768399</v>
      </c>
      <c r="Q88" s="1">
        <v>51.613012201747999</v>
      </c>
      <c r="R88" s="1">
        <v>0.99905309773920103</v>
      </c>
      <c r="S88" s="8">
        <v>30.236948465370599</v>
      </c>
      <c r="T88" s="13">
        <f>bdrate(E88:E91,F88:F91,M88:M91,N88:N91)</f>
        <v>-0.15773394493780934</v>
      </c>
      <c r="U88" s="12">
        <f>bdrate(E88:E91,H88:H91,M88:M91,P88:P91)</f>
        <v>-0.190917698592726</v>
      </c>
      <c r="V88" s="12">
        <f>bdrate(E88:E91,I88:I91,M88:M91,Q88:Q91)</f>
        <v>-0.16259511971784824</v>
      </c>
      <c r="W88" s="14">
        <f>bdrate(E88:E91,K88:K91,M88:M91,S88:S91)</f>
        <v>-0.12731364917745269</v>
      </c>
      <c r="X88" s="13">
        <f>bdrate(E90:E93,F90:F93,M90:M93,N90:N93)</f>
        <v>-0.2973689078224353</v>
      </c>
      <c r="Y88" s="12">
        <f>bdrate(E90:E93,H90:H93,M90:M93,P90:P93)</f>
        <v>-0.30158042174410493</v>
      </c>
      <c r="Z88" s="12">
        <f>bdrate(E90:E93,I90:I93,M90:M93,Q90:Q93)</f>
        <v>-0.31271411182825015</v>
      </c>
      <c r="AA88" s="14">
        <f>bdrate(E90:E93,K90:K93,M90:M93,S90:S93)</f>
        <v>-0.23367431736174915</v>
      </c>
      <c r="AB88" s="7"/>
      <c r="AC88" s="1"/>
      <c r="AD88" s="1"/>
      <c r="AE88" s="1"/>
      <c r="AF88" s="1"/>
      <c r="AG88" s="1"/>
      <c r="AH88" s="1"/>
      <c r="AI88" s="1"/>
      <c r="AJ88" s="1"/>
      <c r="AK88" s="1"/>
      <c r="AL88" s="13" t="e">
        <f>bdrate(E88:E91,F88:F91,AC88:AC91,AD88:AD91)</f>
        <v>#VALUE!</v>
      </c>
      <c r="AM88" s="12" t="e">
        <f>bdrate(E88:E91,H88:H91,AC88:AC91,AF88:AF91)</f>
        <v>#VALUE!</v>
      </c>
      <c r="AN88" s="12" t="e">
        <f>bdrate(E88:E91,I88:I91,AC88:AC91,AG88:AG91)</f>
        <v>#VALUE!</v>
      </c>
      <c r="AO88" s="14" t="e">
        <f>bdrate(E88:E91,K88:K91,AC88:AC91,AI88:AI91)</f>
        <v>#VALUE!</v>
      </c>
      <c r="AP88" s="12">
        <f>bdrate(E90:E93,F90:F93,AC90:AC93,AD90:AD93)</f>
        <v>-0.13503987093277725</v>
      </c>
      <c r="AQ88" s="12">
        <f>bdrate(E90:E93,H90:H93,AC90:AC93,AF90:AF93)</f>
        <v>-0.24127165849237331</v>
      </c>
      <c r="AR88" s="12">
        <f>bdrate(E90:E93,I90:I93,AC90:AC93,AG90:AG93)</f>
        <v>-0.17616991971059826</v>
      </c>
      <c r="AS88" s="14">
        <f>bdrate(E90:E93,K90:K93,AC90:AC93,AI90:AI93)</f>
        <v>-0.13155910887423616</v>
      </c>
      <c r="AT88" s="7"/>
      <c r="AU88" s="1"/>
      <c r="AV88" s="1"/>
      <c r="AW88" s="1"/>
      <c r="AX88" s="1"/>
      <c r="AY88" s="1"/>
      <c r="AZ88" s="1"/>
      <c r="BA88" s="1"/>
      <c r="BB88" s="1"/>
      <c r="BC88" s="1"/>
      <c r="BD88" s="13" t="e">
        <f>bdrate(E88:E91,F88:F91,AU88:AU91,AV88:AV91)</f>
        <v>#VALUE!</v>
      </c>
      <c r="BE88" s="12" t="e">
        <f>bdrate(E88:E91,H88:H91,AU88:AU91,AX88:AX91)</f>
        <v>#VALUE!</v>
      </c>
      <c r="BF88" s="12" t="e">
        <f>bdrate(E88:E91,I88:I91,AU88:AU91,AY88:AY91)</f>
        <v>#VALUE!</v>
      </c>
      <c r="BG88" s="14" t="e">
        <f>bdrate(E88:E91,K88:K91,AU88:AU91,BA88:BA91)</f>
        <v>#VALUE!</v>
      </c>
      <c r="BH88" s="12">
        <f>bdrate(E90:E93,F90:F93,AU90:AU93,AV90:AV93)</f>
        <v>0.74537462639074814</v>
      </c>
      <c r="BI88" s="12">
        <f>bdrate(E90:E93,H90:H93,AU90:AU93,AX90:AX93)</f>
        <v>-0.51167811257012252</v>
      </c>
      <c r="BJ88" s="12">
        <f>bdrate(E90:E93,I90:I93,AU90:AU93,AY90:AY93)</f>
        <v>0.71313460979144638</v>
      </c>
      <c r="BK88" s="14">
        <f>bdrate(E90:E93,K90:K93,AU90:AU93,BA90:BA93)</f>
        <v>-0.45119564566266657</v>
      </c>
    </row>
    <row r="89" spans="1:63">
      <c r="A89" s="49"/>
      <c r="B89" s="7" t="s">
        <v>18</v>
      </c>
      <c r="C89" s="17">
        <v>1</v>
      </c>
      <c r="D89" s="7">
        <v>18</v>
      </c>
      <c r="E89" s="1">
        <v>0.97379458548112896</v>
      </c>
      <c r="F89" s="1">
        <v>46.414859502565101</v>
      </c>
      <c r="G89" s="1">
        <v>0.99706941886121803</v>
      </c>
      <c r="H89" s="1">
        <v>25.330462498370199</v>
      </c>
      <c r="I89" s="1">
        <v>49.5195169440507</v>
      </c>
      <c r="J89" s="1">
        <v>0.99816804360065503</v>
      </c>
      <c r="K89" s="8">
        <v>27.370848667758398</v>
      </c>
      <c r="L89" s="7">
        <v>16</v>
      </c>
      <c r="M89" s="1">
        <v>0.87819491853346399</v>
      </c>
      <c r="N89" s="1">
        <v>46.437063858544398</v>
      </c>
      <c r="O89" s="1">
        <v>0.99724389032080696</v>
      </c>
      <c r="P89" s="1">
        <v>25.597035037019499</v>
      </c>
      <c r="Q89" s="1">
        <v>49.565266309313799</v>
      </c>
      <c r="R89" s="1">
        <v>0.99817303267705504</v>
      </c>
      <c r="S89" s="8">
        <v>27.382692203496902</v>
      </c>
      <c r="T89" s="7"/>
      <c r="U89" s="1"/>
      <c r="V89" s="1"/>
      <c r="W89" s="8"/>
      <c r="X89" s="7"/>
      <c r="Y89" s="1"/>
      <c r="Z89" s="1"/>
      <c r="AA89" s="8"/>
      <c r="AB89" s="7">
        <v>64</v>
      </c>
      <c r="AC89" s="1">
        <v>0.22760447616810101</v>
      </c>
      <c r="AD89" s="1">
        <v>41.466166228374902</v>
      </c>
      <c r="AE89" s="1">
        <v>0.99257863196108498</v>
      </c>
      <c r="AF89" s="1">
        <v>21.295160304368899</v>
      </c>
      <c r="AG89" s="1">
        <v>44.602952586784198</v>
      </c>
      <c r="AH89" s="1">
        <v>0.99373158719605703</v>
      </c>
      <c r="AI89" s="1">
        <v>22.028424109636699</v>
      </c>
      <c r="AJ89" s="1">
        <v>961.93731522560097</v>
      </c>
      <c r="AK89" s="1">
        <v>387.83199357986399</v>
      </c>
      <c r="AL89" s="7"/>
      <c r="AM89" s="1"/>
      <c r="AN89" s="1"/>
      <c r="AO89" s="8"/>
      <c r="AP89" s="1"/>
      <c r="AQ89" s="1"/>
      <c r="AR89" s="1"/>
      <c r="AS89" s="8"/>
      <c r="AT89" s="7">
        <v>0.64</v>
      </c>
      <c r="AU89" s="1">
        <v>0.261008750109405</v>
      </c>
      <c r="AV89" s="1">
        <v>38.125617915322103</v>
      </c>
      <c r="AW89" s="1">
        <v>0.99564798405157895</v>
      </c>
      <c r="AX89" s="1">
        <v>23.613095217891399</v>
      </c>
      <c r="AY89" s="1">
        <v>41.417185845464203</v>
      </c>
      <c r="AZ89" s="1">
        <v>0.99630998828598505</v>
      </c>
      <c r="BA89" s="1">
        <v>24.3297225516244</v>
      </c>
      <c r="BB89" s="1">
        <v>489.69204378128001</v>
      </c>
      <c r="BC89" s="1">
        <v>323.64282369613602</v>
      </c>
      <c r="BD89" s="7"/>
      <c r="BE89" s="1"/>
      <c r="BF89" s="1"/>
      <c r="BG89" s="8"/>
      <c r="BH89" s="1"/>
      <c r="BI89" s="1"/>
      <c r="BJ89" s="1"/>
      <c r="BK89" s="8"/>
    </row>
    <row r="90" spans="1:63">
      <c r="A90" s="49"/>
      <c r="B90" s="7" t="s">
        <v>18</v>
      </c>
      <c r="C90" s="17">
        <v>0.5</v>
      </c>
      <c r="D90" s="7">
        <v>23</v>
      </c>
      <c r="E90" s="1">
        <v>0.47904948798385799</v>
      </c>
      <c r="F90" s="1">
        <v>43.674697431172802</v>
      </c>
      <c r="G90" s="1">
        <v>0.99456211995118504</v>
      </c>
      <c r="H90" s="1">
        <v>22.645703765043699</v>
      </c>
      <c r="I90" s="1">
        <v>46.732030427785901</v>
      </c>
      <c r="J90" s="1">
        <v>0.99600927997317101</v>
      </c>
      <c r="K90" s="8">
        <v>23.989487395345201</v>
      </c>
      <c r="L90" s="7">
        <v>20</v>
      </c>
      <c r="M90" s="1">
        <v>0.47232078283421502</v>
      </c>
      <c r="N90" s="1">
        <v>44.3759596927977</v>
      </c>
      <c r="O90" s="1">
        <v>0.99543446887511799</v>
      </c>
      <c r="P90" s="1">
        <v>23.405086921301699</v>
      </c>
      <c r="Q90" s="1">
        <v>47.468001194628499</v>
      </c>
      <c r="R90" s="1">
        <v>0.99651860449106799</v>
      </c>
      <c r="S90" s="8">
        <v>24.5824663526523</v>
      </c>
      <c r="T90" s="7"/>
      <c r="U90" s="1"/>
      <c r="V90" s="1"/>
      <c r="W90" s="8"/>
      <c r="X90" s="7"/>
      <c r="Y90" s="1"/>
      <c r="Z90" s="1"/>
      <c r="AA90" s="8"/>
      <c r="AB90" s="7">
        <v>32</v>
      </c>
      <c r="AC90" s="1">
        <v>0.17044200835625001</v>
      </c>
      <c r="AD90" s="1">
        <v>40.1157789987112</v>
      </c>
      <c r="AE90" s="1">
        <v>0.99025054980027505</v>
      </c>
      <c r="AF90" s="1">
        <v>20.110198747587301</v>
      </c>
      <c r="AG90" s="1">
        <v>43.297294308410201</v>
      </c>
      <c r="AH90" s="1">
        <v>0.99169396130228804</v>
      </c>
      <c r="AI90" s="1">
        <v>20.806060498498699</v>
      </c>
      <c r="AJ90" s="1">
        <v>1371.68072271347</v>
      </c>
      <c r="AK90" s="1">
        <v>681.57561230659405</v>
      </c>
      <c r="AL90" s="7"/>
      <c r="AM90" s="1"/>
      <c r="AN90" s="1"/>
      <c r="AO90" s="8"/>
      <c r="AP90" s="1"/>
      <c r="AQ90" s="1"/>
      <c r="AR90" s="1"/>
      <c r="AS90" s="8"/>
      <c r="AT90" s="7">
        <v>0.32</v>
      </c>
      <c r="AU90" s="1">
        <v>0.179560064583592</v>
      </c>
      <c r="AV90" s="1">
        <v>36.786210889359602</v>
      </c>
      <c r="AW90" s="1">
        <v>0.99371926061702098</v>
      </c>
      <c r="AX90" s="1">
        <v>22.0198922711538</v>
      </c>
      <c r="AY90" s="1">
        <v>40.033969766876098</v>
      </c>
      <c r="AZ90" s="1">
        <v>0.99463477777462705</v>
      </c>
      <c r="BA90" s="1">
        <v>22.7041228502063</v>
      </c>
      <c r="BB90" s="1">
        <v>382.62062835693303</v>
      </c>
      <c r="BC90" s="1">
        <v>236.16693282127301</v>
      </c>
      <c r="BD90" s="7"/>
      <c r="BE90" s="1"/>
      <c r="BF90" s="1"/>
      <c r="BG90" s="8"/>
      <c r="BH90" s="1"/>
      <c r="BI90" s="1"/>
      <c r="BJ90" s="1"/>
      <c r="BK90" s="8"/>
    </row>
    <row r="91" spans="1:63">
      <c r="A91" s="49"/>
      <c r="B91" s="7" t="s">
        <v>18</v>
      </c>
      <c r="C91" s="17">
        <v>0.25</v>
      </c>
      <c r="D91" s="7">
        <v>29</v>
      </c>
      <c r="E91" s="1">
        <v>0.24038904474325401</v>
      </c>
      <c r="F91" s="1">
        <v>40.859317272776103</v>
      </c>
      <c r="G91" s="1">
        <v>0.99012655394010096</v>
      </c>
      <c r="H91" s="1">
        <v>20.055312421030699</v>
      </c>
      <c r="I91" s="1">
        <v>43.9168638392457</v>
      </c>
      <c r="J91" s="1">
        <v>0.99251470916072504</v>
      </c>
      <c r="K91" s="8">
        <v>21.2579132057968</v>
      </c>
      <c r="L91" s="7">
        <v>26</v>
      </c>
      <c r="M91" s="1">
        <v>0.22916954574978199</v>
      </c>
      <c r="N91" s="1">
        <v>41.954881362960499</v>
      </c>
      <c r="O91" s="1">
        <v>0.99223996877309195</v>
      </c>
      <c r="P91" s="1">
        <v>21.1013653110695</v>
      </c>
      <c r="Q91" s="1">
        <v>45.085133372874701</v>
      </c>
      <c r="R91" s="1">
        <v>0.99373201108668996</v>
      </c>
      <c r="S91" s="8">
        <v>22.0287178037396</v>
      </c>
      <c r="T91" s="7"/>
      <c r="U91" s="1"/>
      <c r="V91" s="1"/>
      <c r="W91" s="8"/>
      <c r="X91" s="7"/>
      <c r="Y91" s="1"/>
      <c r="Z91" s="1"/>
      <c r="AA91" s="8"/>
      <c r="AB91" s="7">
        <v>16</v>
      </c>
      <c r="AC91" s="1">
        <v>0.12307878783690999</v>
      </c>
      <c r="AD91" s="1">
        <v>38.548858313357101</v>
      </c>
      <c r="AE91" s="1">
        <v>0.98596758609065305</v>
      </c>
      <c r="AF91" s="1">
        <v>18.5286761355229</v>
      </c>
      <c r="AG91" s="1">
        <v>41.801830051633203</v>
      </c>
      <c r="AH91" s="1">
        <v>0.98769221743496005</v>
      </c>
      <c r="AI91" s="1">
        <v>19.098201848033298</v>
      </c>
      <c r="AJ91" s="1">
        <v>770.70724105834904</v>
      </c>
      <c r="AK91" s="1">
        <v>401.36564302444401</v>
      </c>
      <c r="AL91" s="7"/>
      <c r="AM91" s="1"/>
      <c r="AN91" s="1"/>
      <c r="AO91" s="8"/>
      <c r="AP91" s="1"/>
      <c r="AQ91" s="1"/>
      <c r="AR91" s="1"/>
      <c r="AS91" s="8"/>
      <c r="AT91" s="7">
        <v>0.16</v>
      </c>
      <c r="AU91" s="1">
        <v>0.12680144230547699</v>
      </c>
      <c r="AV91" s="1">
        <v>35.220065848970997</v>
      </c>
      <c r="AW91" s="1">
        <v>0.99094693812012302</v>
      </c>
      <c r="AX91" s="1">
        <v>20.432045111110799</v>
      </c>
      <c r="AY91" s="1">
        <v>38.3305729105723</v>
      </c>
      <c r="AZ91" s="1">
        <v>0.99228022355735901</v>
      </c>
      <c r="BA91" s="1">
        <v>21.123952762359199</v>
      </c>
      <c r="BB91" s="1">
        <v>778.49941253662098</v>
      </c>
      <c r="BC91" s="1">
        <v>432.60514903068503</v>
      </c>
      <c r="BD91" s="7"/>
      <c r="BE91" s="1"/>
      <c r="BF91" s="1"/>
      <c r="BG91" s="8"/>
      <c r="BH91" s="1"/>
      <c r="BI91" s="1"/>
      <c r="BJ91" s="1"/>
      <c r="BK91" s="8"/>
    </row>
    <row r="92" spans="1:63">
      <c r="A92" s="49"/>
      <c r="B92" s="7" t="s">
        <v>18</v>
      </c>
      <c r="C92" s="17">
        <v>0.12</v>
      </c>
      <c r="D92" s="7">
        <v>36</v>
      </c>
      <c r="E92" s="1">
        <v>0.111032416172616</v>
      </c>
      <c r="F92" s="1">
        <v>37.262128577649896</v>
      </c>
      <c r="G92" s="1">
        <v>0.97890154820396902</v>
      </c>
      <c r="H92" s="1">
        <v>16.757494120534702</v>
      </c>
      <c r="I92" s="1">
        <v>40.299040304960698</v>
      </c>
      <c r="J92" s="1">
        <v>0.98356375032695897</v>
      </c>
      <c r="K92" s="8">
        <v>17.8419727025755</v>
      </c>
      <c r="L92" s="7">
        <v>32</v>
      </c>
      <c r="M92" s="1">
        <v>0.11772282951682</v>
      </c>
      <c r="N92" s="1">
        <v>39.339487455661803</v>
      </c>
      <c r="O92" s="1">
        <v>0.98644971758023603</v>
      </c>
      <c r="P92" s="1">
        <v>18.6805165297652</v>
      </c>
      <c r="Q92" s="1">
        <v>42.495475649028997</v>
      </c>
      <c r="R92" s="1">
        <v>0.98858543622751405</v>
      </c>
      <c r="S92" s="8">
        <v>19.425406811796599</v>
      </c>
      <c r="T92" s="7"/>
      <c r="U92" s="1"/>
      <c r="V92" s="1"/>
      <c r="W92" s="8"/>
      <c r="X92" s="7"/>
      <c r="Y92" s="1"/>
      <c r="Z92" s="1"/>
      <c r="AA92" s="8"/>
      <c r="AB92" s="7">
        <v>8</v>
      </c>
      <c r="AC92" s="1">
        <v>9.2304556321775505E-2</v>
      </c>
      <c r="AD92" s="1">
        <v>37.025494867379003</v>
      </c>
      <c r="AE92" s="1">
        <v>0.98073821274717798</v>
      </c>
      <c r="AF92" s="1">
        <v>17.1530341824852</v>
      </c>
      <c r="AG92" s="1">
        <v>40.320231824643699</v>
      </c>
      <c r="AH92" s="1">
        <v>0.98254801769423805</v>
      </c>
      <c r="AI92" s="1">
        <v>17.581552360080298</v>
      </c>
      <c r="AJ92" s="1">
        <v>456.23483371734602</v>
      </c>
      <c r="AK92" s="1">
        <v>328.28911399841297</v>
      </c>
      <c r="AL92" s="7"/>
      <c r="AM92" s="1"/>
      <c r="AN92" s="1"/>
      <c r="AO92" s="8"/>
      <c r="AP92" s="1"/>
      <c r="AQ92" s="1"/>
      <c r="AR92" s="1"/>
      <c r="AS92" s="8"/>
      <c r="AT92" s="7">
        <v>0.08</v>
      </c>
      <c r="AU92" s="1">
        <v>9.2682579934863604E-2</v>
      </c>
      <c r="AV92" s="1">
        <v>33.879863570801199</v>
      </c>
      <c r="AW92" s="1">
        <v>0.98725249797497405</v>
      </c>
      <c r="AX92" s="1">
        <v>18.9457491036991</v>
      </c>
      <c r="AY92" s="1">
        <v>36.867373606988103</v>
      </c>
      <c r="AZ92" s="1">
        <v>0.989218356314292</v>
      </c>
      <c r="BA92" s="1">
        <v>19.673150249362301</v>
      </c>
      <c r="BB92" s="1">
        <v>441.68772578239401</v>
      </c>
      <c r="BC92" s="1">
        <v>325.313822031021</v>
      </c>
      <c r="BD92" s="7"/>
      <c r="BE92" s="1"/>
      <c r="BF92" s="1"/>
      <c r="BG92" s="8"/>
      <c r="BH92" s="1"/>
      <c r="BI92" s="1"/>
      <c r="BJ92" s="1"/>
      <c r="BK92" s="8"/>
    </row>
    <row r="93" spans="1:63">
      <c r="A93" s="49"/>
      <c r="B93" s="7" t="s">
        <v>18</v>
      </c>
      <c r="C93" s="17">
        <v>0.06</v>
      </c>
      <c r="D93" s="7">
        <v>42</v>
      </c>
      <c r="E93" s="1">
        <v>5.52424072820073E-2</v>
      </c>
      <c r="F93" s="1">
        <v>33.892879630095202</v>
      </c>
      <c r="G93" s="1">
        <v>0.95705579939492902</v>
      </c>
      <c r="H93" s="1">
        <v>13.6709547712433</v>
      </c>
      <c r="I93" s="1">
        <v>36.916874136400899</v>
      </c>
      <c r="J93" s="1">
        <v>0.96467095829111205</v>
      </c>
      <c r="K93" s="8">
        <v>14.518681425307999</v>
      </c>
      <c r="L93" s="7">
        <v>38</v>
      </c>
      <c r="M93" s="1">
        <v>5.9479841811657198E-2</v>
      </c>
      <c r="N93" s="1">
        <v>36.2721404031238</v>
      </c>
      <c r="O93" s="1">
        <v>0.97361934129377303</v>
      </c>
      <c r="P93" s="1">
        <v>15.787143646309</v>
      </c>
      <c r="Q93" s="1">
        <v>39.431888953686602</v>
      </c>
      <c r="R93" s="1">
        <v>0.97670800489597198</v>
      </c>
      <c r="S93" s="8">
        <v>16.327933098526099</v>
      </c>
      <c r="T93" s="7"/>
      <c r="U93" s="1"/>
      <c r="V93" s="1"/>
      <c r="W93" s="8"/>
      <c r="X93" s="7"/>
      <c r="Y93" s="1"/>
      <c r="Z93" s="1"/>
      <c r="AA93" s="8"/>
      <c r="AB93" s="7">
        <v>4</v>
      </c>
      <c r="AC93" s="1">
        <v>6.6562386276216898E-2</v>
      </c>
      <c r="AD93" s="1">
        <v>35.254799241708199</v>
      </c>
      <c r="AE93" s="1">
        <v>0.969866368779707</v>
      </c>
      <c r="AF93" s="1">
        <v>15.2094853099132</v>
      </c>
      <c r="AG93" s="1">
        <v>38.600558911678</v>
      </c>
      <c r="AH93" s="1">
        <v>0.97217492170660802</v>
      </c>
      <c r="AI93" s="1">
        <v>15.5556360498642</v>
      </c>
      <c r="AJ93" s="1">
        <v>421.29002976417502</v>
      </c>
      <c r="AK93" s="1">
        <v>309.28831028938203</v>
      </c>
      <c r="AL93" s="7"/>
      <c r="AM93" s="1"/>
      <c r="AN93" s="1"/>
      <c r="AO93" s="8"/>
      <c r="AP93" s="1"/>
      <c r="AQ93" s="1"/>
      <c r="AR93" s="1"/>
      <c r="AS93" s="8"/>
      <c r="AT93" s="7">
        <v>0.04</v>
      </c>
      <c r="AU93" s="1">
        <v>6.8162580671908904E-2</v>
      </c>
      <c r="AV93" s="1">
        <v>32.434343372593503</v>
      </c>
      <c r="AW93" s="1">
        <v>0.98214180896360403</v>
      </c>
      <c r="AX93" s="1">
        <v>17.481625355202599</v>
      </c>
      <c r="AY93" s="1">
        <v>35.330346533637702</v>
      </c>
      <c r="AZ93" s="1">
        <v>0.98485981938852096</v>
      </c>
      <c r="BA93" s="1">
        <v>18.198689439838599</v>
      </c>
      <c r="BB93" s="1">
        <v>456.93706321716297</v>
      </c>
      <c r="BC93" s="1">
        <v>341.04092979431101</v>
      </c>
      <c r="BD93" s="7"/>
      <c r="BE93" s="1"/>
      <c r="BF93" s="1"/>
      <c r="BG93" s="8"/>
      <c r="BH93" s="1"/>
      <c r="BI93" s="1"/>
      <c r="BJ93" s="1"/>
      <c r="BK93" s="8"/>
    </row>
    <row r="94" spans="1:63">
      <c r="A94" s="49"/>
      <c r="B94" s="7" t="s">
        <v>34</v>
      </c>
      <c r="C94" s="17">
        <v>1.5</v>
      </c>
      <c r="D94" s="7">
        <v>21</v>
      </c>
      <c r="E94" s="1">
        <v>1.4259719072814301</v>
      </c>
      <c r="F94" s="1">
        <v>42.646399687490998</v>
      </c>
      <c r="G94" s="1">
        <v>0.99530240289570104</v>
      </c>
      <c r="H94" s="1">
        <v>23.281242338085999</v>
      </c>
      <c r="I94" s="1">
        <v>45.737492228751002</v>
      </c>
      <c r="J94" s="1">
        <v>0.99702712016232597</v>
      </c>
      <c r="K94" s="8">
        <v>25.2682264440752</v>
      </c>
      <c r="L94" s="7">
        <v>19</v>
      </c>
      <c r="M94" s="1">
        <v>1.3181248425295999</v>
      </c>
      <c r="N94" s="1">
        <v>42.957703014480998</v>
      </c>
      <c r="O94" s="1">
        <v>0.99558940072936197</v>
      </c>
      <c r="P94" s="1">
        <v>23.5550239868418</v>
      </c>
      <c r="Q94" s="1">
        <v>46.128587392922299</v>
      </c>
      <c r="R94" s="1">
        <v>0.99719742736819605</v>
      </c>
      <c r="S94" s="8">
        <v>25.5244312336002</v>
      </c>
      <c r="T94" s="13">
        <f>bdrate(E94:E97,F94:F97,M94:M97,N94:N97)</f>
        <v>-0.17873748642647136</v>
      </c>
      <c r="U94" s="12">
        <f>bdrate(E94:E97,H94:H97,M94:M97,P94:P97)</f>
        <v>-0.16003548008434965</v>
      </c>
      <c r="V94" s="12">
        <f>bdrate(E94:E97,I94:I97,M94:M97,Q94:Q97)</f>
        <v>-0.19049103854346161</v>
      </c>
      <c r="W94" s="14">
        <f>bdrate(E94:E97,K94:K97,M94:M97,S94:S97)</f>
        <v>-0.1436699542844081</v>
      </c>
      <c r="X94" s="13">
        <f>bdrate(E96:E99,F96:F99,M96:M99,N96:N99)</f>
        <v>-0.27012279048528098</v>
      </c>
      <c r="Y94" s="12">
        <f>bdrate(E96:E99,H96:H99,M96:M99,P96:P99)</f>
        <v>-0.23369446041586117</v>
      </c>
      <c r="Z94" s="12">
        <f>bdrate(E96:E99,I96:I99,M96:M99,Q96:Q99)</f>
        <v>-0.28044830382989971</v>
      </c>
      <c r="AA94" s="14">
        <f>bdrate(E96:E99,K96:K99,M96:M99,S96:S99)</f>
        <v>-0.19656951744871975</v>
      </c>
      <c r="AB94" s="7"/>
      <c r="AC94" s="1"/>
      <c r="AD94" s="1"/>
      <c r="AE94" s="1"/>
      <c r="AF94" s="1"/>
      <c r="AG94" s="1"/>
      <c r="AH94" s="1"/>
      <c r="AI94" s="1"/>
      <c r="AJ94" s="1"/>
      <c r="AK94" s="1"/>
      <c r="AL94" s="13" t="e">
        <f>bdrate(E94:E97,F94:F97,AC94:AC97,AD94:AD97)</f>
        <v>#VALUE!</v>
      </c>
      <c r="AM94" s="12" t="e">
        <f>bdrate(E94:E97,H94:H97,AC94:AC97,AF94:AF97)</f>
        <v>#VALUE!</v>
      </c>
      <c r="AN94" s="12" t="e">
        <f>bdrate(E94:E97,I94:I97,AC94:AC97,AG94:AG97)</f>
        <v>#VALUE!</v>
      </c>
      <c r="AO94" s="14" t="e">
        <f>bdrate(E94:E97,K94:K97,AC94:AC97,AI94:AI97)</f>
        <v>#VALUE!</v>
      </c>
      <c r="AP94" s="12">
        <f>bdrate(E96:E99,F96:F99,AC96:AC99,AD96:AD99)</f>
        <v>-0.23348122589444242</v>
      </c>
      <c r="AQ94" s="12">
        <f>bdrate(E96:E99,H96:H99,AC96:AC99,AF96:AF99)</f>
        <v>-0.22701082484622637</v>
      </c>
      <c r="AR94" s="12">
        <f>bdrate(E96:E99,I96:I99,AC96:AC99,AG96:AG99)</f>
        <v>-0.24471555518934573</v>
      </c>
      <c r="AS94" s="14">
        <f>bdrate(E96:E99,K96:K99,AC96:AC99,AI96:AI99)</f>
        <v>-0.15116920112457088</v>
      </c>
      <c r="AT94" s="7"/>
      <c r="AU94" s="1"/>
      <c r="AV94" s="1"/>
      <c r="AW94" s="1"/>
      <c r="AX94" s="1"/>
      <c r="AY94" s="1"/>
      <c r="AZ94" s="1"/>
      <c r="BA94" s="1"/>
      <c r="BB94" s="1"/>
      <c r="BC94" s="1"/>
      <c r="BD94" s="13" t="e">
        <f>bdrate(E94:E97,F94:F97,AU94:AU97,AV94:AV97)</f>
        <v>#VALUE!</v>
      </c>
      <c r="BE94" s="12" t="e">
        <f>bdrate(E94:E97,H94:H97,AU94:AU97,AX94:AX97)</f>
        <v>#VALUE!</v>
      </c>
      <c r="BF94" s="12" t="e">
        <f>bdrate(E94:E97,I94:I97,AU94:AU97,AY94:AY97)</f>
        <v>#VALUE!</v>
      </c>
      <c r="BG94" s="14" t="e">
        <f>bdrate(E94:E97,K94:K97,AU94:AU97,BA94:BA97)</f>
        <v>#VALUE!</v>
      </c>
      <c r="BH94" s="12">
        <f>bdrate(E96:E99,F96:F99,AU96:AU99,AV96:AV99)</f>
        <v>0.16874297187824339</v>
      </c>
      <c r="BI94" s="12">
        <f>bdrate(E96:E99,H96:H99,AU96:AU99,AX96:AX99)</f>
        <v>-0.47836804526710508</v>
      </c>
      <c r="BJ94" s="12">
        <f>bdrate(E96:E99,I96:I99,AU96:AU99,AY96:AY99)</f>
        <v>0.2551535989511533</v>
      </c>
      <c r="BK94" s="14">
        <f>bdrate(E96:E99,K96:K99,AU96:AU99,BA96:BA99)</f>
        <v>-0.45146134215418554</v>
      </c>
    </row>
    <row r="95" spans="1:63">
      <c r="A95" s="49"/>
      <c r="B95" s="7" t="s">
        <v>18</v>
      </c>
      <c r="C95" s="17">
        <v>1</v>
      </c>
      <c r="D95" s="7">
        <v>24</v>
      </c>
      <c r="E95" s="1">
        <v>0.908238221214411</v>
      </c>
      <c r="F95" s="1">
        <v>40.442776169143599</v>
      </c>
      <c r="G95" s="1">
        <v>0.99190694916409705</v>
      </c>
      <c r="H95" s="1">
        <v>20.918877316100701</v>
      </c>
      <c r="I95" s="1">
        <v>43.512575733874797</v>
      </c>
      <c r="J95" s="1">
        <v>0.99419527849998302</v>
      </c>
      <c r="K95" s="8">
        <v>22.362186120852101</v>
      </c>
      <c r="L95" s="7">
        <v>22</v>
      </c>
      <c r="M95" s="1">
        <v>0.862820609725371</v>
      </c>
      <c r="N95" s="1">
        <v>40.905143574436899</v>
      </c>
      <c r="O95" s="1">
        <v>0.99267623200225796</v>
      </c>
      <c r="P95" s="1">
        <v>21.352654217292201</v>
      </c>
      <c r="Q95" s="1">
        <v>44.032080995660202</v>
      </c>
      <c r="R95" s="1">
        <v>0.99477884423089302</v>
      </c>
      <c r="S95" s="8">
        <v>22.822333497591799</v>
      </c>
      <c r="T95" s="7"/>
      <c r="U95" s="1"/>
      <c r="V95" s="1"/>
      <c r="W95" s="8"/>
      <c r="X95" s="7"/>
      <c r="Y95" s="1"/>
      <c r="Z95" s="1"/>
      <c r="AA95" s="8"/>
      <c r="AB95" s="7">
        <v>64</v>
      </c>
      <c r="AC95" s="1">
        <v>0.37601662887377102</v>
      </c>
      <c r="AD95" s="1">
        <v>38.051912930801997</v>
      </c>
      <c r="AE95" s="1">
        <v>0.98516993998075997</v>
      </c>
      <c r="AF95" s="1">
        <v>18.288570913201099</v>
      </c>
      <c r="AG95" s="1">
        <v>41.136072426728397</v>
      </c>
      <c r="AH95" s="1">
        <v>0.988117723752032</v>
      </c>
      <c r="AI95" s="1">
        <v>19.251003550418702</v>
      </c>
      <c r="AJ95" s="1">
        <v>485.74477601051302</v>
      </c>
      <c r="AK95" s="1">
        <v>306.36549758911099</v>
      </c>
      <c r="AL95" s="7"/>
      <c r="AM95" s="1"/>
      <c r="AN95" s="1"/>
      <c r="AO95" s="8"/>
      <c r="AP95" s="1"/>
      <c r="AQ95" s="1"/>
      <c r="AR95" s="1"/>
      <c r="AS95" s="8"/>
      <c r="AT95" s="7">
        <v>0.64</v>
      </c>
      <c r="AU95" s="1">
        <v>0.509708679768203</v>
      </c>
      <c r="AV95" s="1">
        <v>37.343415414675</v>
      </c>
      <c r="AW95" s="1">
        <v>0.99291043060616302</v>
      </c>
      <c r="AX95" s="1">
        <v>21.4938014218787</v>
      </c>
      <c r="AY95" s="1">
        <v>40.192751486706797</v>
      </c>
      <c r="AZ95" s="1">
        <v>0.99444679227217903</v>
      </c>
      <c r="BA95" s="1">
        <v>22.554560806497701</v>
      </c>
      <c r="BB95" s="1">
        <v>444.60058522224398</v>
      </c>
      <c r="BC95" s="1">
        <v>300.5346057415</v>
      </c>
      <c r="BD95" s="7"/>
      <c r="BE95" s="1"/>
      <c r="BF95" s="1"/>
      <c r="BG95" s="8"/>
      <c r="BH95" s="1"/>
      <c r="BI95" s="1"/>
      <c r="BJ95" s="1"/>
      <c r="BK95" s="8"/>
    </row>
    <row r="96" spans="1:63">
      <c r="A96" s="49"/>
      <c r="B96" s="7" t="s">
        <v>18</v>
      </c>
      <c r="C96" s="17">
        <v>0.5</v>
      </c>
      <c r="D96" s="7">
        <v>28</v>
      </c>
      <c r="E96" s="1">
        <v>0.49586262282690802</v>
      </c>
      <c r="F96" s="1">
        <v>38.133029129559503</v>
      </c>
      <c r="G96" s="1">
        <v>0.98500023844181295</v>
      </c>
      <c r="H96" s="1">
        <v>18.239156445967701</v>
      </c>
      <c r="I96" s="1">
        <v>41.202900148761501</v>
      </c>
      <c r="J96" s="1">
        <v>0.98838054839588996</v>
      </c>
      <c r="K96" s="8">
        <v>19.3481436858333</v>
      </c>
      <c r="L96" s="7">
        <v>26</v>
      </c>
      <c r="M96" s="1">
        <v>0.44543650793650702</v>
      </c>
      <c r="N96" s="1">
        <v>38.528426765219599</v>
      </c>
      <c r="O96" s="1">
        <v>0.98614185764421203</v>
      </c>
      <c r="P96" s="1">
        <v>18.582949817516699</v>
      </c>
      <c r="Q96" s="1">
        <v>41.656303186724699</v>
      </c>
      <c r="R96" s="1">
        <v>0.98910632835176704</v>
      </c>
      <c r="S96" s="8">
        <v>19.628257191592301</v>
      </c>
      <c r="T96" s="7"/>
      <c r="U96" s="1"/>
      <c r="V96" s="1"/>
      <c r="W96" s="8"/>
      <c r="X96" s="7"/>
      <c r="Y96" s="1"/>
      <c r="Z96" s="1"/>
      <c r="AA96" s="8"/>
      <c r="AB96" s="7">
        <v>32</v>
      </c>
      <c r="AC96" s="1">
        <v>0.27030958679768202</v>
      </c>
      <c r="AD96" s="1">
        <v>36.854573920303999</v>
      </c>
      <c r="AE96" s="1">
        <v>0.98049520643381205</v>
      </c>
      <c r="AF96" s="1">
        <v>17.098586417910401</v>
      </c>
      <c r="AG96" s="1">
        <v>39.9586872741571</v>
      </c>
      <c r="AH96" s="1">
        <v>0.98388455673187303</v>
      </c>
      <c r="AI96" s="1">
        <v>17.927577443710799</v>
      </c>
      <c r="AJ96" s="1">
        <v>1204.54820847511</v>
      </c>
      <c r="AK96" s="1">
        <v>626.98258423805203</v>
      </c>
      <c r="AL96" s="7"/>
      <c r="AM96" s="1"/>
      <c r="AN96" s="1"/>
      <c r="AO96" s="8"/>
      <c r="AP96" s="1"/>
      <c r="AQ96" s="1"/>
      <c r="AR96" s="1"/>
      <c r="AS96" s="8"/>
      <c r="AT96" s="7">
        <v>0.32</v>
      </c>
      <c r="AU96" s="1">
        <v>0.34493417737465298</v>
      </c>
      <c r="AV96" s="1">
        <v>36.025003609317899</v>
      </c>
      <c r="AW96" s="1">
        <v>0.98880128578118998</v>
      </c>
      <c r="AX96" s="1">
        <v>19.508318380201398</v>
      </c>
      <c r="AY96" s="1">
        <v>38.840294631194297</v>
      </c>
      <c r="AZ96" s="1">
        <v>0.99106115422116603</v>
      </c>
      <c r="BA96" s="1">
        <v>20.487185555044601</v>
      </c>
      <c r="BB96" s="1">
        <v>355.68656206130902</v>
      </c>
      <c r="BC96" s="1">
        <v>217.06909465789701</v>
      </c>
      <c r="BD96" s="7"/>
      <c r="BE96" s="1"/>
      <c r="BF96" s="1"/>
      <c r="BG96" s="8"/>
      <c r="BH96" s="1"/>
      <c r="BI96" s="1"/>
      <c r="BJ96" s="1"/>
      <c r="BK96" s="8"/>
    </row>
    <row r="97" spans="1:63">
      <c r="A97" s="49"/>
      <c r="B97" s="7" t="s">
        <v>18</v>
      </c>
      <c r="C97" s="17">
        <v>0.25</v>
      </c>
      <c r="D97" s="7">
        <v>34</v>
      </c>
      <c r="E97" s="1">
        <v>0.22661659108087601</v>
      </c>
      <c r="F97" s="1">
        <v>35.3791913738117</v>
      </c>
      <c r="G97" s="1">
        <v>0.97191894400169399</v>
      </c>
      <c r="H97" s="1">
        <v>15.515865644334699</v>
      </c>
      <c r="I97" s="1">
        <v>38.442426619910201</v>
      </c>
      <c r="J97" s="1">
        <v>0.97767657674419395</v>
      </c>
      <c r="K97" s="8">
        <v>16.512392063693401</v>
      </c>
      <c r="L97" s="7">
        <v>31</v>
      </c>
      <c r="M97" s="1">
        <v>0.22714947089946999</v>
      </c>
      <c r="N97" s="1">
        <v>36.419745147780297</v>
      </c>
      <c r="O97" s="1">
        <v>0.97694469616047597</v>
      </c>
      <c r="P97" s="1">
        <v>16.3722914995904</v>
      </c>
      <c r="Q97" s="1">
        <v>39.537641887145298</v>
      </c>
      <c r="R97" s="1">
        <v>0.98122801826775496</v>
      </c>
      <c r="S97" s="8">
        <v>17.264898770884201</v>
      </c>
      <c r="T97" s="7"/>
      <c r="U97" s="1"/>
      <c r="V97" s="1"/>
      <c r="W97" s="8"/>
      <c r="X97" s="7"/>
      <c r="Y97" s="1"/>
      <c r="Z97" s="1"/>
      <c r="AA97" s="8"/>
      <c r="AB97" s="7">
        <v>16</v>
      </c>
      <c r="AC97" s="1">
        <v>0.18239638447971701</v>
      </c>
      <c r="AD97" s="1">
        <v>35.595550906015298</v>
      </c>
      <c r="AE97" s="1">
        <v>0.97308773565275197</v>
      </c>
      <c r="AF97" s="1">
        <v>15.700497599789699</v>
      </c>
      <c r="AG97" s="1">
        <v>38.701452283723199</v>
      </c>
      <c r="AH97" s="1">
        <v>0.97705238826546503</v>
      </c>
      <c r="AI97" s="1">
        <v>16.3926250683629</v>
      </c>
      <c r="AJ97" s="1">
        <v>760.14998388290405</v>
      </c>
      <c r="AK97" s="1">
        <v>402.23809862136801</v>
      </c>
      <c r="AL97" s="7"/>
      <c r="AM97" s="1"/>
      <c r="AN97" s="1"/>
      <c r="AO97" s="8"/>
      <c r="AP97" s="1"/>
      <c r="AQ97" s="1"/>
      <c r="AR97" s="1"/>
      <c r="AS97" s="8"/>
      <c r="AT97" s="7">
        <v>0.16</v>
      </c>
      <c r="AU97" s="1">
        <v>0.20442617787855799</v>
      </c>
      <c r="AV97" s="1">
        <v>34.483958909141201</v>
      </c>
      <c r="AW97" s="1">
        <v>0.98197506069472096</v>
      </c>
      <c r="AX97" s="1">
        <v>17.441261889900598</v>
      </c>
      <c r="AY97" s="1">
        <v>37.287936317401403</v>
      </c>
      <c r="AZ97" s="1">
        <v>0.98523785281403697</v>
      </c>
      <c r="BA97" s="1">
        <v>18.3085046885484</v>
      </c>
      <c r="BB97" s="1">
        <v>598.24409294128395</v>
      </c>
      <c r="BC97" s="1">
        <v>420.53290200233403</v>
      </c>
      <c r="BD97" s="7"/>
      <c r="BE97" s="1"/>
      <c r="BF97" s="1"/>
      <c r="BG97" s="8"/>
      <c r="BH97" s="1"/>
      <c r="BI97" s="1"/>
      <c r="BJ97" s="1"/>
      <c r="BK97" s="8"/>
    </row>
    <row r="98" spans="1:63">
      <c r="A98" s="49"/>
      <c r="B98" s="7" t="s">
        <v>18</v>
      </c>
      <c r="C98" s="17">
        <v>0.12</v>
      </c>
      <c r="D98" s="7">
        <v>39</v>
      </c>
      <c r="E98" s="1">
        <v>0.11725875535399299</v>
      </c>
      <c r="F98" s="1">
        <v>32.955085492719199</v>
      </c>
      <c r="G98" s="1">
        <v>0.95341284329892095</v>
      </c>
      <c r="H98" s="1">
        <v>13.3173379452523</v>
      </c>
      <c r="I98" s="1">
        <v>36.014832525443701</v>
      </c>
      <c r="J98" s="1">
        <v>0.96197770151795503</v>
      </c>
      <c r="K98" s="8">
        <v>14.199616331860801</v>
      </c>
      <c r="L98" s="7">
        <v>36</v>
      </c>
      <c r="M98" s="1">
        <v>0.119877802973041</v>
      </c>
      <c r="N98" s="1">
        <v>34.277034067210799</v>
      </c>
      <c r="O98" s="1">
        <v>0.963056620921658</v>
      </c>
      <c r="P98" s="1">
        <v>14.3246338372086</v>
      </c>
      <c r="Q98" s="1">
        <v>37.384921665392497</v>
      </c>
      <c r="R98" s="1">
        <v>0.96887225052790604</v>
      </c>
      <c r="S98" s="8">
        <v>15.0685227755658</v>
      </c>
      <c r="T98" s="7"/>
      <c r="U98" s="1"/>
      <c r="V98" s="1"/>
      <c r="W98" s="8"/>
      <c r="X98" s="7"/>
      <c r="Y98" s="1"/>
      <c r="Z98" s="1"/>
      <c r="AA98" s="8"/>
      <c r="AB98" s="7">
        <v>8</v>
      </c>
      <c r="AC98" s="1">
        <v>0.13033604182413699</v>
      </c>
      <c r="AD98" s="1">
        <v>34.339676582330803</v>
      </c>
      <c r="AE98" s="1">
        <v>0.96461190724327295</v>
      </c>
      <c r="AF98" s="1">
        <v>14.511428430575799</v>
      </c>
      <c r="AG98" s="1">
        <v>37.463671224427898</v>
      </c>
      <c r="AH98" s="1">
        <v>0.96905193961000302</v>
      </c>
      <c r="AI98" s="1">
        <v>15.093665643601</v>
      </c>
      <c r="AJ98" s="1">
        <v>412.340101003646</v>
      </c>
      <c r="AK98" s="1">
        <v>299.56203937530501</v>
      </c>
      <c r="AL98" s="7"/>
      <c r="AM98" s="1"/>
      <c r="AN98" s="1"/>
      <c r="AO98" s="8"/>
      <c r="AP98" s="1"/>
      <c r="AQ98" s="1"/>
      <c r="AR98" s="1"/>
      <c r="AS98" s="8"/>
      <c r="AT98" s="7">
        <v>0.08</v>
      </c>
      <c r="AU98" s="1">
        <v>0.136353930461073</v>
      </c>
      <c r="AV98" s="1">
        <v>32.983722771616797</v>
      </c>
      <c r="AW98" s="1">
        <v>0.97480091111530198</v>
      </c>
      <c r="AX98" s="1">
        <v>15.986151615796301</v>
      </c>
      <c r="AY98" s="1">
        <v>35.784290342891303</v>
      </c>
      <c r="AZ98" s="1">
        <v>0.97926262755678795</v>
      </c>
      <c r="BA98" s="1">
        <v>16.832462723300601</v>
      </c>
      <c r="BB98" s="1">
        <v>406.26978278159999</v>
      </c>
      <c r="BC98" s="1">
        <v>301.04991245269701</v>
      </c>
      <c r="BD98" s="7"/>
      <c r="BE98" s="1"/>
      <c r="BF98" s="1"/>
      <c r="BG98" s="8"/>
      <c r="BH98" s="1"/>
      <c r="BI98" s="1"/>
      <c r="BJ98" s="1"/>
      <c r="BK98" s="8"/>
    </row>
    <row r="99" spans="1:63">
      <c r="A99" s="49"/>
      <c r="B99" s="7" t="s">
        <v>18</v>
      </c>
      <c r="C99" s="17">
        <v>0.06</v>
      </c>
      <c r="D99" s="7">
        <v>44</v>
      </c>
      <c r="E99" s="1">
        <v>5.8149407911312602E-2</v>
      </c>
      <c r="F99" s="1">
        <v>30.440217343615998</v>
      </c>
      <c r="G99" s="1">
        <v>0.92364657600280597</v>
      </c>
      <c r="H99" s="1">
        <v>11.171714826449501</v>
      </c>
      <c r="I99" s="1">
        <v>33.500523444736501</v>
      </c>
      <c r="J99" s="1">
        <v>0.93548706340510102</v>
      </c>
      <c r="K99" s="8">
        <v>11.903531887999</v>
      </c>
      <c r="L99" s="7">
        <v>42</v>
      </c>
      <c r="M99" s="1">
        <v>5.3710317460317403E-2</v>
      </c>
      <c r="N99" s="1">
        <v>31.349737406318699</v>
      </c>
      <c r="O99" s="1">
        <v>0.93377624721449703</v>
      </c>
      <c r="P99" s="1">
        <v>11.7898621216964</v>
      </c>
      <c r="Q99" s="1">
        <v>34.456208576933797</v>
      </c>
      <c r="R99" s="1">
        <v>0.94246469621213003</v>
      </c>
      <c r="S99" s="8">
        <v>12.4006558947816</v>
      </c>
      <c r="T99" s="7"/>
      <c r="U99" s="1"/>
      <c r="V99" s="1"/>
      <c r="W99" s="8"/>
      <c r="X99" s="7"/>
      <c r="Y99" s="1"/>
      <c r="Z99" s="1"/>
      <c r="AA99" s="8"/>
      <c r="AB99" s="7">
        <v>4</v>
      </c>
      <c r="AC99" s="1">
        <v>9.2827853363567595E-2</v>
      </c>
      <c r="AD99" s="1">
        <v>33.006304716347103</v>
      </c>
      <c r="AE99" s="1">
        <v>0.95189641013445403</v>
      </c>
      <c r="AF99" s="1">
        <v>13.178225119708401</v>
      </c>
      <c r="AG99" s="1">
        <v>36.143121616321302</v>
      </c>
      <c r="AH99" s="1">
        <v>0.95702177686582302</v>
      </c>
      <c r="AI99" s="1">
        <v>13.6675154368343</v>
      </c>
      <c r="AJ99" s="1">
        <v>389.287939310073</v>
      </c>
      <c r="AK99" s="1">
        <v>285.75329494476301</v>
      </c>
      <c r="AL99" s="7"/>
      <c r="AM99" s="1"/>
      <c r="AN99" s="1"/>
      <c r="AO99" s="8"/>
      <c r="AP99" s="1"/>
      <c r="AQ99" s="1"/>
      <c r="AR99" s="1"/>
      <c r="AS99" s="8"/>
      <c r="AT99" s="7">
        <v>0.04</v>
      </c>
      <c r="AU99" s="1">
        <v>9.2173406399596799E-2</v>
      </c>
      <c r="AV99" s="1">
        <v>31.5502738480231</v>
      </c>
      <c r="AW99" s="1">
        <v>0.96542304942104595</v>
      </c>
      <c r="AX99" s="1">
        <v>14.6121331080559</v>
      </c>
      <c r="AY99" s="1">
        <v>34.328777590949898</v>
      </c>
      <c r="AZ99" s="1">
        <v>0.97120688809712097</v>
      </c>
      <c r="BA99" s="1">
        <v>15.407113948922101</v>
      </c>
      <c r="BB99" s="1">
        <v>422.84488391876198</v>
      </c>
      <c r="BC99" s="1">
        <v>310.71341204643198</v>
      </c>
      <c r="BD99" s="7"/>
      <c r="BE99" s="1"/>
      <c r="BF99" s="1"/>
      <c r="BG99" s="8"/>
      <c r="BH99" s="1"/>
      <c r="BI99" s="1"/>
      <c r="BJ99" s="1"/>
      <c r="BK99" s="8"/>
    </row>
    <row r="100" spans="1:63">
      <c r="A100" s="49"/>
      <c r="B100" s="7" t="s">
        <v>35</v>
      </c>
      <c r="C100" s="17">
        <v>1.5</v>
      </c>
      <c r="D100" s="7">
        <v>22</v>
      </c>
      <c r="E100" s="1">
        <v>1.40077221513605</v>
      </c>
      <c r="F100" s="1">
        <v>41.648256004441102</v>
      </c>
      <c r="G100" s="1">
        <v>0.99579908821830498</v>
      </c>
      <c r="H100" s="1">
        <v>23.766564384632801</v>
      </c>
      <c r="I100" s="1">
        <v>44.7365348275206</v>
      </c>
      <c r="J100" s="1">
        <v>0.99724275401120799</v>
      </c>
      <c r="K100" s="8">
        <v>25.5952448641176</v>
      </c>
      <c r="L100" s="7">
        <v>19</v>
      </c>
      <c r="M100" s="1">
        <v>1.4751001806972699</v>
      </c>
      <c r="N100" s="1">
        <v>42.719000606482403</v>
      </c>
      <c r="O100" s="1">
        <v>0.99663015764708096</v>
      </c>
      <c r="P100" s="1">
        <v>24.723904157040799</v>
      </c>
      <c r="Q100" s="1">
        <v>45.916409856121099</v>
      </c>
      <c r="R100" s="1">
        <v>0.99790164656995095</v>
      </c>
      <c r="S100" s="8">
        <v>26.781213608552399</v>
      </c>
      <c r="T100" s="13">
        <f>bdrate(E100:E103,F100:F103,M100:M103,N100:N103)</f>
        <v>-0.1873318261227982</v>
      </c>
      <c r="U100" s="12">
        <f>bdrate(E100:E103,H100:H103,M100:M103,P100:P103)</f>
        <v>-0.16764506801772594</v>
      </c>
      <c r="V100" s="12">
        <f>bdrate(E100:E103,I100:I103,M100:M103,Q100:Q103)</f>
        <v>-0.19993243133977479</v>
      </c>
      <c r="W100" s="14">
        <f>bdrate(E100:E103,K100:K103,M100:M103,S100:S103)</f>
        <v>-0.15208800633568687</v>
      </c>
      <c r="X100" s="13">
        <f>bdrate(E102:E105,F102:F105,M102:M105,N102:N105)</f>
        <v>-0.2553573083913957</v>
      </c>
      <c r="Y100" s="12">
        <f>bdrate(E102:E105,H102:H105,M102:M105,P102:P105)</f>
        <v>-0.23114041413387654</v>
      </c>
      <c r="Z100" s="12">
        <f>bdrate(E102:E105,I102:I105,M102:M105,Q102:Q105)</f>
        <v>-0.26704775364187405</v>
      </c>
      <c r="AA100" s="14">
        <f>bdrate(E102:E105,K102:K105,M102:M105,S102:S105)</f>
        <v>-0.18650645762140972</v>
      </c>
      <c r="AB100" s="7"/>
      <c r="AC100" s="1"/>
      <c r="AD100" s="1"/>
      <c r="AE100" s="1"/>
      <c r="AF100" s="1"/>
      <c r="AG100" s="1"/>
      <c r="AH100" s="1"/>
      <c r="AI100" s="1"/>
      <c r="AJ100" s="1"/>
      <c r="AK100" s="1"/>
      <c r="AL100" s="13" t="e">
        <f>bdrate(E100:E103,F100:F103,AC100:AC103,AD100:AD103)</f>
        <v>#VALUE!</v>
      </c>
      <c r="AM100" s="12" t="e">
        <f>bdrate(E100:E103,H100:H103,AC100:AC103,AF100:AF103)</f>
        <v>#VALUE!</v>
      </c>
      <c r="AN100" s="12" t="e">
        <f>bdrate(E100:E103,I100:I103,AC100:AC103,AG100:AG103)</f>
        <v>#VALUE!</v>
      </c>
      <c r="AO100" s="14" t="e">
        <f>bdrate(E100:E103,K100:K103,AC100:AC103,AI100:AI103)</f>
        <v>#VALUE!</v>
      </c>
      <c r="AP100" s="12">
        <f>bdrate(E102:E105,F102:F105,AC102:AC105,AD102:AD105)</f>
        <v>-0.23973653797729844</v>
      </c>
      <c r="AQ100" s="12">
        <f>bdrate(E102:E105,H102:H105,AC102:AC105,AF102:AF105)</f>
        <v>-0.2286671686565005</v>
      </c>
      <c r="AR100" s="12">
        <f>bdrate(E102:E105,I102:I105,AC102:AC105,AG102:AG105)</f>
        <v>-0.25131677870794122</v>
      </c>
      <c r="AS100" s="14">
        <f>bdrate(E102:E105,K102:K105,AC102:AC105,AI102:AI105)</f>
        <v>-0.14882782351725332</v>
      </c>
      <c r="AT100" s="7"/>
      <c r="AU100" s="1"/>
      <c r="AV100" s="1"/>
      <c r="AW100" s="1"/>
      <c r="AX100" s="1"/>
      <c r="AY100" s="1"/>
      <c r="AZ100" s="1"/>
      <c r="BA100" s="1"/>
      <c r="BB100" s="1"/>
      <c r="BC100" s="1"/>
      <c r="BD100" s="13" t="e">
        <f>bdrate(E100:E103,F100:F103,AU100:AU103,AV100:AV103)</f>
        <v>#VALUE!</v>
      </c>
      <c r="BE100" s="12" t="e">
        <f>bdrate(E100:E103,H100:H103,AU100:AU103,AX100:AX103)</f>
        <v>#VALUE!</v>
      </c>
      <c r="BF100" s="12" t="e">
        <f>bdrate(E100:E103,I100:I103,AU100:AU103,AY100:AY103)</f>
        <v>#VALUE!</v>
      </c>
      <c r="BG100" s="14" t="e">
        <f>bdrate(E100:E103,K100:K103,AU100:AU103,BA100:BA103)</f>
        <v>#VALUE!</v>
      </c>
      <c r="BH100" s="12">
        <f>bdrate(E102:E105,F102:F105,AU102:AU105,AV102:AV105)</f>
        <v>-2.6875442941525218E-3</v>
      </c>
      <c r="BI100" s="12">
        <f>bdrate(E102:E105,H102:H105,AU102:AU105,AX102:AX105)</f>
        <v>-0.41001663430868318</v>
      </c>
      <c r="BJ100" s="12">
        <f>bdrate(E102:E105,I102:I105,AU102:AU105,AY102:AY105)</f>
        <v>5.0779143901577006E-2</v>
      </c>
      <c r="BK100" s="14">
        <f>bdrate(E102:E105,K102:K105,AU102:AU105,BA102:BA105)</f>
        <v>-0.37369381937431867</v>
      </c>
    </row>
    <row r="101" spans="1:63">
      <c r="A101" s="49"/>
      <c r="B101" s="7" t="s">
        <v>18</v>
      </c>
      <c r="C101" s="17">
        <v>1</v>
      </c>
      <c r="D101" s="7">
        <v>25</v>
      </c>
      <c r="E101" s="1">
        <v>0.88364556760204005</v>
      </c>
      <c r="F101" s="1">
        <v>39.421397502217999</v>
      </c>
      <c r="G101" s="1">
        <v>0.99262141334221798</v>
      </c>
      <c r="H101" s="1">
        <v>21.3202681778521</v>
      </c>
      <c r="I101" s="1">
        <v>42.507049657106897</v>
      </c>
      <c r="J101" s="1">
        <v>0.99470597708648401</v>
      </c>
      <c r="K101" s="8">
        <v>22.762141833233201</v>
      </c>
      <c r="L101" s="7">
        <v>22</v>
      </c>
      <c r="M101" s="1">
        <v>0.97872581845238005</v>
      </c>
      <c r="N101" s="1">
        <v>40.609315255799203</v>
      </c>
      <c r="O101" s="1">
        <v>0.99439482418885905</v>
      </c>
      <c r="P101" s="1">
        <v>22.514107608369599</v>
      </c>
      <c r="Q101" s="1">
        <v>43.757756076401598</v>
      </c>
      <c r="R101" s="1">
        <v>0.99614556105688401</v>
      </c>
      <c r="S101" s="8">
        <v>24.140388294527298</v>
      </c>
      <c r="T101" s="7"/>
      <c r="U101" s="1"/>
      <c r="V101" s="1"/>
      <c r="W101" s="8"/>
      <c r="X101" s="7"/>
      <c r="Y101" s="1"/>
      <c r="Z101" s="1"/>
      <c r="AA101" s="8"/>
      <c r="AB101" s="7">
        <v>64</v>
      </c>
      <c r="AC101" s="1">
        <v>0.42526599702380902</v>
      </c>
      <c r="AD101" s="1">
        <v>37.636128395603301</v>
      </c>
      <c r="AE101" s="1">
        <v>0.98830542138204203</v>
      </c>
      <c r="AF101" s="1">
        <v>19.320154221825401</v>
      </c>
      <c r="AG101" s="1">
        <v>40.747705298151097</v>
      </c>
      <c r="AH101" s="1">
        <v>0.99116117241500601</v>
      </c>
      <c r="AI101" s="1">
        <v>20.536053376040801</v>
      </c>
      <c r="AJ101" s="1">
        <v>590.456288814544</v>
      </c>
      <c r="AK101" s="1">
        <v>361.25495672225901</v>
      </c>
      <c r="AL101" s="7"/>
      <c r="AM101" s="1"/>
      <c r="AN101" s="1"/>
      <c r="AO101" s="8"/>
      <c r="AP101" s="1"/>
      <c r="AQ101" s="1"/>
      <c r="AR101" s="1"/>
      <c r="AS101" s="8"/>
      <c r="AT101" s="7">
        <v>0.64</v>
      </c>
      <c r="AU101" s="1">
        <v>0.49304342049319699</v>
      </c>
      <c r="AV101" s="1">
        <v>36.877014132196898</v>
      </c>
      <c r="AW101" s="1">
        <v>0.99272770242740305</v>
      </c>
      <c r="AX101" s="1">
        <v>21.383283586787599</v>
      </c>
      <c r="AY101" s="1">
        <v>39.809455775352298</v>
      </c>
      <c r="AZ101" s="1">
        <v>0.99433223177576902</v>
      </c>
      <c r="BA101" s="1">
        <v>22.465879179509798</v>
      </c>
      <c r="BB101" s="1">
        <v>518.90370941162098</v>
      </c>
      <c r="BC101" s="1">
        <v>348.41832923889098</v>
      </c>
      <c r="BD101" s="7"/>
      <c r="BE101" s="1"/>
      <c r="BF101" s="1"/>
      <c r="BG101" s="8"/>
      <c r="BH101" s="1"/>
      <c r="BI101" s="1"/>
      <c r="BJ101" s="1"/>
      <c r="BK101" s="8"/>
    </row>
    <row r="102" spans="1:63">
      <c r="A102" s="49"/>
      <c r="B102" s="7" t="s">
        <v>18</v>
      </c>
      <c r="C102" s="17">
        <v>0.5</v>
      </c>
      <c r="D102" s="7">
        <v>30</v>
      </c>
      <c r="E102" s="1">
        <v>0.44453470450680199</v>
      </c>
      <c r="F102" s="1">
        <v>36.848804734257001</v>
      </c>
      <c r="G102" s="1">
        <v>0.98551045874327803</v>
      </c>
      <c r="H102" s="1">
        <v>18.389453642064201</v>
      </c>
      <c r="I102" s="1">
        <v>39.935391737525698</v>
      </c>
      <c r="J102" s="1">
        <v>0.98921519882619802</v>
      </c>
      <c r="K102" s="8">
        <v>19.671878570442001</v>
      </c>
      <c r="L102" s="7">
        <v>27</v>
      </c>
      <c r="M102" s="1">
        <v>0.43849303784013599</v>
      </c>
      <c r="N102" s="1">
        <v>37.617392362475499</v>
      </c>
      <c r="O102" s="1">
        <v>0.98788859386316397</v>
      </c>
      <c r="P102" s="1">
        <v>19.168054322477701</v>
      </c>
      <c r="Q102" s="1">
        <v>40.766877217284197</v>
      </c>
      <c r="R102" s="1">
        <v>0.99075356064752595</v>
      </c>
      <c r="S102" s="8">
        <v>20.340254745339099</v>
      </c>
      <c r="T102" s="7"/>
      <c r="U102" s="1"/>
      <c r="V102" s="1"/>
      <c r="W102" s="8"/>
      <c r="X102" s="7"/>
      <c r="Y102" s="1"/>
      <c r="Z102" s="1"/>
      <c r="AA102" s="8"/>
      <c r="AB102" s="7">
        <v>32</v>
      </c>
      <c r="AC102" s="1">
        <v>0.30632201318027202</v>
      </c>
      <c r="AD102" s="1">
        <v>36.427557345335401</v>
      </c>
      <c r="AE102" s="1">
        <v>0.98429836535201998</v>
      </c>
      <c r="AF102" s="1">
        <v>18.040551321995299</v>
      </c>
      <c r="AG102" s="1">
        <v>39.554494216494703</v>
      </c>
      <c r="AH102" s="1">
        <v>0.98760802586493501</v>
      </c>
      <c r="AI102" s="1">
        <v>19.0685950172162</v>
      </c>
      <c r="AJ102" s="1">
        <v>1406.1219542026499</v>
      </c>
      <c r="AK102" s="1">
        <v>732.05369472503605</v>
      </c>
      <c r="AL102" s="7"/>
      <c r="AM102" s="1"/>
      <c r="AN102" s="1"/>
      <c r="AO102" s="8"/>
      <c r="AP102" s="1"/>
      <c r="AQ102" s="1"/>
      <c r="AR102" s="1"/>
      <c r="AS102" s="8"/>
      <c r="AT102" s="7">
        <v>0.32</v>
      </c>
      <c r="AU102" s="1">
        <v>0.33450706845237999</v>
      </c>
      <c r="AV102" s="1">
        <v>35.618799159334301</v>
      </c>
      <c r="AW102" s="1">
        <v>0.98872903902684695</v>
      </c>
      <c r="AX102" s="1">
        <v>19.480390540031198</v>
      </c>
      <c r="AY102" s="1">
        <v>38.522533441396199</v>
      </c>
      <c r="AZ102" s="1">
        <v>0.99112625484986505</v>
      </c>
      <c r="BA102" s="1">
        <v>20.5189304817746</v>
      </c>
      <c r="BB102" s="1">
        <v>456.80947899818398</v>
      </c>
      <c r="BC102" s="1">
        <v>288.68790721893299</v>
      </c>
      <c r="BD102" s="7"/>
      <c r="BE102" s="1"/>
      <c r="BF102" s="1"/>
      <c r="BG102" s="8"/>
      <c r="BH102" s="1"/>
      <c r="BI102" s="1"/>
      <c r="BJ102" s="1"/>
      <c r="BK102" s="8"/>
    </row>
    <row r="103" spans="1:63">
      <c r="A103" s="49"/>
      <c r="B103" s="7" t="s">
        <v>18</v>
      </c>
      <c r="C103" s="17">
        <v>0.25</v>
      </c>
      <c r="D103" s="7">
        <v>35</v>
      </c>
      <c r="E103" s="1">
        <v>0.24202513818027199</v>
      </c>
      <c r="F103" s="1">
        <v>34.568677671003897</v>
      </c>
      <c r="G103" s="1">
        <v>0.97462161865466101</v>
      </c>
      <c r="H103" s="1">
        <v>15.955360810279601</v>
      </c>
      <c r="I103" s="1">
        <v>37.658644508998599</v>
      </c>
      <c r="J103" s="1">
        <v>0.98087647838860403</v>
      </c>
      <c r="K103" s="8">
        <v>17.184321290282099</v>
      </c>
      <c r="L103" s="7">
        <v>32</v>
      </c>
      <c r="M103" s="1">
        <v>0.23442628613945499</v>
      </c>
      <c r="N103" s="1">
        <v>35.550226400198</v>
      </c>
      <c r="O103" s="1">
        <v>0.97953714181204499</v>
      </c>
      <c r="P103" s="1">
        <v>16.890337054937199</v>
      </c>
      <c r="Q103" s="1">
        <v>38.687101697065103</v>
      </c>
      <c r="R103" s="1">
        <v>0.98384779512206699</v>
      </c>
      <c r="S103" s="8">
        <v>17.917681853477699</v>
      </c>
      <c r="T103" s="7"/>
      <c r="U103" s="1"/>
      <c r="V103" s="1"/>
      <c r="W103" s="8"/>
      <c r="X103" s="7"/>
      <c r="Y103" s="1"/>
      <c r="Z103" s="1"/>
      <c r="AA103" s="8"/>
      <c r="AB103" s="7">
        <v>16</v>
      </c>
      <c r="AC103" s="1">
        <v>0.20887143920067999</v>
      </c>
      <c r="AD103" s="1">
        <v>35.1084678383232</v>
      </c>
      <c r="AE103" s="1">
        <v>0.97748390285910003</v>
      </c>
      <c r="AF103" s="1">
        <v>16.475068863368602</v>
      </c>
      <c r="AG103" s="1">
        <v>38.240077949700797</v>
      </c>
      <c r="AH103" s="1">
        <v>0.981540228463609</v>
      </c>
      <c r="AI103" s="1">
        <v>17.337736782341899</v>
      </c>
      <c r="AJ103" s="1">
        <v>703.84081292152405</v>
      </c>
      <c r="AK103" s="1">
        <v>465.33398771285999</v>
      </c>
      <c r="AL103" s="7"/>
      <c r="AM103" s="1"/>
      <c r="AN103" s="1"/>
      <c r="AO103" s="8"/>
      <c r="AP103" s="1"/>
      <c r="AQ103" s="1"/>
      <c r="AR103" s="1"/>
      <c r="AS103" s="8"/>
      <c r="AT103" s="7">
        <v>0.16</v>
      </c>
      <c r="AU103" s="1">
        <v>0.214330622874149</v>
      </c>
      <c r="AV103" s="1">
        <v>34.169719489510499</v>
      </c>
      <c r="AW103" s="1">
        <v>0.98280493179427897</v>
      </c>
      <c r="AX103" s="1">
        <v>17.645960971720498</v>
      </c>
      <c r="AY103" s="1">
        <v>37.050986254166702</v>
      </c>
      <c r="AZ103" s="1">
        <v>0.986299342586195</v>
      </c>
      <c r="BA103" s="1">
        <v>18.632585931109301</v>
      </c>
      <c r="BB103" s="1">
        <v>521.947509765625</v>
      </c>
      <c r="BC103" s="1">
        <v>366.24402451515198</v>
      </c>
      <c r="BD103" s="7"/>
      <c r="BE103" s="1"/>
      <c r="BF103" s="1"/>
      <c r="BG103" s="8"/>
      <c r="BH103" s="1"/>
      <c r="BI103" s="1"/>
      <c r="BJ103" s="1"/>
      <c r="BK103" s="8"/>
    </row>
    <row r="104" spans="1:63">
      <c r="A104" s="49"/>
      <c r="B104" s="7" t="s">
        <v>18</v>
      </c>
      <c r="C104" s="17">
        <v>0.12</v>
      </c>
      <c r="D104" s="7">
        <v>41</v>
      </c>
      <c r="E104" s="1">
        <v>0.113413849914965</v>
      </c>
      <c r="F104" s="1">
        <v>31.603689755192502</v>
      </c>
      <c r="G104" s="1">
        <v>0.94901822605354402</v>
      </c>
      <c r="H104" s="1">
        <v>12.925850570238</v>
      </c>
      <c r="I104" s="1">
        <v>34.706244156099402</v>
      </c>
      <c r="J104" s="1">
        <v>0.95951736931009801</v>
      </c>
      <c r="K104" s="8">
        <v>13.9273127341663</v>
      </c>
      <c r="L104" s="7">
        <v>38</v>
      </c>
      <c r="M104" s="1">
        <v>0.11261160714285701</v>
      </c>
      <c r="N104" s="1">
        <v>32.741181106168</v>
      </c>
      <c r="O104" s="1">
        <v>0.95963129254789603</v>
      </c>
      <c r="P104" s="1">
        <v>13.939551558511599</v>
      </c>
      <c r="Q104" s="1">
        <v>35.904914673437901</v>
      </c>
      <c r="R104" s="1">
        <v>0.96676677203817296</v>
      </c>
      <c r="S104" s="8">
        <v>14.7842747340909</v>
      </c>
      <c r="T104" s="7"/>
      <c r="U104" s="1"/>
      <c r="V104" s="1"/>
      <c r="W104" s="8"/>
      <c r="X104" s="7"/>
      <c r="Y104" s="1"/>
      <c r="Z104" s="1"/>
      <c r="AA104" s="8"/>
      <c r="AB104" s="7">
        <v>8</v>
      </c>
      <c r="AC104" s="1">
        <v>0.151834874574829</v>
      </c>
      <c r="AD104" s="1">
        <v>33.821352076781103</v>
      </c>
      <c r="AE104" s="1">
        <v>0.96920216692907901</v>
      </c>
      <c r="AF104" s="1">
        <v>15.114798392933301</v>
      </c>
      <c r="AG104" s="1">
        <v>36.983210478845599</v>
      </c>
      <c r="AH104" s="1">
        <v>0.97378477036519395</v>
      </c>
      <c r="AI104" s="1">
        <v>15.8144633368964</v>
      </c>
      <c r="AJ104" s="1">
        <v>484.62087059020899</v>
      </c>
      <c r="AK104" s="1">
        <v>351.85341429710297</v>
      </c>
      <c r="AL104" s="7"/>
      <c r="AM104" s="1"/>
      <c r="AN104" s="1"/>
      <c r="AO104" s="8"/>
      <c r="AP104" s="1"/>
      <c r="AQ104" s="1"/>
      <c r="AR104" s="1"/>
      <c r="AS104" s="8"/>
      <c r="AT104" s="7">
        <v>0.08</v>
      </c>
      <c r="AU104" s="1">
        <v>0.15151812287414901</v>
      </c>
      <c r="AV104" s="1">
        <v>32.778643108659097</v>
      </c>
      <c r="AW104" s="1">
        <v>0.97588173113244003</v>
      </c>
      <c r="AX104" s="1">
        <v>16.176538676864201</v>
      </c>
      <c r="AY104" s="1">
        <v>35.689258956193399</v>
      </c>
      <c r="AZ104" s="1">
        <v>0.98083103725954601</v>
      </c>
      <c r="BA104" s="1">
        <v>17.1740138677164</v>
      </c>
      <c r="BB104" s="1">
        <v>479.09432363510098</v>
      </c>
      <c r="BC104" s="1">
        <v>352.68146371841402</v>
      </c>
      <c r="BD104" s="7"/>
      <c r="BE104" s="1"/>
      <c r="BF104" s="1"/>
      <c r="BG104" s="8"/>
      <c r="BH104" s="1"/>
      <c r="BI104" s="1"/>
      <c r="BJ104" s="1"/>
      <c r="BK104" s="8"/>
    </row>
    <row r="105" spans="1:63">
      <c r="A105" s="49"/>
      <c r="B105" s="7" t="s">
        <v>18</v>
      </c>
      <c r="C105" s="17">
        <v>0.06</v>
      </c>
      <c r="D105" s="7">
        <v>46</v>
      </c>
      <c r="E105" s="1">
        <v>5.7669802295918303E-2</v>
      </c>
      <c r="F105" s="1">
        <v>29.0464930064737</v>
      </c>
      <c r="G105" s="1">
        <v>0.909058265679903</v>
      </c>
      <c r="H105" s="1">
        <v>10.412367677637899</v>
      </c>
      <c r="I105" s="1">
        <v>32.154835346025898</v>
      </c>
      <c r="J105" s="1">
        <v>0.92410815820205405</v>
      </c>
      <c r="K105" s="8">
        <v>11.1980490727399</v>
      </c>
      <c r="L105" s="7">
        <v>43</v>
      </c>
      <c r="M105" s="1">
        <v>5.9337797619047603E-2</v>
      </c>
      <c r="N105" s="1">
        <v>30.300056287196199</v>
      </c>
      <c r="O105" s="1">
        <v>0.92862289439866197</v>
      </c>
      <c r="P105" s="1">
        <v>11.464410670115299</v>
      </c>
      <c r="Q105" s="1">
        <v>33.471644151355399</v>
      </c>
      <c r="R105" s="1">
        <v>0.93847708071872005</v>
      </c>
      <c r="S105" s="8">
        <v>12.109630653121</v>
      </c>
      <c r="T105" s="7"/>
      <c r="U105" s="1"/>
      <c r="V105" s="1"/>
      <c r="W105" s="8"/>
      <c r="X105" s="7"/>
      <c r="Y105" s="1"/>
      <c r="Z105" s="1"/>
      <c r="AA105" s="8"/>
      <c r="AB105" s="7">
        <v>4</v>
      </c>
      <c r="AC105" s="1">
        <v>0.10823049532312901</v>
      </c>
      <c r="AD105" s="1">
        <v>32.390574429983999</v>
      </c>
      <c r="AE105" s="1">
        <v>0.95526864055083205</v>
      </c>
      <c r="AF105" s="1">
        <v>13.4938790280431</v>
      </c>
      <c r="AG105" s="1">
        <v>35.581599208033403</v>
      </c>
      <c r="AH105" s="1">
        <v>0.96058180632082601</v>
      </c>
      <c r="AI105" s="1">
        <v>14.0430328094803</v>
      </c>
      <c r="AJ105" s="1">
        <v>465.27249479293801</v>
      </c>
      <c r="AK105" s="1">
        <v>337.72034692764203</v>
      </c>
      <c r="AL105" s="7"/>
      <c r="AM105" s="1"/>
      <c r="AN105" s="1"/>
      <c r="AO105" s="8"/>
      <c r="AP105" s="1"/>
      <c r="AQ105" s="1"/>
      <c r="AR105" s="1"/>
      <c r="AS105" s="8"/>
      <c r="AT105" s="7">
        <v>0.04</v>
      </c>
      <c r="AU105" s="1">
        <v>0.106054156037414</v>
      </c>
      <c r="AV105" s="1">
        <v>31.274777391929199</v>
      </c>
      <c r="AW105" s="1">
        <v>0.96565960093053804</v>
      </c>
      <c r="AX105" s="1">
        <v>14.641946622136</v>
      </c>
      <c r="AY105" s="1">
        <v>34.1476304908619</v>
      </c>
      <c r="AZ105" s="1">
        <v>0.97239163508627302</v>
      </c>
      <c r="BA105" s="1">
        <v>15.589593133887499</v>
      </c>
      <c r="BB105" s="1">
        <v>498.77154779434198</v>
      </c>
      <c r="BC105" s="1">
        <v>370.58877444267199</v>
      </c>
      <c r="BD105" s="7"/>
      <c r="BE105" s="1"/>
      <c r="BF105" s="1"/>
      <c r="BG105" s="8"/>
      <c r="BH105" s="1"/>
      <c r="BI105" s="1"/>
      <c r="BJ105" s="1"/>
      <c r="BK105" s="8"/>
    </row>
    <row r="106" spans="1:63">
      <c r="A106" s="49"/>
      <c r="B106" s="7" t="s">
        <v>36</v>
      </c>
      <c r="C106" s="17">
        <v>1.5</v>
      </c>
      <c r="D106" s="7">
        <v>18</v>
      </c>
      <c r="E106" s="1">
        <v>1.39593298256802</v>
      </c>
      <c r="F106" s="1">
        <v>45.536248286057798</v>
      </c>
      <c r="G106" s="1">
        <v>0.99646101582484103</v>
      </c>
      <c r="H106" s="1">
        <v>24.511213793394699</v>
      </c>
      <c r="I106" s="1">
        <v>48.602741334214898</v>
      </c>
      <c r="J106" s="1">
        <v>0.99788049825689595</v>
      </c>
      <c r="K106" s="8">
        <v>26.737662219266301</v>
      </c>
      <c r="L106" s="7">
        <v>15</v>
      </c>
      <c r="M106" s="1">
        <v>1.46325414540816</v>
      </c>
      <c r="N106" s="1">
        <v>46.188291437838998</v>
      </c>
      <c r="O106" s="1">
        <v>0.99699516956558798</v>
      </c>
      <c r="P106" s="1">
        <v>25.221800306419301</v>
      </c>
      <c r="Q106" s="1">
        <v>49.321342958704903</v>
      </c>
      <c r="R106" s="1">
        <v>0.99828731749126198</v>
      </c>
      <c r="S106" s="8">
        <v>27.663231376082901</v>
      </c>
      <c r="T106" s="13">
        <f>bdrate(E106:E109,F106:F109,M106:M109,N106:N109)</f>
        <v>-0.14053222949972266</v>
      </c>
      <c r="U106" s="12">
        <f>bdrate(E106:E109,H106:H109,M106:M109,P106:P109)</f>
        <v>-0.14636146172129305</v>
      </c>
      <c r="V106" s="12">
        <f>bdrate(E106:E109,I106:I109,M106:M109,Q106:Q109)</f>
        <v>-0.1452228437945976</v>
      </c>
      <c r="W106" s="14">
        <f>bdrate(E106:E109,K106:K109,M106:M109,S106:S109)</f>
        <v>-0.11698023779911026</v>
      </c>
      <c r="X106" s="13">
        <f>bdrate(E108:E111,F108:F111,M108:M111,N108:N111)</f>
        <v>-0.23653095874416963</v>
      </c>
      <c r="Y106" s="12">
        <f>bdrate(E108:E111,H108:H111,M108:M111,P108:P111)</f>
        <v>-0.24249188390033027</v>
      </c>
      <c r="Z106" s="12">
        <f>bdrate(E108:E111,I108:I111,M108:M111,Q108:Q111)</f>
        <v>-0.26128843656195089</v>
      </c>
      <c r="AA106" s="14">
        <f>bdrate(E108:E111,K108:K111,M108:M111,S108:S111)</f>
        <v>-0.17480250443926748</v>
      </c>
      <c r="AB106" s="7"/>
      <c r="AC106" s="1"/>
      <c r="AD106" s="1"/>
      <c r="AE106" s="1"/>
      <c r="AF106" s="1"/>
      <c r="AG106" s="1"/>
      <c r="AH106" s="1"/>
      <c r="AI106" s="1"/>
      <c r="AJ106" s="1"/>
      <c r="AK106" s="1"/>
      <c r="AL106" s="13" t="e">
        <f>bdrate(E106:E109,F106:F109,AC106:AC109,AD106:AD109)</f>
        <v>#VALUE!</v>
      </c>
      <c r="AM106" s="12" t="e">
        <f>bdrate(E106:E109,H106:H109,AC106:AC109,AF106:AF109)</f>
        <v>#VALUE!</v>
      </c>
      <c r="AN106" s="12" t="e">
        <f>bdrate(E106:E109,I106:I109,AC106:AC109,AG106:AG109)</f>
        <v>#VALUE!</v>
      </c>
      <c r="AO106" s="14" t="e">
        <f>bdrate(E106:E109,K106:K109,AC106:AC109,AI106:AI109)</f>
        <v>#VALUE!</v>
      </c>
      <c r="AP106" s="12">
        <f>bdrate(E108:E111,F108:F111,AC108:AC111,AD108:AD111)</f>
        <v>-0.16398491579042851</v>
      </c>
      <c r="AQ106" s="12">
        <f>bdrate(E108:E111,H108:H111,AC108:AC111,AF108:AF111)</f>
        <v>-0.2352865475880177</v>
      </c>
      <c r="AR106" s="12">
        <f>bdrate(E108:E111,I108:I111,AC108:AC111,AG108:AG111)</f>
        <v>-0.23300827790163781</v>
      </c>
      <c r="AS106" s="14">
        <f>bdrate(E108:E111,K108:K111,AC108:AC111,AI108:AI111)</f>
        <v>-0.12395093122713952</v>
      </c>
      <c r="AT106" s="7"/>
      <c r="AU106" s="1"/>
      <c r="AV106" s="1"/>
      <c r="AW106" s="1"/>
      <c r="AX106" s="1"/>
      <c r="AY106" s="1"/>
      <c r="AZ106" s="1"/>
      <c r="BA106" s="1"/>
      <c r="BB106" s="1"/>
      <c r="BC106" s="1"/>
      <c r="BD106" s="13" t="e">
        <f>bdrate(E106:E109,F106:F109,AU106:AU109,AV106:AV109)</f>
        <v>#VALUE!</v>
      </c>
      <c r="BE106" s="12" t="e">
        <f>bdrate(E106:E109,H106:H109,AU106:AU109,AX106:AX109)</f>
        <v>#VALUE!</v>
      </c>
      <c r="BF106" s="12" t="e">
        <f>bdrate(E106:E109,I106:I109,AU106:AU109,AY106:AY109)</f>
        <v>#VALUE!</v>
      </c>
      <c r="BG106" s="14" t="e">
        <f>bdrate(E106:E109,K106:K109,AU106:AU109,BA106:BA109)</f>
        <v>#VALUE!</v>
      </c>
      <c r="BH106" s="12">
        <f>bdrate(E108:E111,F108:F111,AU108:AU111,AV108:AV111)</f>
        <v>0.32268562291202918</v>
      </c>
      <c r="BI106" s="12">
        <f>bdrate(E108:E111,H108:H111,AU108:AU111,AX108:AX111)</f>
        <v>-0.43727833771477131</v>
      </c>
      <c r="BJ106" s="12">
        <f>bdrate(E108:E111,I108:I111,AU108:AU111,AY108:AY111)</f>
        <v>0.40832208291062422</v>
      </c>
      <c r="BK106" s="14">
        <f>bdrate(E108:E111,K108:K111,AU108:AU111,BA108:BA111)</f>
        <v>-0.36750947707131409</v>
      </c>
    </row>
    <row r="107" spans="1:63">
      <c r="A107" s="49"/>
      <c r="B107" s="7" t="s">
        <v>18</v>
      </c>
      <c r="C107" s="17">
        <v>1</v>
      </c>
      <c r="D107" s="7">
        <v>21</v>
      </c>
      <c r="E107" s="1">
        <v>0.96229857568027199</v>
      </c>
      <c r="F107" s="1">
        <v>43.693698318696399</v>
      </c>
      <c r="G107" s="1">
        <v>0.99488460349501096</v>
      </c>
      <c r="H107" s="1">
        <v>22.911206975814402</v>
      </c>
      <c r="I107" s="1">
        <v>46.750716068147902</v>
      </c>
      <c r="J107" s="1">
        <v>0.99663876379289595</v>
      </c>
      <c r="K107" s="8">
        <v>24.735009669006502</v>
      </c>
      <c r="L107" s="7">
        <v>19</v>
      </c>
      <c r="M107" s="1">
        <v>0.89671529549319695</v>
      </c>
      <c r="N107" s="1">
        <v>43.932552043781797</v>
      </c>
      <c r="O107" s="1">
        <v>0.99512886404532597</v>
      </c>
      <c r="P107" s="1">
        <v>23.1236974898695</v>
      </c>
      <c r="Q107" s="1">
        <v>46.994732000086302</v>
      </c>
      <c r="R107" s="1">
        <v>0.996770093781012</v>
      </c>
      <c r="S107" s="8">
        <v>24.9081008731822</v>
      </c>
      <c r="T107" s="7"/>
      <c r="U107" s="1"/>
      <c r="V107" s="1"/>
      <c r="W107" s="8"/>
      <c r="X107" s="7"/>
      <c r="Y107" s="1"/>
      <c r="Z107" s="1"/>
      <c r="AA107" s="8"/>
      <c r="AB107" s="7">
        <v>64</v>
      </c>
      <c r="AC107" s="1">
        <v>0.28995030824829898</v>
      </c>
      <c r="AD107" s="1">
        <v>39.715146835604003</v>
      </c>
      <c r="AE107" s="1">
        <v>0.98816077900951405</v>
      </c>
      <c r="AF107" s="1">
        <v>19.2667687283808</v>
      </c>
      <c r="AG107" s="1">
        <v>42.948624421581499</v>
      </c>
      <c r="AH107" s="1">
        <v>0.99023465909994701</v>
      </c>
      <c r="AI107" s="1">
        <v>20.103125912468499</v>
      </c>
      <c r="AJ107" s="1">
        <v>539.32479095458905</v>
      </c>
      <c r="AK107" s="1">
        <v>361.73599791526698</v>
      </c>
      <c r="AL107" s="7"/>
      <c r="AM107" s="1"/>
      <c r="AN107" s="1"/>
      <c r="AO107" s="8"/>
      <c r="AP107" s="1"/>
      <c r="AQ107" s="1"/>
      <c r="AR107" s="1"/>
      <c r="AS107" s="8"/>
      <c r="AT107" s="7">
        <v>0.64</v>
      </c>
      <c r="AU107" s="1">
        <v>0.39779894770408097</v>
      </c>
      <c r="AV107" s="1">
        <v>38.953711427849797</v>
      </c>
      <c r="AW107" s="1">
        <v>0.99379650394189101</v>
      </c>
      <c r="AX107" s="1">
        <v>22.0736348940003</v>
      </c>
      <c r="AY107" s="1">
        <v>42.0931967720283</v>
      </c>
      <c r="AZ107" s="1">
        <v>0.99487021683398602</v>
      </c>
      <c r="BA107" s="1">
        <v>22.899009919630199</v>
      </c>
      <c r="BB107" s="1">
        <v>492.45225811004599</v>
      </c>
      <c r="BC107" s="1">
        <v>346.759101390838</v>
      </c>
      <c r="BD107" s="7"/>
      <c r="BE107" s="1"/>
      <c r="BF107" s="1"/>
      <c r="BG107" s="8"/>
      <c r="BH107" s="1"/>
      <c r="BI107" s="1"/>
      <c r="BJ107" s="1"/>
      <c r="BK107" s="8"/>
    </row>
    <row r="108" spans="1:63">
      <c r="A108" s="49"/>
      <c r="B108" s="7" t="s">
        <v>18</v>
      </c>
      <c r="C108" s="17">
        <v>0.5</v>
      </c>
      <c r="D108" s="7">
        <v>26</v>
      </c>
      <c r="E108" s="1">
        <v>0.47608737244897897</v>
      </c>
      <c r="F108" s="1">
        <v>40.728335430109396</v>
      </c>
      <c r="G108" s="1">
        <v>0.99001508967687701</v>
      </c>
      <c r="H108" s="1">
        <v>20.006558312787799</v>
      </c>
      <c r="I108" s="1">
        <v>43.835979120179701</v>
      </c>
      <c r="J108" s="1">
        <v>0.99275332072248101</v>
      </c>
      <c r="K108" s="8">
        <v>21.398609591986201</v>
      </c>
      <c r="L108" s="7">
        <v>24</v>
      </c>
      <c r="M108" s="1">
        <v>0.440221088435374</v>
      </c>
      <c r="N108" s="1">
        <v>41.091319906994201</v>
      </c>
      <c r="O108" s="1">
        <v>0.99088827934025803</v>
      </c>
      <c r="P108" s="1">
        <v>20.403996029974799</v>
      </c>
      <c r="Q108" s="1">
        <v>44.220727689515101</v>
      </c>
      <c r="R108" s="1">
        <v>0.99316500336475999</v>
      </c>
      <c r="S108" s="8">
        <v>21.652616948923601</v>
      </c>
      <c r="T108" s="7"/>
      <c r="U108" s="1"/>
      <c r="V108" s="1"/>
      <c r="W108" s="8"/>
      <c r="X108" s="7"/>
      <c r="Y108" s="1"/>
      <c r="Z108" s="1"/>
      <c r="AA108" s="8"/>
      <c r="AB108" s="7">
        <v>32</v>
      </c>
      <c r="AC108" s="1">
        <v>0.193093112244897</v>
      </c>
      <c r="AD108" s="1">
        <v>38.187132380933001</v>
      </c>
      <c r="AE108" s="1">
        <v>0.98318455606476296</v>
      </c>
      <c r="AF108" s="1">
        <v>17.742916626295301</v>
      </c>
      <c r="AG108" s="1">
        <v>41.444466425631703</v>
      </c>
      <c r="AH108" s="1">
        <v>0.98561574812304797</v>
      </c>
      <c r="AI108" s="1">
        <v>18.4211272078518</v>
      </c>
      <c r="AJ108" s="1">
        <v>1296.0073881149201</v>
      </c>
      <c r="AK108" s="1">
        <v>731.68765139579705</v>
      </c>
      <c r="AL108" s="7"/>
      <c r="AM108" s="1"/>
      <c r="AN108" s="1"/>
      <c r="AO108" s="8"/>
      <c r="AP108" s="1"/>
      <c r="AQ108" s="1"/>
      <c r="AR108" s="1"/>
      <c r="AS108" s="8"/>
      <c r="AT108" s="7">
        <v>0.32</v>
      </c>
      <c r="AU108" s="1">
        <v>0.27817097151360498</v>
      </c>
      <c r="AV108" s="1">
        <v>37.8578552882568</v>
      </c>
      <c r="AW108" s="1">
        <v>0.99074315660392398</v>
      </c>
      <c r="AX108" s="1">
        <v>20.335370834453201</v>
      </c>
      <c r="AY108" s="1">
        <v>40.8262780941049</v>
      </c>
      <c r="AZ108" s="1">
        <v>0.99225187965224604</v>
      </c>
      <c r="BA108" s="1">
        <v>21.108036422173502</v>
      </c>
      <c r="BB108" s="1">
        <v>456.54662036895701</v>
      </c>
      <c r="BC108" s="1">
        <v>297.197681903839</v>
      </c>
      <c r="BD108" s="7"/>
      <c r="BE108" s="1"/>
      <c r="BF108" s="1"/>
      <c r="BG108" s="8"/>
      <c r="BH108" s="1"/>
      <c r="BI108" s="1"/>
      <c r="BJ108" s="1"/>
      <c r="BK108" s="8"/>
    </row>
    <row r="109" spans="1:63">
      <c r="A109" s="49"/>
      <c r="B109" s="7" t="s">
        <v>18</v>
      </c>
      <c r="C109" s="17">
        <v>0.25</v>
      </c>
      <c r="D109" s="7">
        <v>31</v>
      </c>
      <c r="E109" s="1">
        <v>0.23518734056122401</v>
      </c>
      <c r="F109" s="1">
        <v>38.195705773496798</v>
      </c>
      <c r="G109" s="1">
        <v>0.98143574663982402</v>
      </c>
      <c r="H109" s="1">
        <v>17.313225130727002</v>
      </c>
      <c r="I109" s="1">
        <v>41.295768600774501</v>
      </c>
      <c r="J109" s="1">
        <v>0.98565797931214705</v>
      </c>
      <c r="K109" s="8">
        <v>18.433896553795599</v>
      </c>
      <c r="L109" s="7">
        <v>28</v>
      </c>
      <c r="M109" s="1">
        <v>0.246633981717687</v>
      </c>
      <c r="N109" s="1">
        <v>39.1438009432242</v>
      </c>
      <c r="O109" s="1">
        <v>0.98536830077028004</v>
      </c>
      <c r="P109" s="1">
        <v>18.3470523482905</v>
      </c>
      <c r="Q109" s="1">
        <v>42.322024748462802</v>
      </c>
      <c r="R109" s="1">
        <v>0.98825048941765503</v>
      </c>
      <c r="S109" s="8">
        <v>19.299802232487298</v>
      </c>
      <c r="T109" s="7"/>
      <c r="U109" s="1"/>
      <c r="V109" s="1"/>
      <c r="W109" s="8"/>
      <c r="X109" s="7"/>
      <c r="Y109" s="1"/>
      <c r="Z109" s="1"/>
      <c r="AA109" s="8"/>
      <c r="AB109" s="7">
        <v>16</v>
      </c>
      <c r="AC109" s="1">
        <v>0.12218510841836699</v>
      </c>
      <c r="AD109" s="1">
        <v>36.7449722843591</v>
      </c>
      <c r="AE109" s="1">
        <v>0.97513214105234403</v>
      </c>
      <c r="AF109" s="1">
        <v>16.043616046474799</v>
      </c>
      <c r="AG109" s="1">
        <v>40.085692124459399</v>
      </c>
      <c r="AH109" s="1">
        <v>0.977903464699309</v>
      </c>
      <c r="AI109" s="1">
        <v>16.556758176159001</v>
      </c>
      <c r="AJ109" s="1">
        <v>503.63567447662302</v>
      </c>
      <c r="AK109" s="1">
        <v>364.29299640655501</v>
      </c>
      <c r="AL109" s="7"/>
      <c r="AM109" s="1"/>
      <c r="AN109" s="1"/>
      <c r="AO109" s="8"/>
      <c r="AP109" s="1"/>
      <c r="AQ109" s="1"/>
      <c r="AR109" s="1"/>
      <c r="AS109" s="8"/>
      <c r="AT109" s="7">
        <v>0.16</v>
      </c>
      <c r="AU109" s="1">
        <v>0.174227519132653</v>
      </c>
      <c r="AV109" s="1">
        <v>36.391637122350502</v>
      </c>
      <c r="AW109" s="1">
        <v>0.98543783663616302</v>
      </c>
      <c r="AX109" s="1">
        <v>18.367741011779199</v>
      </c>
      <c r="AY109" s="1">
        <v>39.262325027058701</v>
      </c>
      <c r="AZ109" s="1">
        <v>0.98762651318964201</v>
      </c>
      <c r="BA109" s="1">
        <v>19.075079002807598</v>
      </c>
      <c r="BB109" s="1">
        <v>497.29331731796202</v>
      </c>
      <c r="BC109" s="1">
        <v>361.54654836654601</v>
      </c>
      <c r="BD109" s="7"/>
      <c r="BE109" s="1"/>
      <c r="BF109" s="1"/>
      <c r="BG109" s="8"/>
      <c r="BH109" s="1"/>
      <c r="BI109" s="1"/>
      <c r="BJ109" s="1"/>
      <c r="BK109" s="8"/>
    </row>
    <row r="110" spans="1:63">
      <c r="A110" s="49"/>
      <c r="B110" s="7" t="s">
        <v>18</v>
      </c>
      <c r="C110" s="17">
        <v>0.12</v>
      </c>
      <c r="D110" s="7">
        <v>36</v>
      </c>
      <c r="E110" s="1">
        <v>0.109789806547619</v>
      </c>
      <c r="F110" s="1">
        <v>35.798887261567003</v>
      </c>
      <c r="G110" s="1">
        <v>0.96650915894925704</v>
      </c>
      <c r="H110" s="1">
        <v>14.750739459474399</v>
      </c>
      <c r="I110" s="1">
        <v>38.863747347071502</v>
      </c>
      <c r="J110" s="1">
        <v>0.97279087458727598</v>
      </c>
      <c r="K110" s="8">
        <v>15.6528541759298</v>
      </c>
      <c r="L110" s="7">
        <v>33</v>
      </c>
      <c r="M110" s="1">
        <v>0.116518920068027</v>
      </c>
      <c r="N110" s="1">
        <v>36.880146980204003</v>
      </c>
      <c r="O110" s="1">
        <v>0.97448902439390295</v>
      </c>
      <c r="P110" s="1">
        <v>15.932729325214201</v>
      </c>
      <c r="Q110" s="1">
        <v>40.092521646802403</v>
      </c>
      <c r="R110" s="1">
        <v>0.97808094974943405</v>
      </c>
      <c r="S110" s="8">
        <v>16.591782677001898</v>
      </c>
      <c r="T110" s="7"/>
      <c r="U110" s="1"/>
      <c r="V110" s="1"/>
      <c r="W110" s="8"/>
      <c r="X110" s="7"/>
      <c r="Y110" s="1"/>
      <c r="Z110" s="1"/>
      <c r="AA110" s="8"/>
      <c r="AB110" s="7">
        <v>8</v>
      </c>
      <c r="AC110" s="1">
        <v>8.0465826955782305E-2</v>
      </c>
      <c r="AD110" s="1">
        <v>35.366898796263101</v>
      </c>
      <c r="AE110" s="1">
        <v>0.96505848339443101</v>
      </c>
      <c r="AF110" s="1">
        <v>14.566582487768001</v>
      </c>
      <c r="AG110" s="1">
        <v>38.715068791418901</v>
      </c>
      <c r="AH110" s="1">
        <v>0.96829161303727995</v>
      </c>
      <c r="AI110" s="1">
        <v>14.988258504045699</v>
      </c>
      <c r="AJ110" s="1">
        <v>467.60045671463001</v>
      </c>
      <c r="AK110" s="1">
        <v>349.90142273902802</v>
      </c>
      <c r="AL110" s="7"/>
      <c r="AM110" s="1"/>
      <c r="AN110" s="1"/>
      <c r="AO110" s="8"/>
      <c r="AP110" s="1"/>
      <c r="AQ110" s="1"/>
      <c r="AR110" s="1"/>
      <c r="AS110" s="8"/>
      <c r="AT110" s="7">
        <v>0.08</v>
      </c>
      <c r="AU110" s="1">
        <v>0.113744419642857</v>
      </c>
      <c r="AV110" s="1">
        <v>35.087811881644903</v>
      </c>
      <c r="AW110" s="1">
        <v>0.978781887642728</v>
      </c>
      <c r="AX110" s="1">
        <v>16.732932551795098</v>
      </c>
      <c r="AY110" s="1">
        <v>37.918153198051797</v>
      </c>
      <c r="AZ110" s="1">
        <v>0.98180281894267296</v>
      </c>
      <c r="BA110" s="1">
        <v>17.399958837768999</v>
      </c>
      <c r="BB110" s="1">
        <v>458.72209715843201</v>
      </c>
      <c r="BC110" s="1">
        <v>354.42804718017499</v>
      </c>
      <c r="BD110" s="7"/>
      <c r="BE110" s="1"/>
      <c r="BF110" s="1"/>
      <c r="BG110" s="8"/>
      <c r="BH110" s="1"/>
      <c r="BI110" s="1"/>
      <c r="BJ110" s="1"/>
      <c r="BK110" s="8"/>
    </row>
    <row r="111" spans="1:63">
      <c r="A111" s="49"/>
      <c r="B111" s="7" t="s">
        <v>18</v>
      </c>
      <c r="C111" s="17">
        <v>0.06</v>
      </c>
      <c r="D111" s="7">
        <v>40</v>
      </c>
      <c r="E111" s="1">
        <v>5.7553411989795897E-2</v>
      </c>
      <c r="F111" s="1">
        <v>33.975959662608297</v>
      </c>
      <c r="G111" s="1">
        <v>0.94861937773795402</v>
      </c>
      <c r="H111" s="1">
        <v>12.892006403706301</v>
      </c>
      <c r="I111" s="1">
        <v>36.994301359266998</v>
      </c>
      <c r="J111" s="1">
        <v>0.95654780921853999</v>
      </c>
      <c r="K111" s="8">
        <v>13.6198832231512</v>
      </c>
      <c r="L111" s="7">
        <v>38</v>
      </c>
      <c r="M111" s="1">
        <v>5.2564838435374101E-2</v>
      </c>
      <c r="N111" s="1">
        <v>34.692382506647597</v>
      </c>
      <c r="O111" s="1">
        <v>0.95655864023562198</v>
      </c>
      <c r="P111" s="1">
        <v>13.6209658929114</v>
      </c>
      <c r="Q111" s="1">
        <v>37.862960908303698</v>
      </c>
      <c r="R111" s="1">
        <v>0.96071181278459705</v>
      </c>
      <c r="S111" s="8">
        <v>14.057380093788201</v>
      </c>
      <c r="T111" s="7"/>
      <c r="U111" s="1"/>
      <c r="V111" s="1"/>
      <c r="W111" s="8"/>
      <c r="X111" s="7"/>
      <c r="Y111" s="1"/>
      <c r="Z111" s="1"/>
      <c r="AA111" s="8"/>
      <c r="AB111" s="7">
        <v>4</v>
      </c>
      <c r="AC111" s="1">
        <v>5.2678837159863899E-2</v>
      </c>
      <c r="AD111" s="1">
        <v>34.070581923690703</v>
      </c>
      <c r="AE111" s="1">
        <v>0.951603156325045</v>
      </c>
      <c r="AF111" s="1">
        <v>13.151829610673399</v>
      </c>
      <c r="AG111" s="1">
        <v>37.405273455969898</v>
      </c>
      <c r="AH111" s="1">
        <v>0.95447979971530705</v>
      </c>
      <c r="AI111" s="1">
        <v>13.4179583575302</v>
      </c>
      <c r="AJ111" s="1">
        <v>442.550308942794</v>
      </c>
      <c r="AK111" s="1">
        <v>347.03949689865101</v>
      </c>
      <c r="AL111" s="7"/>
      <c r="AM111" s="1"/>
      <c r="AN111" s="1"/>
      <c r="AO111" s="8"/>
      <c r="AP111" s="1"/>
      <c r="AQ111" s="1"/>
      <c r="AR111" s="1"/>
      <c r="AS111" s="8"/>
      <c r="AT111" s="7">
        <v>0.04</v>
      </c>
      <c r="AU111" s="1">
        <v>7.5027104591836702E-2</v>
      </c>
      <c r="AV111" s="1">
        <v>33.658171712667098</v>
      </c>
      <c r="AW111" s="1">
        <v>0.969941989451932</v>
      </c>
      <c r="AX111" s="1">
        <v>15.2203976748127</v>
      </c>
      <c r="AY111" s="1">
        <v>36.358899785821102</v>
      </c>
      <c r="AZ111" s="1">
        <v>0.97383590273945697</v>
      </c>
      <c r="BA111" s="1">
        <v>15.822942451218401</v>
      </c>
      <c r="BB111" s="1">
        <v>488.061373233795</v>
      </c>
      <c r="BC111" s="1">
        <v>369.52379179000798</v>
      </c>
      <c r="BD111" s="7"/>
      <c r="BE111" s="1"/>
      <c r="BF111" s="1"/>
      <c r="BG111" s="8"/>
      <c r="BH111" s="1"/>
      <c r="BI111" s="1"/>
      <c r="BJ111" s="1"/>
      <c r="BK111" s="8"/>
    </row>
    <row r="112" spans="1:63">
      <c r="A112" s="49"/>
      <c r="B112" s="7" t="s">
        <v>37</v>
      </c>
      <c r="C112" s="17">
        <v>1.5</v>
      </c>
      <c r="D112" s="7">
        <v>19</v>
      </c>
      <c r="E112" s="1">
        <v>1.46756882440476</v>
      </c>
      <c r="F112" s="1">
        <v>44.778746811488702</v>
      </c>
      <c r="G112" s="1">
        <v>0.99689103370856402</v>
      </c>
      <c r="H112" s="1">
        <v>25.073839867129799</v>
      </c>
      <c r="I112" s="1">
        <v>47.831366893755501</v>
      </c>
      <c r="J112" s="1">
        <v>0.99797380373364597</v>
      </c>
      <c r="K112" s="8">
        <v>26.933184892491401</v>
      </c>
      <c r="L112" s="7">
        <v>17</v>
      </c>
      <c r="M112" s="1">
        <v>1.36244844812925</v>
      </c>
      <c r="N112" s="1">
        <v>44.981393840013403</v>
      </c>
      <c r="O112" s="1">
        <v>0.99713442586575296</v>
      </c>
      <c r="P112" s="1">
        <v>25.4278835158328</v>
      </c>
      <c r="Q112" s="1">
        <v>48.105085056667498</v>
      </c>
      <c r="R112" s="1">
        <v>0.99806670504669703</v>
      </c>
      <c r="S112" s="8">
        <v>27.1370188274349</v>
      </c>
      <c r="T112" s="13">
        <f>bdrate(E112:E115,F112:F115,M112:M115,N112:N115)</f>
        <v>-0.1486056790960204</v>
      </c>
      <c r="U112" s="12">
        <f>bdrate(E112:E115,H112:H115,M112:M115,P112:P115)</f>
        <v>-0.16042373648364139</v>
      </c>
      <c r="V112" s="12">
        <f>bdrate(E112:E115,I112:I115,M112:M115,Q112:Q115)</f>
        <v>-0.16097217999652436</v>
      </c>
      <c r="W112" s="14">
        <f>bdrate(E112:E115,K112:K115,M112:M115,S112:S115)</f>
        <v>-0.11853292077329691</v>
      </c>
      <c r="X112" s="13">
        <f>bdrate(E114:E117,F114:F117,M114:M117,N114:N117)</f>
        <v>-0.18675014427247982</v>
      </c>
      <c r="Y112" s="12">
        <f>bdrate(E114:E117,H114:H117,M114:M117,P114:P117)</f>
        <v>-0.18006686626140722</v>
      </c>
      <c r="Z112" s="12">
        <f>bdrate(E114:E117,I114:I117,M114:M117,Q114:Q117)</f>
        <v>-0.22096541497528133</v>
      </c>
      <c r="AA112" s="14">
        <f>bdrate(E114:E117,K114:K117,M114:M117,S114:S117)</f>
        <v>-0.14140808742284705</v>
      </c>
      <c r="AB112" s="7"/>
      <c r="AC112" s="1"/>
      <c r="AD112" s="1"/>
      <c r="AE112" s="1"/>
      <c r="AF112" s="1"/>
      <c r="AG112" s="1"/>
      <c r="AH112" s="1"/>
      <c r="AI112" s="1"/>
      <c r="AJ112" s="1"/>
      <c r="AK112" s="1"/>
      <c r="AL112" s="13" t="e">
        <f>bdrate(E112:E115,F112:F115,AC112:AC115,AD112:AD115)</f>
        <v>#VALUE!</v>
      </c>
      <c r="AM112" s="12" t="e">
        <f>bdrate(E112:E115,H112:H115,AC112:AC115,AF112:AF115)</f>
        <v>#VALUE!</v>
      </c>
      <c r="AN112" s="12" t="e">
        <f>bdrate(E112:E115,I112:I115,AC112:AC115,AG112:AG115)</f>
        <v>#VALUE!</v>
      </c>
      <c r="AO112" s="14" t="e">
        <f>bdrate(E112:E115,K112:K115,AC112:AC115,AI112:AI115)</f>
        <v>#VALUE!</v>
      </c>
      <c r="AP112" s="12">
        <f>bdrate(E114:E117,F114:F117,AC114:AC117,AD114:AD117)</f>
        <v>-0.13674139284963283</v>
      </c>
      <c r="AQ112" s="12">
        <f>bdrate(E114:E117,H114:H117,AC114:AC117,AF114:AF117)</f>
        <v>-0.15276197490212773</v>
      </c>
      <c r="AR112" s="12">
        <f>bdrate(E114:E117,I114:I117,AC114:AC117,AG114:AG117)</f>
        <v>-0.19947416002944951</v>
      </c>
      <c r="AS112" s="14">
        <f>bdrate(E114:E117,K114:K117,AC114:AC117,AI114:AI117)</f>
        <v>-0.10030296795745886</v>
      </c>
      <c r="AT112" s="7"/>
      <c r="AU112" s="1"/>
      <c r="AV112" s="1"/>
      <c r="AW112" s="1"/>
      <c r="AX112" s="1"/>
      <c r="AY112" s="1"/>
      <c r="AZ112" s="1"/>
      <c r="BA112" s="1"/>
      <c r="BB112" s="1"/>
      <c r="BC112" s="1"/>
      <c r="BD112" s="13" t="e">
        <f>bdrate(E112:E115,F112:F115,AU112:AU115,AV112:AV115)</f>
        <v>#VALUE!</v>
      </c>
      <c r="BE112" s="12" t="e">
        <f>bdrate(E112:E115,H112:H115,AU112:AU115,AX112:AX115)</f>
        <v>#VALUE!</v>
      </c>
      <c r="BF112" s="12" t="e">
        <f>bdrate(E112:E115,I112:I115,AU112:AU115,AY112:AY115)</f>
        <v>#VALUE!</v>
      </c>
      <c r="BG112" s="14" t="e">
        <f>bdrate(E112:E115,K112:K115,AU112:AU115,BA112:BA115)</f>
        <v>#VALUE!</v>
      </c>
      <c r="BH112" s="12">
        <f>bdrate(E114:E117,F114:F117,AU114:AU117,AV114:AV117)</f>
        <v>0.12736345720592346</v>
      </c>
      <c r="BI112" s="12">
        <f>bdrate(E114:E117,H114:H117,AU114:AU117,AX114:AX117)</f>
        <v>-0.37733454448015835</v>
      </c>
      <c r="BJ112" s="12">
        <f>bdrate(E114:E117,I114:I117,AU114:AU117,AY114:AY117)</f>
        <v>0.17130294860548601</v>
      </c>
      <c r="BK112" s="14">
        <f>bdrate(E114:E117,K114:K117,AU114:AU117,BA114:BA117)</f>
        <v>-0.31872935159456506</v>
      </c>
    </row>
    <row r="113" spans="1:63">
      <c r="A113" s="49"/>
      <c r="B113" s="7" t="s">
        <v>18</v>
      </c>
      <c r="C113" s="17">
        <v>1</v>
      </c>
      <c r="D113" s="7">
        <v>23</v>
      </c>
      <c r="E113" s="1">
        <v>0.92102386267006797</v>
      </c>
      <c r="F113" s="1">
        <v>42.256523870144399</v>
      </c>
      <c r="G113" s="1">
        <v>0.994743616935718</v>
      </c>
      <c r="H113" s="1">
        <v>22.793129926412899</v>
      </c>
      <c r="I113" s="1">
        <v>45.286055984879397</v>
      </c>
      <c r="J113" s="1">
        <v>0.99627640149019303</v>
      </c>
      <c r="K113" s="8">
        <v>24.290371521739399</v>
      </c>
      <c r="L113" s="7">
        <v>20</v>
      </c>
      <c r="M113" s="1">
        <v>0.96459821428571402</v>
      </c>
      <c r="N113" s="1">
        <v>43.207278611676301</v>
      </c>
      <c r="O113" s="1">
        <v>0.99578990396575595</v>
      </c>
      <c r="P113" s="1">
        <v>23.7570799759274</v>
      </c>
      <c r="Q113" s="1">
        <v>46.273713474946902</v>
      </c>
      <c r="R113" s="1">
        <v>0.99695100865923902</v>
      </c>
      <c r="S113" s="8">
        <v>25.158438090439699</v>
      </c>
      <c r="T113" s="7"/>
      <c r="U113" s="1"/>
      <c r="V113" s="1"/>
      <c r="W113" s="8"/>
      <c r="X113" s="7"/>
      <c r="Y113" s="1"/>
      <c r="Z113" s="1"/>
      <c r="AA113" s="8"/>
      <c r="AB113" s="7">
        <v>64</v>
      </c>
      <c r="AC113" s="1">
        <v>0.41409146471088398</v>
      </c>
      <c r="AD113" s="1">
        <v>39.396630024681102</v>
      </c>
      <c r="AE113" s="1">
        <v>0.98988664159028705</v>
      </c>
      <c r="AF113" s="1">
        <v>19.951046014212601</v>
      </c>
      <c r="AG113" s="1">
        <v>42.571555109353298</v>
      </c>
      <c r="AH113" s="1">
        <v>0.99192247739226003</v>
      </c>
      <c r="AI113" s="1">
        <v>20.927218177853799</v>
      </c>
      <c r="AJ113" s="1">
        <v>556.372764587402</v>
      </c>
      <c r="AK113" s="1">
        <v>363.25622558593699</v>
      </c>
      <c r="AL113" s="7"/>
      <c r="AM113" s="1"/>
      <c r="AN113" s="1"/>
      <c r="AO113" s="8"/>
      <c r="AP113" s="1"/>
      <c r="AQ113" s="1"/>
      <c r="AR113" s="1"/>
      <c r="AS113" s="8"/>
      <c r="AT113" s="7">
        <v>0.64</v>
      </c>
      <c r="AU113" s="1">
        <v>0.44709954294217602</v>
      </c>
      <c r="AV113" s="1">
        <v>37.924541531193803</v>
      </c>
      <c r="AW113" s="1">
        <v>0.99374665924169003</v>
      </c>
      <c r="AX113" s="1">
        <v>22.0388790501177</v>
      </c>
      <c r="AY113" s="1">
        <v>41.238381370604799</v>
      </c>
      <c r="AZ113" s="1">
        <v>0.99462938435366999</v>
      </c>
      <c r="BA113" s="1">
        <v>22.699759272467599</v>
      </c>
      <c r="BB113" s="1">
        <v>503.52535915374699</v>
      </c>
      <c r="BC113" s="1">
        <v>347.50906705856301</v>
      </c>
      <c r="BD113" s="7"/>
      <c r="BE113" s="1"/>
      <c r="BF113" s="1"/>
      <c r="BG113" s="8"/>
      <c r="BH113" s="1"/>
      <c r="BI113" s="1"/>
      <c r="BJ113" s="1"/>
      <c r="BK113" s="8"/>
    </row>
    <row r="114" spans="1:63">
      <c r="A114" s="49"/>
      <c r="B114" s="7" t="s">
        <v>18</v>
      </c>
      <c r="C114" s="17">
        <v>0.5</v>
      </c>
      <c r="D114" s="7">
        <v>29</v>
      </c>
      <c r="E114" s="1">
        <v>0.44816167091836701</v>
      </c>
      <c r="F114" s="1">
        <v>38.807739224180203</v>
      </c>
      <c r="G114" s="1">
        <v>0.98818099675407001</v>
      </c>
      <c r="H114" s="1">
        <v>19.274191480779098</v>
      </c>
      <c r="I114" s="1">
        <v>41.902235042530997</v>
      </c>
      <c r="J114" s="1">
        <v>0.99088622920750302</v>
      </c>
      <c r="K114" s="8">
        <v>20.4030189793984</v>
      </c>
      <c r="L114" s="7">
        <v>26</v>
      </c>
      <c r="M114" s="1">
        <v>0.46491842049319698</v>
      </c>
      <c r="N114" s="1">
        <v>39.774134977906101</v>
      </c>
      <c r="O114" s="1">
        <v>0.990792843321876</v>
      </c>
      <c r="P114" s="1">
        <v>20.358744663993299</v>
      </c>
      <c r="Q114" s="1">
        <v>42.921384587745898</v>
      </c>
      <c r="R114" s="1">
        <v>0.99261913729445705</v>
      </c>
      <c r="S114" s="8">
        <v>21.318928730876099</v>
      </c>
      <c r="T114" s="7"/>
      <c r="U114" s="1"/>
      <c r="V114" s="1"/>
      <c r="W114" s="8"/>
      <c r="X114" s="7"/>
      <c r="Y114" s="1"/>
      <c r="Z114" s="1"/>
      <c r="AA114" s="8"/>
      <c r="AB114" s="7">
        <v>32</v>
      </c>
      <c r="AC114" s="1">
        <v>0.28117532950680202</v>
      </c>
      <c r="AD114" s="1">
        <v>37.557219118801399</v>
      </c>
      <c r="AE114" s="1">
        <v>0.98442639677237198</v>
      </c>
      <c r="AF114" s="1">
        <v>18.076108941221399</v>
      </c>
      <c r="AG114" s="1">
        <v>40.840537993153397</v>
      </c>
      <c r="AH114" s="1">
        <v>0.98675550281070301</v>
      </c>
      <c r="AI114" s="1">
        <v>18.779645244984</v>
      </c>
      <c r="AJ114" s="1">
        <v>1311.86762380599</v>
      </c>
      <c r="AK114" s="1">
        <v>732.20497035980202</v>
      </c>
      <c r="AL114" s="7"/>
      <c r="AM114" s="1"/>
      <c r="AN114" s="1"/>
      <c r="AO114" s="8"/>
      <c r="AP114" s="1"/>
      <c r="AQ114" s="1"/>
      <c r="AR114" s="1"/>
      <c r="AS114" s="8"/>
      <c r="AT114" s="7">
        <v>0.32</v>
      </c>
      <c r="AU114" s="1">
        <v>0.33276387117346901</v>
      </c>
      <c r="AV114" s="1">
        <v>36.949606008355197</v>
      </c>
      <c r="AW114" s="1">
        <v>0.99080152161253598</v>
      </c>
      <c r="AX114" s="1">
        <v>20.362840077177498</v>
      </c>
      <c r="AY114" s="1">
        <v>40.177774018622699</v>
      </c>
      <c r="AZ114" s="1">
        <v>0.99196403869883998</v>
      </c>
      <c r="BA114" s="1">
        <v>20.949621633540101</v>
      </c>
      <c r="BB114" s="1">
        <v>466.57750725746098</v>
      </c>
      <c r="BC114" s="1">
        <v>317.67921900749201</v>
      </c>
      <c r="BD114" s="7"/>
      <c r="BE114" s="1"/>
      <c r="BF114" s="1"/>
      <c r="BG114" s="8"/>
      <c r="BH114" s="1"/>
      <c r="BI114" s="1"/>
      <c r="BJ114" s="1"/>
      <c r="BK114" s="8"/>
    </row>
    <row r="115" spans="1:63">
      <c r="A115" s="49"/>
      <c r="B115" s="7" t="s">
        <v>18</v>
      </c>
      <c r="C115" s="17">
        <v>0.25</v>
      </c>
      <c r="D115" s="7">
        <v>34</v>
      </c>
      <c r="E115" s="1">
        <v>0.226787308673469</v>
      </c>
      <c r="F115" s="1">
        <v>35.975073278948599</v>
      </c>
      <c r="G115" s="1">
        <v>0.97551886935972298</v>
      </c>
      <c r="H115" s="1">
        <v>16.1116852854061</v>
      </c>
      <c r="I115" s="1">
        <v>39.164152250177402</v>
      </c>
      <c r="J115" s="1">
        <v>0.97958863183455203</v>
      </c>
      <c r="K115" s="8">
        <v>16.901278837312798</v>
      </c>
      <c r="L115" s="7">
        <v>31</v>
      </c>
      <c r="M115" s="1">
        <v>0.24055192389455701</v>
      </c>
      <c r="N115" s="1">
        <v>36.983010834918801</v>
      </c>
      <c r="O115" s="1">
        <v>0.98118635632167805</v>
      </c>
      <c r="P115" s="1">
        <v>17.255270855690899</v>
      </c>
      <c r="Q115" s="1">
        <v>40.264453470312901</v>
      </c>
      <c r="R115" s="1">
        <v>0.98379959914172999</v>
      </c>
      <c r="S115" s="8">
        <v>17.904742392610299</v>
      </c>
      <c r="T115" s="7"/>
      <c r="U115" s="1"/>
      <c r="V115" s="1"/>
      <c r="W115" s="8"/>
      <c r="X115" s="7"/>
      <c r="Y115" s="1"/>
      <c r="Z115" s="1"/>
      <c r="AA115" s="8"/>
      <c r="AB115" s="7">
        <v>16</v>
      </c>
      <c r="AC115" s="1">
        <v>0.179056388180272</v>
      </c>
      <c r="AD115" s="1">
        <v>35.699781788836901</v>
      </c>
      <c r="AE115" s="1">
        <v>0.97433933216428603</v>
      </c>
      <c r="AF115" s="1">
        <v>15.9073204501522</v>
      </c>
      <c r="AG115" s="1">
        <v>39.101803350281997</v>
      </c>
      <c r="AH115" s="1">
        <v>0.97704631656010399</v>
      </c>
      <c r="AI115" s="1">
        <v>16.3914761211973</v>
      </c>
      <c r="AJ115" s="1">
        <v>511.35050296783402</v>
      </c>
      <c r="AK115" s="1">
        <v>360.66096353530799</v>
      </c>
      <c r="AL115" s="7"/>
      <c r="AM115" s="1"/>
      <c r="AN115" s="1"/>
      <c r="AO115" s="8"/>
      <c r="AP115" s="1"/>
      <c r="AQ115" s="1"/>
      <c r="AR115" s="1"/>
      <c r="AS115" s="8"/>
      <c r="AT115" s="7">
        <v>0.16</v>
      </c>
      <c r="AU115" s="1">
        <v>0.229511585884353</v>
      </c>
      <c r="AV115" s="1">
        <v>35.630693935228201</v>
      </c>
      <c r="AW115" s="1">
        <v>0.98552359797546796</v>
      </c>
      <c r="AX115" s="1">
        <v>18.393393645931798</v>
      </c>
      <c r="AY115" s="1">
        <v>38.781478007542198</v>
      </c>
      <c r="AZ115" s="1">
        <v>0.987082830498486</v>
      </c>
      <c r="BA115" s="1">
        <v>18.888326414916101</v>
      </c>
      <c r="BB115" s="1">
        <v>503.99320220947197</v>
      </c>
      <c r="BC115" s="1">
        <v>363.15264439582802</v>
      </c>
      <c r="BD115" s="7"/>
      <c r="BE115" s="1"/>
      <c r="BF115" s="1"/>
      <c r="BG115" s="8"/>
      <c r="BH115" s="1"/>
      <c r="BI115" s="1"/>
      <c r="BJ115" s="1"/>
      <c r="BK115" s="8"/>
    </row>
    <row r="116" spans="1:63">
      <c r="A116" s="49"/>
      <c r="B116" s="7" t="s">
        <v>18</v>
      </c>
      <c r="C116" s="17">
        <v>0.12</v>
      </c>
      <c r="D116" s="7">
        <v>38</v>
      </c>
      <c r="E116" s="1">
        <v>0.11899287840136</v>
      </c>
      <c r="F116" s="1">
        <v>33.747524585485898</v>
      </c>
      <c r="G116" s="1">
        <v>0.95619581742982496</v>
      </c>
      <c r="H116" s="1">
        <v>13.584844196232201</v>
      </c>
      <c r="I116" s="1">
        <v>37.037377496459598</v>
      </c>
      <c r="J116" s="1">
        <v>0.96110435355968504</v>
      </c>
      <c r="K116" s="8">
        <v>14.100990062001999</v>
      </c>
      <c r="L116" s="7">
        <v>36</v>
      </c>
      <c r="M116" s="1">
        <v>0.11254517431972701</v>
      </c>
      <c r="N116" s="1">
        <v>34.263281264518298</v>
      </c>
      <c r="O116" s="1">
        <v>0.96123698139493197</v>
      </c>
      <c r="P116" s="1">
        <v>14.115824103499101</v>
      </c>
      <c r="Q116" s="1">
        <v>37.696751483270504</v>
      </c>
      <c r="R116" s="1">
        <v>0.96461957317814395</v>
      </c>
      <c r="S116" s="8">
        <v>14.5123693215952</v>
      </c>
      <c r="T116" s="7"/>
      <c r="U116" s="1"/>
      <c r="V116" s="1"/>
      <c r="W116" s="8"/>
      <c r="X116" s="7"/>
      <c r="Y116" s="1"/>
      <c r="Z116" s="1"/>
      <c r="AA116" s="8"/>
      <c r="AB116" s="7">
        <v>8</v>
      </c>
      <c r="AC116" s="1">
        <v>0.1117684417517</v>
      </c>
      <c r="AD116" s="1">
        <v>33.986692854272398</v>
      </c>
      <c r="AE116" s="1">
        <v>0.95946511195682405</v>
      </c>
      <c r="AF116" s="1">
        <v>13.921710221606601</v>
      </c>
      <c r="AG116" s="1">
        <v>37.588897015132297</v>
      </c>
      <c r="AH116" s="1">
        <v>0.96204516178157296</v>
      </c>
      <c r="AI116" s="1">
        <v>14.2073285540393</v>
      </c>
      <c r="AJ116" s="1">
        <v>479.45784044265702</v>
      </c>
      <c r="AK116" s="1">
        <v>350.77870345115599</v>
      </c>
      <c r="AL116" s="7"/>
      <c r="AM116" s="1"/>
      <c r="AN116" s="1"/>
      <c r="AO116" s="8"/>
      <c r="AP116" s="1"/>
      <c r="AQ116" s="1"/>
      <c r="AR116" s="1"/>
      <c r="AS116" s="8"/>
      <c r="AT116" s="7">
        <v>0.08</v>
      </c>
      <c r="AU116" s="1">
        <v>0.15586548681972701</v>
      </c>
      <c r="AV116" s="1">
        <v>34.243919735860104</v>
      </c>
      <c r="AW116" s="1">
        <v>0.97770366285502397</v>
      </c>
      <c r="AX116" s="1">
        <v>16.517664772380702</v>
      </c>
      <c r="AY116" s="1">
        <v>37.351204820856402</v>
      </c>
      <c r="AZ116" s="1">
        <v>0.97972316415864102</v>
      </c>
      <c r="BA116" s="1">
        <v>16.929998148145799</v>
      </c>
      <c r="BB116" s="1">
        <v>460.28206801414399</v>
      </c>
      <c r="BC116" s="1">
        <v>345.185951471328</v>
      </c>
      <c r="BD116" s="7"/>
      <c r="BE116" s="1"/>
      <c r="BF116" s="1"/>
      <c r="BG116" s="8"/>
      <c r="BH116" s="1"/>
      <c r="BI116" s="1"/>
      <c r="BJ116" s="1"/>
      <c r="BK116" s="8"/>
    </row>
    <row r="117" spans="1:63">
      <c r="A117" s="49"/>
      <c r="B117" s="7" t="s">
        <v>18</v>
      </c>
      <c r="C117" s="17">
        <v>0.06</v>
      </c>
      <c r="D117" s="7">
        <v>42</v>
      </c>
      <c r="E117" s="1">
        <v>5.7849436649659802E-2</v>
      </c>
      <c r="F117" s="1">
        <v>31.738483182717701</v>
      </c>
      <c r="G117" s="1">
        <v>0.92505278238513999</v>
      </c>
      <c r="H117" s="1">
        <v>11.252444855234099</v>
      </c>
      <c r="I117" s="1">
        <v>35.100427014032299</v>
      </c>
      <c r="J117" s="1">
        <v>0.93028556669371498</v>
      </c>
      <c r="K117" s="8">
        <v>11.566772985683899</v>
      </c>
      <c r="L117" s="7">
        <v>40</v>
      </c>
      <c r="M117" s="1">
        <v>5.6335299744897899E-2</v>
      </c>
      <c r="N117" s="1">
        <v>32.225174719981801</v>
      </c>
      <c r="O117" s="1">
        <v>0.93285310453402004</v>
      </c>
      <c r="P117" s="1">
        <v>11.7297406211905</v>
      </c>
      <c r="Q117" s="1">
        <v>35.697847549415798</v>
      </c>
      <c r="R117" s="1">
        <v>0.936977088935671</v>
      </c>
      <c r="S117" s="8">
        <v>12.005015403880501</v>
      </c>
      <c r="T117" s="7"/>
      <c r="U117" s="1"/>
      <c r="V117" s="1"/>
      <c r="W117" s="8"/>
      <c r="X117" s="7"/>
      <c r="Y117" s="1"/>
      <c r="Z117" s="1"/>
      <c r="AA117" s="8"/>
      <c r="AB117" s="7">
        <v>4</v>
      </c>
      <c r="AC117" s="1">
        <v>6.8110384778911501E-2</v>
      </c>
      <c r="AD117" s="1">
        <v>32.365196870707699</v>
      </c>
      <c r="AE117" s="1">
        <v>0.93592595939749701</v>
      </c>
      <c r="AF117" s="1">
        <v>11.9331788790077</v>
      </c>
      <c r="AG117" s="1">
        <v>35.967571783157602</v>
      </c>
      <c r="AH117" s="1">
        <v>0.93886468555424496</v>
      </c>
      <c r="AI117" s="1">
        <v>12.137078496847</v>
      </c>
      <c r="AJ117" s="1">
        <v>451.47896456718399</v>
      </c>
      <c r="AK117" s="1">
        <v>335.893444538116</v>
      </c>
      <c r="AL117" s="7"/>
      <c r="AM117" s="1"/>
      <c r="AN117" s="1"/>
      <c r="AO117" s="8"/>
      <c r="AP117" s="1"/>
      <c r="AQ117" s="1"/>
      <c r="AR117" s="1"/>
      <c r="AS117" s="8"/>
      <c r="AT117" s="7">
        <v>0.04</v>
      </c>
      <c r="AU117" s="1">
        <v>0.10485411352040799</v>
      </c>
      <c r="AV117" s="1">
        <v>32.868807126467601</v>
      </c>
      <c r="AW117" s="1">
        <v>0.96640575037185605</v>
      </c>
      <c r="AX117" s="1">
        <v>14.7373505500574</v>
      </c>
      <c r="AY117" s="1">
        <v>35.882066091111703</v>
      </c>
      <c r="AZ117" s="1">
        <v>0.968907392919241</v>
      </c>
      <c r="BA117" s="1">
        <v>15.073428613174499</v>
      </c>
      <c r="BB117" s="1">
        <v>489.53066611289898</v>
      </c>
      <c r="BC117" s="1">
        <v>363.779793024063</v>
      </c>
      <c r="BD117" s="7"/>
      <c r="BE117" s="1"/>
      <c r="BF117" s="1"/>
      <c r="BG117" s="8"/>
      <c r="BH117" s="1"/>
      <c r="BI117" s="1"/>
      <c r="BJ117" s="1"/>
      <c r="BK117" s="8"/>
    </row>
    <row r="118" spans="1:63">
      <c r="A118" s="49"/>
      <c r="B118" s="7" t="s">
        <v>38</v>
      </c>
      <c r="C118" s="17">
        <v>1.5</v>
      </c>
      <c r="D118" s="7">
        <v>26</v>
      </c>
      <c r="E118" s="1">
        <v>1.3566414221938701</v>
      </c>
      <c r="F118" s="1">
        <v>38.970709370856</v>
      </c>
      <c r="G118" s="1">
        <v>0.99341389209372899</v>
      </c>
      <c r="H118" s="1">
        <v>21.813711581193701</v>
      </c>
      <c r="I118" s="1">
        <v>42.035819425478699</v>
      </c>
      <c r="J118" s="1">
        <v>0.99555637246395001</v>
      </c>
      <c r="K118" s="8">
        <v>23.5226235068024</v>
      </c>
      <c r="L118" s="7">
        <v>23</v>
      </c>
      <c r="M118" s="1">
        <v>1.40945471938775</v>
      </c>
      <c r="N118" s="1">
        <v>40.127322533793503</v>
      </c>
      <c r="O118" s="1">
        <v>0.99485217452979902</v>
      </c>
      <c r="P118" s="1">
        <v>22.883761856630802</v>
      </c>
      <c r="Q118" s="1">
        <v>43.2105718058775</v>
      </c>
      <c r="R118" s="1">
        <v>0.99639086091949802</v>
      </c>
      <c r="S118" s="8">
        <v>24.425963818001801</v>
      </c>
      <c r="T118" s="13">
        <f>bdrate(E118:E121,F118:F121,M118:M121,N118:N121)</f>
        <v>-0.13318875490109039</v>
      </c>
      <c r="U118" s="12">
        <f>bdrate(E118:E121,H118:H121,M118:M121,P118:P121)</f>
        <v>-0.12922207524550855</v>
      </c>
      <c r="V118" s="12">
        <f>bdrate(E118:E121,I118:I121,M118:M121,Q118:Q121)</f>
        <v>-0.15177099924112125</v>
      </c>
      <c r="W118" s="14">
        <f>bdrate(E118:E121,K118:K121,M118:M121,S118:S121)</f>
        <v>-9.3103859049843418E-2</v>
      </c>
      <c r="X118" s="13">
        <f>bdrate(E120:E123,F120:F123,M120:M123,N120:N123)</f>
        <v>-0.15213291433588738</v>
      </c>
      <c r="Y118" s="12">
        <f>bdrate(E120:E123,H120:H123,M120:M123,P120:P123)</f>
        <v>-0.14183977226877387</v>
      </c>
      <c r="Z118" s="12">
        <f>bdrate(E120:E123,I120:I123,M120:M123,Q120:Q123)</f>
        <v>-0.18411611352765989</v>
      </c>
      <c r="AA118" s="14">
        <f>bdrate(E120:E123,K120:K123,M120:M123,S120:S123)</f>
        <v>-0.11923518765276642</v>
      </c>
      <c r="AB118" s="7"/>
      <c r="AC118" s="1"/>
      <c r="AD118" s="1"/>
      <c r="AE118" s="1"/>
      <c r="AF118" s="1"/>
      <c r="AG118" s="1"/>
      <c r="AH118" s="1"/>
      <c r="AI118" s="1"/>
      <c r="AJ118" s="1"/>
      <c r="AK118" s="1"/>
      <c r="AL118" s="13" t="e">
        <f>bdrate(E118:E121,F118:F121,AC118:AC121,AD118:AD121)</f>
        <v>#VALUE!</v>
      </c>
      <c r="AM118" s="12" t="e">
        <f>bdrate(E118:E121,H118:H121,AC118:AC121,AF118:AF121)</f>
        <v>#VALUE!</v>
      </c>
      <c r="AN118" s="12" t="e">
        <f>bdrate(E118:E121,I118:I121,AC118:AC121,AG118:AG121)</f>
        <v>#VALUE!</v>
      </c>
      <c r="AO118" s="14" t="e">
        <f>bdrate(E118:E121,K118:K121,AC118:AC121,AI118:AI121)</f>
        <v>#VALUE!</v>
      </c>
      <c r="AP118" s="12">
        <f>bdrate(E120:E123,F120:F123,AC120:AC123,AD120:AD123)</f>
        <v>-0.10675602501742254</v>
      </c>
      <c r="AQ118" s="12">
        <f>bdrate(E120:E123,H120:H123,AC120:AC123,AF120:AF123)</f>
        <v>-0.13727342222807182</v>
      </c>
      <c r="AR118" s="12">
        <f>bdrate(E120:E123,I120:I123,AC120:AC123,AG120:AG123)</f>
        <v>-0.19278325739178548</v>
      </c>
      <c r="AS118" s="14">
        <f>bdrate(E120:E123,K120:K123,AC120:AC123,AI120:AI123)</f>
        <v>-9.2932223571046801E-2</v>
      </c>
      <c r="AT118" s="7"/>
      <c r="AU118" s="1"/>
      <c r="AV118" s="1"/>
      <c r="AW118" s="1"/>
      <c r="AX118" s="1"/>
      <c r="AY118" s="1"/>
      <c r="AZ118" s="1"/>
      <c r="BA118" s="1"/>
      <c r="BB118" s="1"/>
      <c r="BC118" s="1"/>
      <c r="BD118" s="13" t="e">
        <f>bdrate(E118:E121,F118:F121,AU118:AU121,AV118:AV121)</f>
        <v>#VALUE!</v>
      </c>
      <c r="BE118" s="12" t="e">
        <f>bdrate(E118:E121,H118:H121,AU118:AU121,AX118:AX121)</f>
        <v>#VALUE!</v>
      </c>
      <c r="BF118" s="12" t="e">
        <f>bdrate(E118:E121,I118:I121,AU118:AU121,AY118:AY121)</f>
        <v>#VALUE!</v>
      </c>
      <c r="BG118" s="14" t="e">
        <f>bdrate(E118:E121,K118:K121,AU118:AU121,BA118:BA121)</f>
        <v>#VALUE!</v>
      </c>
      <c r="BH118" s="12">
        <f>bdrate(E120:E123,F120:F123,AU120:AU123,AV120:AV123)</f>
        <v>0.2911178979176603</v>
      </c>
      <c r="BI118" s="12">
        <f>bdrate(E120:E123,H120:H123,AU120:AU123,AX120:AX123)</f>
        <v>-0.40828127840663264</v>
      </c>
      <c r="BJ118" s="12">
        <f>bdrate(E120:E123,I120:I123,AU120:AU123,AY120:AY123)</f>
        <v>0.28734234938125236</v>
      </c>
      <c r="BK118" s="14">
        <f>bdrate(E120:E123,K120:K123,AU120:AU123,BA120:BA123)</f>
        <v>-0.38253476032668976</v>
      </c>
    </row>
    <row r="119" spans="1:63">
      <c r="A119" s="49"/>
      <c r="B119" s="7" t="s">
        <v>18</v>
      </c>
      <c r="C119" s="17">
        <v>1</v>
      </c>
      <c r="D119" s="7">
        <v>29</v>
      </c>
      <c r="E119" s="1">
        <v>0.978325892857142</v>
      </c>
      <c r="F119" s="1">
        <v>36.764912372288499</v>
      </c>
      <c r="G119" s="1">
        <v>0.98922614523019203</v>
      </c>
      <c r="H119" s="1">
        <v>19.676288829850101</v>
      </c>
      <c r="I119" s="1">
        <v>39.898255140352298</v>
      </c>
      <c r="J119" s="1">
        <v>0.992103639308626</v>
      </c>
      <c r="K119" s="8">
        <v>21.025730221044501</v>
      </c>
      <c r="L119" s="7">
        <v>27</v>
      </c>
      <c r="M119" s="1">
        <v>0.92692548894557802</v>
      </c>
      <c r="N119" s="1">
        <v>37.267096734991298</v>
      </c>
      <c r="O119" s="1">
        <v>0.99035740748379197</v>
      </c>
      <c r="P119" s="1">
        <v>20.1580618558758</v>
      </c>
      <c r="Q119" s="1">
        <v>40.450069890822199</v>
      </c>
      <c r="R119" s="1">
        <v>0.99254984655837497</v>
      </c>
      <c r="S119" s="8">
        <v>21.278347825316299</v>
      </c>
      <c r="T119" s="7"/>
      <c r="U119" s="1"/>
      <c r="V119" s="1"/>
      <c r="W119" s="8"/>
      <c r="X119" s="7"/>
      <c r="Y119" s="1"/>
      <c r="Z119" s="1"/>
      <c r="AA119" s="8"/>
      <c r="AB119" s="7">
        <v>64</v>
      </c>
      <c r="AC119" s="1">
        <v>0.90965375212584998</v>
      </c>
      <c r="AD119" s="1">
        <v>37.131525714434297</v>
      </c>
      <c r="AE119" s="1">
        <v>0.99079010000638801</v>
      </c>
      <c r="AF119" s="1">
        <v>20.357450855966899</v>
      </c>
      <c r="AG119" s="1">
        <v>40.322384989785199</v>
      </c>
      <c r="AH119" s="1">
        <v>0.99297037317855097</v>
      </c>
      <c r="AI119" s="1">
        <v>21.530677295587601</v>
      </c>
      <c r="AJ119" s="1">
        <v>572.95628142356804</v>
      </c>
      <c r="AK119" s="1">
        <v>375.83268260955799</v>
      </c>
      <c r="AL119" s="7"/>
      <c r="AM119" s="1"/>
      <c r="AN119" s="1"/>
      <c r="AO119" s="8"/>
      <c r="AP119" s="1"/>
      <c r="AQ119" s="1"/>
      <c r="AR119" s="1"/>
      <c r="AS119" s="8"/>
      <c r="AT119" s="7">
        <v>0.64</v>
      </c>
      <c r="AU119" s="1">
        <v>0.65756723001700601</v>
      </c>
      <c r="AV119" s="1">
        <v>32.568899320403901</v>
      </c>
      <c r="AW119" s="1">
        <v>0.991384875726808</v>
      </c>
      <c r="AX119" s="1">
        <v>20.647384534716601</v>
      </c>
      <c r="AY119" s="1">
        <v>36.252444745110402</v>
      </c>
      <c r="AZ119" s="1">
        <v>0.99284675657140598</v>
      </c>
      <c r="BA119" s="1">
        <v>21.4549699543701</v>
      </c>
      <c r="BB119" s="1">
        <v>514.801121234893</v>
      </c>
      <c r="BC119" s="1">
        <v>346.95980048179598</v>
      </c>
      <c r="BD119" s="7"/>
      <c r="BE119" s="1"/>
      <c r="BF119" s="1"/>
      <c r="BG119" s="8"/>
      <c r="BH119" s="1"/>
      <c r="BI119" s="1"/>
      <c r="BJ119" s="1"/>
      <c r="BK119" s="8"/>
    </row>
    <row r="120" spans="1:63">
      <c r="A120" s="49"/>
      <c r="B120" s="7" t="s">
        <v>18</v>
      </c>
      <c r="C120" s="17">
        <v>0.5</v>
      </c>
      <c r="D120" s="7">
        <v>35</v>
      </c>
      <c r="E120" s="1">
        <v>0.46167198129251702</v>
      </c>
      <c r="F120" s="1">
        <v>32.675377545022997</v>
      </c>
      <c r="G120" s="1">
        <v>0.970419952941316</v>
      </c>
      <c r="H120" s="1">
        <v>15.2900113942261</v>
      </c>
      <c r="I120" s="1">
        <v>35.995226337088198</v>
      </c>
      <c r="J120" s="1">
        <v>0.975233691873019</v>
      </c>
      <c r="K120" s="8">
        <v>16.061387281569601</v>
      </c>
      <c r="L120" s="7">
        <v>33</v>
      </c>
      <c r="M120" s="1">
        <v>0.44110942814625798</v>
      </c>
      <c r="N120" s="1">
        <v>33.182330164264499</v>
      </c>
      <c r="O120" s="1">
        <v>0.97383190309885703</v>
      </c>
      <c r="P120" s="1">
        <v>15.822278606763501</v>
      </c>
      <c r="Q120" s="1">
        <v>36.617023657801703</v>
      </c>
      <c r="R120" s="1">
        <v>0.97714777928789798</v>
      </c>
      <c r="S120" s="8">
        <v>16.410715900733798</v>
      </c>
      <c r="T120" s="7"/>
      <c r="U120" s="1"/>
      <c r="V120" s="1"/>
      <c r="W120" s="8"/>
      <c r="X120" s="7"/>
      <c r="Y120" s="1"/>
      <c r="Z120" s="1"/>
      <c r="AA120" s="8"/>
      <c r="AB120" s="7">
        <v>32</v>
      </c>
      <c r="AC120" s="1">
        <v>0.66275164753401306</v>
      </c>
      <c r="AD120" s="1">
        <v>35.077348391265197</v>
      </c>
      <c r="AE120" s="1">
        <v>0.984731694718188</v>
      </c>
      <c r="AF120" s="1">
        <v>18.162091651441699</v>
      </c>
      <c r="AG120" s="1">
        <v>38.425457087766098</v>
      </c>
      <c r="AH120" s="1">
        <v>0.987257078301508</v>
      </c>
      <c r="AI120" s="1">
        <v>18.9473098549695</v>
      </c>
      <c r="AJ120" s="1">
        <v>1324.5404257774301</v>
      </c>
      <c r="AK120" s="1">
        <v>737.07399773597695</v>
      </c>
      <c r="AL120" s="7"/>
      <c r="AM120" s="1"/>
      <c r="AN120" s="1"/>
      <c r="AO120" s="8"/>
      <c r="AP120" s="1"/>
      <c r="AQ120" s="1"/>
      <c r="AR120" s="1"/>
      <c r="AS120" s="8"/>
      <c r="AT120" s="7">
        <v>0.32</v>
      </c>
      <c r="AU120" s="1">
        <v>0.51827673256802698</v>
      </c>
      <c r="AV120" s="1">
        <v>31.831703994469901</v>
      </c>
      <c r="AW120" s="1">
        <v>0.98769828561908402</v>
      </c>
      <c r="AX120" s="1">
        <v>19.100343605696398</v>
      </c>
      <c r="AY120" s="1">
        <v>35.454191164435002</v>
      </c>
      <c r="AZ120" s="1">
        <v>0.98956190422607604</v>
      </c>
      <c r="BA120" s="1">
        <v>19.813787226275299</v>
      </c>
      <c r="BB120" s="1">
        <v>481.25847434997502</v>
      </c>
      <c r="BC120" s="1">
        <v>317.54679489135702</v>
      </c>
      <c r="BD120" s="7"/>
      <c r="BE120" s="1"/>
      <c r="BF120" s="1"/>
      <c r="BG120" s="8"/>
      <c r="BH120" s="1"/>
      <c r="BI120" s="1"/>
      <c r="BJ120" s="1"/>
      <c r="BK120" s="8"/>
    </row>
    <row r="121" spans="1:63">
      <c r="A121" s="49"/>
      <c r="B121" s="7" t="s">
        <v>18</v>
      </c>
      <c r="C121" s="17">
        <v>0.25</v>
      </c>
      <c r="D121" s="7">
        <v>40</v>
      </c>
      <c r="E121" s="1">
        <v>0.212127178996598</v>
      </c>
      <c r="F121" s="1">
        <v>29.533392684364198</v>
      </c>
      <c r="G121" s="1">
        <v>0.932817046377171</v>
      </c>
      <c r="H121" s="1">
        <v>11.727409068072699</v>
      </c>
      <c r="I121" s="1">
        <v>33.049521840005397</v>
      </c>
      <c r="J121" s="1">
        <v>0.93884705218390097</v>
      </c>
      <c r="K121" s="8">
        <v>12.135826033961401</v>
      </c>
      <c r="L121" s="7">
        <v>37</v>
      </c>
      <c r="M121" s="1">
        <v>0.24402396896258499</v>
      </c>
      <c r="N121" s="1">
        <v>30.614663621276598</v>
      </c>
      <c r="O121" s="1">
        <v>0.94902065442365802</v>
      </c>
      <c r="P121" s="1">
        <v>12.9260574388456</v>
      </c>
      <c r="Q121" s="1">
        <v>34.167343291365803</v>
      </c>
      <c r="R121" s="1">
        <v>0.95332235560372802</v>
      </c>
      <c r="S121" s="8">
        <v>13.308910688973199</v>
      </c>
      <c r="T121" s="7"/>
      <c r="U121" s="1"/>
      <c r="V121" s="1"/>
      <c r="W121" s="8"/>
      <c r="X121" s="7"/>
      <c r="Y121" s="1"/>
      <c r="Z121" s="1"/>
      <c r="AA121" s="8"/>
      <c r="AB121" s="7">
        <v>16</v>
      </c>
      <c r="AC121" s="1">
        <v>0.42521391369047601</v>
      </c>
      <c r="AD121" s="1">
        <v>32.809630597302302</v>
      </c>
      <c r="AE121" s="1">
        <v>0.97242452582014904</v>
      </c>
      <c r="AF121" s="1">
        <v>15.594770108217</v>
      </c>
      <c r="AG121" s="1">
        <v>36.354983371038301</v>
      </c>
      <c r="AH121" s="1">
        <v>0.97551160072323595</v>
      </c>
      <c r="AI121" s="1">
        <v>16.110396022982801</v>
      </c>
      <c r="AJ121" s="1">
        <v>507.09811377525301</v>
      </c>
      <c r="AK121" s="1">
        <v>359.52015113830498</v>
      </c>
      <c r="AL121" s="7"/>
      <c r="AM121" s="1"/>
      <c r="AN121" s="1"/>
      <c r="AO121" s="8"/>
      <c r="AP121" s="1"/>
      <c r="AQ121" s="1"/>
      <c r="AR121" s="1"/>
      <c r="AS121" s="8"/>
      <c r="AT121" s="7">
        <v>0.16</v>
      </c>
      <c r="AU121" s="1">
        <v>0.37667703018707399</v>
      </c>
      <c r="AV121" s="1">
        <v>30.726446320198001</v>
      </c>
      <c r="AW121" s="1">
        <v>0.98039424307574996</v>
      </c>
      <c r="AX121" s="1">
        <v>17.076163861268899</v>
      </c>
      <c r="AY121" s="1">
        <v>34.325144628375099</v>
      </c>
      <c r="AZ121" s="1">
        <v>0.98287295302168598</v>
      </c>
      <c r="BA121" s="1">
        <v>17.6631751103209</v>
      </c>
      <c r="BB121" s="1">
        <v>513.93532395362797</v>
      </c>
      <c r="BC121" s="1">
        <v>367.77645254135098</v>
      </c>
      <c r="BD121" s="7"/>
      <c r="BE121" s="1"/>
      <c r="BF121" s="1"/>
      <c r="BG121" s="8"/>
      <c r="BH121" s="1"/>
      <c r="BI121" s="1"/>
      <c r="BJ121" s="1"/>
      <c r="BK121" s="8"/>
    </row>
    <row r="122" spans="1:63">
      <c r="A122" s="49"/>
      <c r="B122" s="7" t="s">
        <v>18</v>
      </c>
      <c r="C122" s="17">
        <v>0.12</v>
      </c>
      <c r="D122" s="7">
        <v>43</v>
      </c>
      <c r="E122" s="1">
        <v>0.119955888605442</v>
      </c>
      <c r="F122" s="1">
        <v>27.817644352061201</v>
      </c>
      <c r="G122" s="1">
        <v>0.89518433010236098</v>
      </c>
      <c r="H122" s="1">
        <v>9.7957378565999402</v>
      </c>
      <c r="I122" s="1">
        <v>31.473097816816299</v>
      </c>
      <c r="J122" s="1">
        <v>0.90131780591550603</v>
      </c>
      <c r="K122" s="8">
        <v>10.057612030392599</v>
      </c>
      <c r="L122" s="7">
        <v>42</v>
      </c>
      <c r="M122" s="1">
        <v>9.9263392857142793E-2</v>
      </c>
      <c r="N122" s="1">
        <v>27.771032941123998</v>
      </c>
      <c r="O122" s="1">
        <v>0.89250918336101503</v>
      </c>
      <c r="P122" s="1">
        <v>9.6862863764025207</v>
      </c>
      <c r="Q122" s="1">
        <v>31.5400477384681</v>
      </c>
      <c r="R122" s="1">
        <v>0.89710991056382705</v>
      </c>
      <c r="S122" s="8">
        <v>9.8762645527124793</v>
      </c>
      <c r="T122" s="7"/>
      <c r="U122" s="1"/>
      <c r="V122" s="1"/>
      <c r="W122" s="8"/>
      <c r="X122" s="7"/>
      <c r="Y122" s="1"/>
      <c r="Z122" s="1"/>
      <c r="AA122" s="8"/>
      <c r="AB122" s="7">
        <v>8</v>
      </c>
      <c r="AC122" s="1">
        <v>0.26155213647959102</v>
      </c>
      <c r="AD122" s="1">
        <v>30.712776162928201</v>
      </c>
      <c r="AE122" s="1">
        <v>0.95259227533056201</v>
      </c>
      <c r="AF122" s="1">
        <v>13.241508881153599</v>
      </c>
      <c r="AG122" s="1">
        <v>34.531225791660503</v>
      </c>
      <c r="AH122" s="1">
        <v>0.955617918279276</v>
      </c>
      <c r="AI122" s="1">
        <v>13.527923312473099</v>
      </c>
      <c r="AJ122" s="1">
        <v>494.68537735938997</v>
      </c>
      <c r="AK122" s="1">
        <v>354.92056798934902</v>
      </c>
      <c r="AL122" s="7"/>
      <c r="AM122" s="1"/>
      <c r="AN122" s="1"/>
      <c r="AO122" s="8"/>
      <c r="AP122" s="1"/>
      <c r="AQ122" s="1"/>
      <c r="AR122" s="1"/>
      <c r="AS122" s="8"/>
      <c r="AT122" s="7">
        <v>0.08</v>
      </c>
      <c r="AU122" s="1">
        <v>0.25907180059523799</v>
      </c>
      <c r="AV122" s="1">
        <v>29.355894940269</v>
      </c>
      <c r="AW122" s="1">
        <v>0.96822819719459097</v>
      </c>
      <c r="AX122" s="1">
        <v>14.9795814160258</v>
      </c>
      <c r="AY122" s="1">
        <v>32.821663035315296</v>
      </c>
      <c r="AZ122" s="1">
        <v>0.97145645592682905</v>
      </c>
      <c r="BA122" s="1">
        <v>15.4449210424649</v>
      </c>
      <c r="BB122" s="1">
        <v>471.48093724250703</v>
      </c>
      <c r="BC122" s="1">
        <v>350.95211172103802</v>
      </c>
      <c r="BD122" s="7"/>
      <c r="BE122" s="1"/>
      <c r="BF122" s="1"/>
      <c r="BG122" s="8"/>
      <c r="BH122" s="1"/>
      <c r="BI122" s="1"/>
      <c r="BJ122" s="1"/>
      <c r="BK122" s="8"/>
    </row>
    <row r="123" spans="1:63">
      <c r="A123" s="49"/>
      <c r="B123" s="7" t="s">
        <v>18</v>
      </c>
      <c r="C123" s="17">
        <v>0.06</v>
      </c>
      <c r="D123" s="7">
        <v>47</v>
      </c>
      <c r="E123" s="1">
        <v>5.1207748724489799E-2</v>
      </c>
      <c r="F123" s="1">
        <v>25.909359972078501</v>
      </c>
      <c r="G123" s="1">
        <v>0.82719202879618703</v>
      </c>
      <c r="H123" s="1">
        <v>7.6243622846600596</v>
      </c>
      <c r="I123" s="1">
        <v>29.7119787590171</v>
      </c>
      <c r="J123" s="1">
        <v>0.83219543809473095</v>
      </c>
      <c r="K123" s="8">
        <v>7.75196236693525</v>
      </c>
      <c r="L123" s="7">
        <v>45</v>
      </c>
      <c r="M123" s="1">
        <v>5.3247502125850298E-2</v>
      </c>
      <c r="N123" s="1">
        <v>26.339810762349099</v>
      </c>
      <c r="O123" s="1">
        <v>0.84314128479820505</v>
      </c>
      <c r="P123" s="1">
        <v>8.0449134653016205</v>
      </c>
      <c r="Q123" s="1">
        <v>30.220416070574998</v>
      </c>
      <c r="R123" s="1">
        <v>0.84721013709787796</v>
      </c>
      <c r="S123" s="8">
        <v>8.1590545879509797</v>
      </c>
      <c r="T123" s="7"/>
      <c r="U123" s="1"/>
      <c r="V123" s="1"/>
      <c r="W123" s="8"/>
      <c r="X123" s="7"/>
      <c r="Y123" s="1"/>
      <c r="Z123" s="1"/>
      <c r="AA123" s="8"/>
      <c r="AB123" s="7">
        <v>4</v>
      </c>
      <c r="AC123" s="1">
        <v>0.15945232780612201</v>
      </c>
      <c r="AD123" s="1">
        <v>28.899271184315801</v>
      </c>
      <c r="AE123" s="1">
        <v>0.92216901150563901</v>
      </c>
      <c r="AF123" s="1">
        <v>11.0884745374858</v>
      </c>
      <c r="AG123" s="1">
        <v>32.850640021536798</v>
      </c>
      <c r="AH123" s="1">
        <v>0.92553602954975001</v>
      </c>
      <c r="AI123" s="1">
        <v>11.280538107356501</v>
      </c>
      <c r="AJ123" s="1">
        <v>459.330183506011</v>
      </c>
      <c r="AK123" s="1">
        <v>342.40093803405699</v>
      </c>
      <c r="AL123" s="7"/>
      <c r="AM123" s="1"/>
      <c r="AN123" s="1"/>
      <c r="AO123" s="8"/>
      <c r="AP123" s="1"/>
      <c r="AQ123" s="1"/>
      <c r="AR123" s="1"/>
      <c r="AS123" s="8"/>
      <c r="AT123" s="7">
        <v>0.04</v>
      </c>
      <c r="AU123" s="1">
        <v>0.172251009778911</v>
      </c>
      <c r="AV123" s="1">
        <v>28.067608512860598</v>
      </c>
      <c r="AW123" s="1">
        <v>0.94978235621142704</v>
      </c>
      <c r="AX123" s="1">
        <v>12.9914366823853</v>
      </c>
      <c r="AY123" s="1">
        <v>31.4697135171795</v>
      </c>
      <c r="AZ123" s="1">
        <v>0.95361842599597402</v>
      </c>
      <c r="BA123" s="1">
        <v>13.3365451724043</v>
      </c>
      <c r="BB123" s="1">
        <v>502.06875324249199</v>
      </c>
      <c r="BC123" s="1">
        <v>364.21565103530799</v>
      </c>
      <c r="BD123" s="7"/>
      <c r="BE123" s="1"/>
      <c r="BF123" s="1"/>
      <c r="BG123" s="8"/>
      <c r="BH123" s="1"/>
      <c r="BI123" s="1"/>
      <c r="BJ123" s="1"/>
      <c r="BK123" s="8"/>
    </row>
    <row r="124" spans="1:63">
      <c r="A124" s="49"/>
      <c r="B124" s="7" t="s">
        <v>39</v>
      </c>
      <c r="C124" s="17">
        <v>1.5</v>
      </c>
      <c r="D124" s="7">
        <v>20</v>
      </c>
      <c r="E124" s="1">
        <v>1.47275643069727</v>
      </c>
      <c r="F124" s="1">
        <v>43.430745600625599</v>
      </c>
      <c r="G124" s="1">
        <v>0.99503526223209604</v>
      </c>
      <c r="H124" s="1">
        <v>23.041036855291502</v>
      </c>
      <c r="I124" s="1">
        <v>46.6010963733723</v>
      </c>
      <c r="J124" s="1">
        <v>0.99678394494232903</v>
      </c>
      <c r="K124" s="8">
        <v>24.926765248994101</v>
      </c>
      <c r="L124" s="7">
        <v>18</v>
      </c>
      <c r="M124" s="1">
        <v>1.38685427295918</v>
      </c>
      <c r="N124" s="1">
        <v>43.668964080745198</v>
      </c>
      <c r="O124" s="1">
        <v>0.99551359572279297</v>
      </c>
      <c r="P124" s="1">
        <v>23.481015940055801</v>
      </c>
      <c r="Q124" s="1">
        <v>46.8577017464969</v>
      </c>
      <c r="R124" s="1">
        <v>0.99697626649989302</v>
      </c>
      <c r="S124" s="8">
        <v>25.1945648847956</v>
      </c>
      <c r="T124" s="13">
        <f>bdrate(E124:E127,F124:F127,M124:M127,N124:N127)</f>
        <v>-0.14256540193806266</v>
      </c>
      <c r="U124" s="12">
        <f>bdrate(E124:E127,H124:H127,M124:M127,P124:P127)</f>
        <v>-0.15659068635277207</v>
      </c>
      <c r="V124" s="12">
        <f>bdrate(E124:E127,I124:I127,M124:M127,Q124:Q127)</f>
        <v>-0.14843807929224651</v>
      </c>
      <c r="W124" s="14">
        <f>bdrate(E124:E127,K124:K127,M124:M127,S124:S127)</f>
        <v>-0.13283935274234382</v>
      </c>
      <c r="X124" s="13">
        <f>bdrate(E126:E129,F126:F129,M126:M129,N126:N129)</f>
        <v>-0.28056817754879226</v>
      </c>
      <c r="Y124" s="12">
        <f>bdrate(E126:E129,H126:H129,M126:M129,P126:P129)</f>
        <v>-0.25242480652817301</v>
      </c>
      <c r="Z124" s="12">
        <f>bdrate(E126:E129,I126:I129,M126:M129,Q126:Q129)</f>
        <v>-0.29703298276468693</v>
      </c>
      <c r="AA124" s="14">
        <f>bdrate(E126:E129,K126:K129,M126:M129,S126:S129)</f>
        <v>-0.22500765942944401</v>
      </c>
      <c r="AB124" s="7"/>
      <c r="AC124" s="1"/>
      <c r="AD124" s="1"/>
      <c r="AE124" s="1"/>
      <c r="AF124" s="1"/>
      <c r="AG124" s="1"/>
      <c r="AH124" s="1"/>
      <c r="AI124" s="1"/>
      <c r="AJ124" s="1"/>
      <c r="AK124" s="1"/>
      <c r="AL124" s="13" t="e">
        <f>bdrate(E124:E127,F124:F127,AC124:AC127,AD124:AD127)</f>
        <v>#VALUE!</v>
      </c>
      <c r="AM124" s="12" t="e">
        <f>bdrate(E124:E127,H124:H127,AC124:AC127,AF124:AF127)</f>
        <v>#VALUE!</v>
      </c>
      <c r="AN124" s="12" t="e">
        <f>bdrate(E124:E127,I124:I127,AC124:AC127,AG124:AG127)</f>
        <v>#VALUE!</v>
      </c>
      <c r="AO124" s="14" t="e">
        <f>bdrate(E124:E127,K124:K127,AC124:AC127,AI124:AI127)</f>
        <v>#VALUE!</v>
      </c>
      <c r="AP124" s="12">
        <f>bdrate(E126:E129,F126:F129,AC126:AC129,AD126:AD129)</f>
        <v>-0.21507878004794379</v>
      </c>
      <c r="AQ124" s="12">
        <f>bdrate(E126:E129,H126:H129,AC126:AC129,AF126:AF129)</f>
        <v>-0.2470910833846589</v>
      </c>
      <c r="AR124" s="12">
        <f>bdrate(E126:E129,I126:I129,AC126:AC129,AG126:AG129)</f>
        <v>-0.25482847776924689</v>
      </c>
      <c r="AS124" s="14">
        <f>bdrate(E126:E129,K126:K129,AC126:AC129,AI126:AI129)</f>
        <v>-0.17873988579300515</v>
      </c>
      <c r="AT124" s="7"/>
      <c r="AU124" s="1"/>
      <c r="AV124" s="1"/>
      <c r="AW124" s="1"/>
      <c r="AX124" s="1"/>
      <c r="AY124" s="1"/>
      <c r="AZ124" s="1"/>
      <c r="BA124" s="1"/>
      <c r="BB124" s="1"/>
      <c r="BC124" s="1"/>
      <c r="BD124" s="13" t="e">
        <f>bdrate(E124:E127,F124:F127,AU124:AU127,AV124:AV127)</f>
        <v>#VALUE!</v>
      </c>
      <c r="BE124" s="12" t="e">
        <f>bdrate(E124:E127,H124:H127,AU124:AU127,AX124:AX127)</f>
        <v>#VALUE!</v>
      </c>
      <c r="BF124" s="12" t="e">
        <f>bdrate(E124:E127,I124:I127,AU124:AU127,AY124:AY127)</f>
        <v>#VALUE!</v>
      </c>
      <c r="BG124" s="14" t="e">
        <f>bdrate(E124:E127,K124:K127,AU124:AU127,BA124:BA127)</f>
        <v>#VALUE!</v>
      </c>
      <c r="BH124" s="12">
        <f>bdrate(E126:E129,F126:F129,AU126:AU129,AV126:AV129)</f>
        <v>0.53463460520285166</v>
      </c>
      <c r="BI124" s="12">
        <f>bdrate(E126:E129,H126:H129,AU126:AU129,AX126:AX129)</f>
        <v>-0.57073171742724771</v>
      </c>
      <c r="BJ124" s="12">
        <f>bdrate(E126:E129,I126:I129,AU126:AU129,AY126:AY129)</f>
        <v>0.66633510362011306</v>
      </c>
      <c r="BK124" s="14">
        <f>bdrate(E126:E129,K126:K129,AU126:AU129,BA126:BA129)</f>
        <v>-0.55302660841604534</v>
      </c>
    </row>
    <row r="125" spans="1:63">
      <c r="A125" s="49"/>
      <c r="B125" s="7" t="s">
        <v>18</v>
      </c>
      <c r="C125" s="17">
        <v>1</v>
      </c>
      <c r="D125" s="7">
        <v>23</v>
      </c>
      <c r="E125" s="1">
        <v>0.93727492559523795</v>
      </c>
      <c r="F125" s="1">
        <v>41.1405444643934</v>
      </c>
      <c r="G125" s="1">
        <v>0.99144525481507095</v>
      </c>
      <c r="H125" s="1">
        <v>20.677929219998301</v>
      </c>
      <c r="I125" s="1">
        <v>44.358781845759196</v>
      </c>
      <c r="J125" s="1">
        <v>0.993518701210928</v>
      </c>
      <c r="K125" s="8">
        <v>21.883379570295201</v>
      </c>
      <c r="L125" s="7">
        <v>21</v>
      </c>
      <c r="M125" s="1">
        <v>0.90931149022108804</v>
      </c>
      <c r="N125" s="1">
        <v>41.5861883487893</v>
      </c>
      <c r="O125" s="1">
        <v>0.992555619767853</v>
      </c>
      <c r="P125" s="1">
        <v>21.2817145277584</v>
      </c>
      <c r="Q125" s="1">
        <v>44.800164328032601</v>
      </c>
      <c r="R125" s="1">
        <v>0.99434001703066</v>
      </c>
      <c r="S125" s="8">
        <v>22.4718487558433</v>
      </c>
      <c r="T125" s="7"/>
      <c r="U125" s="1"/>
      <c r="V125" s="1"/>
      <c r="W125" s="8"/>
      <c r="X125" s="7"/>
      <c r="Y125" s="1"/>
      <c r="Z125" s="1"/>
      <c r="AA125" s="8"/>
      <c r="AB125" s="7">
        <v>64</v>
      </c>
      <c r="AC125" s="1">
        <v>0.29337186437074803</v>
      </c>
      <c r="AD125" s="1">
        <v>38.0010775806876</v>
      </c>
      <c r="AE125" s="1">
        <v>0.98205870024009101</v>
      </c>
      <c r="AF125" s="1">
        <v>17.461460976292301</v>
      </c>
      <c r="AG125" s="1">
        <v>41.348312437848499</v>
      </c>
      <c r="AH125" s="1">
        <v>0.98427719812521697</v>
      </c>
      <c r="AI125" s="1">
        <v>18.034700581485399</v>
      </c>
      <c r="AJ125" s="1">
        <v>622.80336475372303</v>
      </c>
      <c r="AK125" s="1">
        <v>378.45599913597101</v>
      </c>
      <c r="AL125" s="7"/>
      <c r="AM125" s="1"/>
      <c r="AN125" s="1"/>
      <c r="AO125" s="8"/>
      <c r="AP125" s="1"/>
      <c r="AQ125" s="1"/>
      <c r="AR125" s="1"/>
      <c r="AS125" s="8"/>
      <c r="AT125" s="7">
        <v>0.64</v>
      </c>
      <c r="AU125" s="1">
        <v>0.485732089710884</v>
      </c>
      <c r="AV125" s="1">
        <v>36.875614207925501</v>
      </c>
      <c r="AW125" s="1">
        <v>0.99318022546447804</v>
      </c>
      <c r="AX125" s="1">
        <v>21.662299830557401</v>
      </c>
      <c r="AY125" s="1">
        <v>39.952996496946398</v>
      </c>
      <c r="AZ125" s="1">
        <v>0.99432178083080103</v>
      </c>
      <c r="BA125" s="1">
        <v>22.457878484891701</v>
      </c>
      <c r="BB125" s="1">
        <v>523.59106183051995</v>
      </c>
      <c r="BC125" s="1">
        <v>350.29624676704401</v>
      </c>
      <c r="BD125" s="7"/>
      <c r="BE125" s="1"/>
      <c r="BF125" s="1"/>
      <c r="BG125" s="8"/>
      <c r="BH125" s="1"/>
      <c r="BI125" s="1"/>
      <c r="BJ125" s="1"/>
      <c r="BK125" s="8"/>
    </row>
    <row r="126" spans="1:63">
      <c r="A126" s="49"/>
      <c r="B126" s="7" t="s">
        <v>18</v>
      </c>
      <c r="C126" s="17">
        <v>0.5</v>
      </c>
      <c r="D126" s="7">
        <v>27</v>
      </c>
      <c r="E126" s="1">
        <v>0.43588435374149598</v>
      </c>
      <c r="F126" s="1">
        <v>38.509284616829802</v>
      </c>
      <c r="G126" s="1">
        <v>0.98289027831236797</v>
      </c>
      <c r="H126" s="1">
        <v>17.6675705477852</v>
      </c>
      <c r="I126" s="1">
        <v>41.810327648568197</v>
      </c>
      <c r="J126" s="1">
        <v>0.98565269013642898</v>
      </c>
      <c r="K126" s="8">
        <v>18.432295219913101</v>
      </c>
      <c r="L126" s="7">
        <v>25</v>
      </c>
      <c r="M126" s="1">
        <v>0.41192123724489799</v>
      </c>
      <c r="N126" s="1">
        <v>38.869193963541697</v>
      </c>
      <c r="O126" s="1">
        <v>0.98440059908208399</v>
      </c>
      <c r="P126" s="1">
        <v>18.068920800454901</v>
      </c>
      <c r="Q126" s="1">
        <v>42.201053831913804</v>
      </c>
      <c r="R126" s="1">
        <v>0.98679046927821701</v>
      </c>
      <c r="S126" s="8">
        <v>18.791126107397702</v>
      </c>
      <c r="T126" s="7"/>
      <c r="U126" s="1"/>
      <c r="V126" s="1"/>
      <c r="W126" s="8"/>
      <c r="X126" s="7"/>
      <c r="Y126" s="1"/>
      <c r="Z126" s="1"/>
      <c r="AA126" s="8"/>
      <c r="AB126" s="7">
        <v>32</v>
      </c>
      <c r="AC126" s="1">
        <v>0.203512170493197</v>
      </c>
      <c r="AD126" s="1">
        <v>37.044446311349297</v>
      </c>
      <c r="AE126" s="1">
        <v>0.97840031896893398</v>
      </c>
      <c r="AF126" s="1">
        <v>16.655526621579099</v>
      </c>
      <c r="AG126" s="1">
        <v>40.393245630004202</v>
      </c>
      <c r="AH126" s="1">
        <v>0.98091485216906504</v>
      </c>
      <c r="AI126" s="1">
        <v>17.193044717164199</v>
      </c>
      <c r="AJ126" s="1">
        <v>1415.0486497879001</v>
      </c>
      <c r="AK126" s="1">
        <v>725.29958939552296</v>
      </c>
      <c r="AL126" s="7"/>
      <c r="AM126" s="1"/>
      <c r="AN126" s="1"/>
      <c r="AO126" s="8"/>
      <c r="AP126" s="1"/>
      <c r="AQ126" s="1"/>
      <c r="AR126" s="1"/>
      <c r="AS126" s="8"/>
      <c r="AT126" s="7">
        <v>0.32</v>
      </c>
      <c r="AU126" s="1">
        <v>0.32512887967686999</v>
      </c>
      <c r="AV126" s="1">
        <v>35.685788361742901</v>
      </c>
      <c r="AW126" s="1">
        <v>0.98947678957109497</v>
      </c>
      <c r="AX126" s="1">
        <v>19.778517450821401</v>
      </c>
      <c r="AY126" s="1">
        <v>38.688007517857102</v>
      </c>
      <c r="AZ126" s="1">
        <v>0.99103562928050004</v>
      </c>
      <c r="BA126" s="1">
        <v>20.4748019161668</v>
      </c>
      <c r="BB126" s="1">
        <v>496.873047590255</v>
      </c>
      <c r="BC126" s="1">
        <v>328.95257425308199</v>
      </c>
      <c r="BD126" s="7"/>
      <c r="BE126" s="1"/>
      <c r="BF126" s="1"/>
      <c r="BG126" s="8"/>
      <c r="BH126" s="1"/>
      <c r="BI126" s="1"/>
      <c r="BJ126" s="1"/>
      <c r="BK126" s="8"/>
    </row>
    <row r="127" spans="1:63">
      <c r="A127" s="49"/>
      <c r="B127" s="7" t="s">
        <v>18</v>
      </c>
      <c r="C127" s="17">
        <v>0.25</v>
      </c>
      <c r="D127" s="7">
        <v>31</v>
      </c>
      <c r="E127" s="1">
        <v>0.24947704081632599</v>
      </c>
      <c r="F127" s="1">
        <v>36.970354773823601</v>
      </c>
      <c r="G127" s="1">
        <v>0.97689130660443302</v>
      </c>
      <c r="H127" s="1">
        <v>16.362246095679399</v>
      </c>
      <c r="I127" s="1">
        <v>40.224900270291101</v>
      </c>
      <c r="J127" s="1">
        <v>0.98037211649275302</v>
      </c>
      <c r="K127" s="8">
        <v>17.071265282492099</v>
      </c>
      <c r="L127" s="7">
        <v>28</v>
      </c>
      <c r="M127" s="1">
        <v>0.24689439838435301</v>
      </c>
      <c r="N127" s="1">
        <v>37.671276428741301</v>
      </c>
      <c r="O127" s="1">
        <v>0.97969302917530598</v>
      </c>
      <c r="P127" s="1">
        <v>16.9235485513952</v>
      </c>
      <c r="Q127" s="1">
        <v>41.008475636717002</v>
      </c>
      <c r="R127" s="1">
        <v>0.98249472752551703</v>
      </c>
      <c r="S127" s="8">
        <v>17.568311249307499</v>
      </c>
      <c r="T127" s="7"/>
      <c r="U127" s="1"/>
      <c r="V127" s="1"/>
      <c r="W127" s="8"/>
      <c r="X127" s="7"/>
      <c r="Y127" s="1"/>
      <c r="Z127" s="1"/>
      <c r="AA127" s="8"/>
      <c r="AB127" s="7">
        <v>16</v>
      </c>
      <c r="AC127" s="1">
        <v>0.139267910289115</v>
      </c>
      <c r="AD127" s="1">
        <v>36.008074091257598</v>
      </c>
      <c r="AE127" s="1">
        <v>0.97350704769646201</v>
      </c>
      <c r="AF127" s="1">
        <v>15.768696423939</v>
      </c>
      <c r="AG127" s="1">
        <v>39.376793828699697</v>
      </c>
      <c r="AH127" s="1">
        <v>0.976466116266267</v>
      </c>
      <c r="AI127" s="1">
        <v>16.283063964556298</v>
      </c>
      <c r="AJ127" s="1">
        <v>523.17786502838101</v>
      </c>
      <c r="AK127" s="1">
        <v>368.66440987586901</v>
      </c>
      <c r="AL127" s="7"/>
      <c r="AM127" s="1"/>
      <c r="AN127" s="1"/>
      <c r="AO127" s="8"/>
      <c r="AP127" s="1"/>
      <c r="AQ127" s="1"/>
      <c r="AR127" s="1"/>
      <c r="AS127" s="8"/>
      <c r="AT127" s="7">
        <v>0.16</v>
      </c>
      <c r="AU127" s="1">
        <v>0.160555112670068</v>
      </c>
      <c r="AV127" s="1">
        <v>34.198307964877301</v>
      </c>
      <c r="AW127" s="1">
        <v>0.98182947413545996</v>
      </c>
      <c r="AX127" s="1">
        <v>17.406325038002201</v>
      </c>
      <c r="AY127" s="1">
        <v>37.132222317828003</v>
      </c>
      <c r="AZ127" s="1">
        <v>0.98415279053044302</v>
      </c>
      <c r="BA127" s="1">
        <v>18.0004720150107</v>
      </c>
      <c r="BB127" s="1">
        <v>514.58158731460503</v>
      </c>
      <c r="BC127" s="1">
        <v>368.14328956603998</v>
      </c>
      <c r="BD127" s="7"/>
      <c r="BE127" s="1"/>
      <c r="BF127" s="1"/>
      <c r="BG127" s="8"/>
      <c r="BH127" s="1"/>
      <c r="BI127" s="1"/>
      <c r="BJ127" s="1"/>
      <c r="BK127" s="8"/>
    </row>
    <row r="128" spans="1:63">
      <c r="A128" s="49"/>
      <c r="B128" s="7" t="s">
        <v>18</v>
      </c>
      <c r="C128" s="17">
        <v>0.12</v>
      </c>
      <c r="D128" s="7">
        <v>37</v>
      </c>
      <c r="E128" s="1">
        <v>0.11671184098639401</v>
      </c>
      <c r="F128" s="1">
        <v>34.592780723057203</v>
      </c>
      <c r="G128" s="1">
        <v>0.966344583902216</v>
      </c>
      <c r="H128" s="1">
        <v>14.729450356865099</v>
      </c>
      <c r="I128" s="1">
        <v>37.776773020880199</v>
      </c>
      <c r="J128" s="1">
        <v>0.97124707709178604</v>
      </c>
      <c r="K128" s="8">
        <v>15.4131800007401</v>
      </c>
      <c r="L128" s="7">
        <v>34</v>
      </c>
      <c r="M128" s="1">
        <v>0.11398968962585</v>
      </c>
      <c r="N128" s="1">
        <v>35.678632136597002</v>
      </c>
      <c r="O128" s="1">
        <v>0.97078722766273096</v>
      </c>
      <c r="P128" s="1">
        <v>15.3442722585271</v>
      </c>
      <c r="Q128" s="1">
        <v>38.967554464660097</v>
      </c>
      <c r="R128" s="1">
        <v>0.97462842289179197</v>
      </c>
      <c r="S128" s="8">
        <v>15.956525360063299</v>
      </c>
      <c r="T128" s="7"/>
      <c r="U128" s="1"/>
      <c r="V128" s="1"/>
      <c r="W128" s="8"/>
      <c r="X128" s="7"/>
      <c r="Y128" s="1"/>
      <c r="Z128" s="1"/>
      <c r="AA128" s="8"/>
      <c r="AB128" s="7">
        <v>8</v>
      </c>
      <c r="AC128" s="1">
        <v>0.101110491071428</v>
      </c>
      <c r="AD128" s="1">
        <v>34.920214780636897</v>
      </c>
      <c r="AE128" s="1">
        <v>0.96858765530518998</v>
      </c>
      <c r="AF128" s="1">
        <v>15.028996455813401</v>
      </c>
      <c r="AG128" s="1">
        <v>38.312182429261199</v>
      </c>
      <c r="AH128" s="1">
        <v>0.97188913386006404</v>
      </c>
      <c r="AI128" s="1">
        <v>15.5112577289133</v>
      </c>
      <c r="AJ128" s="1">
        <v>487.09941720962502</v>
      </c>
      <c r="AK128" s="1">
        <v>359.282325029373</v>
      </c>
      <c r="AL128" s="7"/>
      <c r="AM128" s="1"/>
      <c r="AN128" s="1"/>
      <c r="AO128" s="8"/>
      <c r="AP128" s="1"/>
      <c r="AQ128" s="1"/>
      <c r="AR128" s="1"/>
      <c r="AS128" s="8"/>
      <c r="AT128" s="7">
        <v>0.08</v>
      </c>
      <c r="AU128" s="1">
        <v>9.9316539115646196E-2</v>
      </c>
      <c r="AV128" s="1">
        <v>32.871634717016903</v>
      </c>
      <c r="AW128" s="1">
        <v>0.97605602979563799</v>
      </c>
      <c r="AX128" s="1">
        <v>16.2080383659926</v>
      </c>
      <c r="AY128" s="1">
        <v>35.720215234177203</v>
      </c>
      <c r="AZ128" s="1">
        <v>0.97921511222680901</v>
      </c>
      <c r="BA128" s="1">
        <v>16.8225231609958</v>
      </c>
      <c r="BB128" s="1">
        <v>472.73562598228398</v>
      </c>
      <c r="BC128" s="1">
        <v>358.83743834495499</v>
      </c>
      <c r="BD128" s="7"/>
      <c r="BE128" s="1"/>
      <c r="BF128" s="1"/>
      <c r="BG128" s="8"/>
      <c r="BH128" s="1"/>
      <c r="BI128" s="1"/>
      <c r="BJ128" s="1"/>
      <c r="BK128" s="8"/>
    </row>
    <row r="129" spans="1:63">
      <c r="A129" s="49"/>
      <c r="B129" s="7" t="s">
        <v>18</v>
      </c>
      <c r="C129" s="17">
        <v>0.06</v>
      </c>
      <c r="D129" s="7">
        <v>43</v>
      </c>
      <c r="E129" s="1">
        <v>5.3598001700680201E-2</v>
      </c>
      <c r="F129" s="1">
        <v>31.8156840147164</v>
      </c>
      <c r="G129" s="1">
        <v>0.94849768555359204</v>
      </c>
      <c r="H129" s="1">
        <v>12.881732538963201</v>
      </c>
      <c r="I129" s="1">
        <v>34.951513882906497</v>
      </c>
      <c r="J129" s="1">
        <v>0.95572681682717397</v>
      </c>
      <c r="K129" s="8">
        <v>13.5385925180261</v>
      </c>
      <c r="L129" s="7">
        <v>40</v>
      </c>
      <c r="M129" s="1">
        <v>5.33755846088435E-2</v>
      </c>
      <c r="N129" s="1">
        <v>33.170030142393102</v>
      </c>
      <c r="O129" s="1">
        <v>0.95711244452380295</v>
      </c>
      <c r="P129" s="1">
        <v>13.676687071639099</v>
      </c>
      <c r="Q129" s="1">
        <v>36.396991604097998</v>
      </c>
      <c r="R129" s="1">
        <v>0.96260955029116801</v>
      </c>
      <c r="S129" s="8">
        <v>14.272393113932599</v>
      </c>
      <c r="T129" s="7"/>
      <c r="U129" s="1"/>
      <c r="V129" s="1"/>
      <c r="W129" s="8"/>
      <c r="X129" s="7"/>
      <c r="Y129" s="1"/>
      <c r="Z129" s="1"/>
      <c r="AA129" s="8"/>
      <c r="AB129" s="7">
        <v>4</v>
      </c>
      <c r="AC129" s="1">
        <v>7.2925170068027206E-2</v>
      </c>
      <c r="AD129" s="1">
        <v>33.674114738406097</v>
      </c>
      <c r="AE129" s="1">
        <v>0.96088397193261599</v>
      </c>
      <c r="AF129" s="1">
        <v>14.076452509190601</v>
      </c>
      <c r="AG129" s="1">
        <v>37.065840512158303</v>
      </c>
      <c r="AH129" s="1">
        <v>0.964822519915432</v>
      </c>
      <c r="AI129" s="1">
        <v>14.537352741612199</v>
      </c>
      <c r="AJ129" s="1">
        <v>463.20217275619501</v>
      </c>
      <c r="AK129" s="1">
        <v>346.40512990951498</v>
      </c>
      <c r="AL129" s="7"/>
      <c r="AM129" s="1"/>
      <c r="AN129" s="1"/>
      <c r="AO129" s="8"/>
      <c r="AP129" s="1"/>
      <c r="AQ129" s="1"/>
      <c r="AR129" s="1"/>
      <c r="AS129" s="8"/>
      <c r="AT129" s="7">
        <v>0.04</v>
      </c>
      <c r="AU129" s="1">
        <v>6.7177667942176805E-2</v>
      </c>
      <c r="AV129" s="1">
        <v>31.410364372176101</v>
      </c>
      <c r="AW129" s="1">
        <v>0.96951952546869502</v>
      </c>
      <c r="AX129" s="1">
        <v>15.1597827602263</v>
      </c>
      <c r="AY129" s="1">
        <v>34.184354399134797</v>
      </c>
      <c r="AZ129" s="1">
        <v>0.97378080742548501</v>
      </c>
      <c r="BA129" s="1">
        <v>15.8138068662885</v>
      </c>
      <c r="BB129" s="1">
        <v>384.04986763000397</v>
      </c>
      <c r="BC129" s="1">
        <v>259.396613836288</v>
      </c>
      <c r="BD129" s="7"/>
      <c r="BE129" s="1"/>
      <c r="BF129" s="1"/>
      <c r="BG129" s="8"/>
      <c r="BH129" s="1"/>
      <c r="BI129" s="1"/>
      <c r="BJ129" s="1"/>
      <c r="BK129" s="8"/>
    </row>
    <row r="130" spans="1:63">
      <c r="A130" s="49"/>
      <c r="B130" s="7" t="s">
        <v>40</v>
      </c>
      <c r="C130" s="17">
        <v>1.5</v>
      </c>
      <c r="D130" s="7">
        <v>22</v>
      </c>
      <c r="E130" s="1">
        <v>1.3515773282804899</v>
      </c>
      <c r="F130" s="1">
        <v>42.471471190222601</v>
      </c>
      <c r="G130" s="1">
        <v>0.99398756776973696</v>
      </c>
      <c r="H130" s="1">
        <v>22.2094980578464</v>
      </c>
      <c r="I130" s="1">
        <v>45.580296846190599</v>
      </c>
      <c r="J130" s="1">
        <v>0.99541953524048499</v>
      </c>
      <c r="K130" s="8">
        <v>23.390904538187701</v>
      </c>
      <c r="L130" s="7">
        <v>19</v>
      </c>
      <c r="M130" s="1">
        <v>1.4288158375654001</v>
      </c>
      <c r="N130" s="1">
        <v>43.4114159247885</v>
      </c>
      <c r="O130" s="1">
        <v>0.99538331560417703</v>
      </c>
      <c r="P130" s="1">
        <v>23.356698135228701</v>
      </c>
      <c r="Q130" s="1">
        <v>46.481995654833803</v>
      </c>
      <c r="R130" s="1">
        <v>0.99642554729407695</v>
      </c>
      <c r="S130" s="8">
        <v>24.4679044477014</v>
      </c>
      <c r="T130" s="13">
        <f>bdrate(E130:E133,F130:F133,M130:M133,N130:N133)</f>
        <v>-0.11829574530652665</v>
      </c>
      <c r="U130" s="12">
        <f>bdrate(E130:E133,H130:H133,M130:M133,P130:P133)</f>
        <v>-0.12285211323451695</v>
      </c>
      <c r="V130" s="12">
        <f>bdrate(E130:E133,I130:I133,M130:M133,Q130:Q133)</f>
        <v>-0.13154973258188929</v>
      </c>
      <c r="W130" s="14">
        <f>bdrate(E130:E133,K130:K133,M130:M133,S130:S133)</f>
        <v>-9.7524792302940533E-2</v>
      </c>
      <c r="X130" s="13">
        <f>bdrate(E132:E135,F132:F135,M132:M135,N132:N135)</f>
        <v>-0.16805616902834508</v>
      </c>
      <c r="Y130" s="12">
        <f>bdrate(E132:E135,H132:H135,M132:M135,P132:P135)</f>
        <v>-0.15270130225133116</v>
      </c>
      <c r="Z130" s="12">
        <f>bdrate(E132:E135,I132:I135,M132:M135,Q132:Q135)</f>
        <v>-0.22458912217138172</v>
      </c>
      <c r="AA130" s="14">
        <f>bdrate(E132:E135,K132:K135,M132:M135,S132:S135)</f>
        <v>-0.13214720600463192</v>
      </c>
      <c r="AB130" s="7"/>
      <c r="AC130" s="1"/>
      <c r="AD130" s="1"/>
      <c r="AE130" s="1"/>
      <c r="AF130" s="1"/>
      <c r="AG130" s="1"/>
      <c r="AH130" s="1"/>
      <c r="AI130" s="1"/>
      <c r="AJ130" s="1"/>
      <c r="AK130" s="1"/>
      <c r="AL130" s="13" t="e">
        <f>bdrate(E130:E133,F130:F133,AC130:AC133,AD130:AD133)</f>
        <v>#VALUE!</v>
      </c>
      <c r="AM130" s="12" t="e">
        <f>bdrate(E130:E133,H130:H133,AC130:AC133,AF130:AF133)</f>
        <v>#VALUE!</v>
      </c>
      <c r="AN130" s="12" t="e">
        <f>bdrate(E130:E133,I130:I133,AC130:AC133,AG130:AG133)</f>
        <v>#VALUE!</v>
      </c>
      <c r="AO130" s="14" t="e">
        <f>bdrate(E130:E133,K130:K133,AC130:AC133,AI130:AI133)</f>
        <v>#VALUE!</v>
      </c>
      <c r="AP130" s="12">
        <f>bdrate(E132:E135,F132:F135,AC132:AC135,AD132:AD135)</f>
        <v>-4.0523654408715193E-2</v>
      </c>
      <c r="AQ130" s="12">
        <f>bdrate(E132:E135,H132:H135,AC132:AC135,AF132:AF135)</f>
        <v>-7.383205158207129E-2</v>
      </c>
      <c r="AR130" s="12">
        <f>bdrate(E132:E135,I132:I135,AC132:AC135,AG132:AG135)</f>
        <v>-0.19863317419600135</v>
      </c>
      <c r="AS130" s="14">
        <f>bdrate(E132:E135,K132:K135,AC132:AC135,AI132:AI135)</f>
        <v>-3.3000134826807082E-2</v>
      </c>
      <c r="AT130" s="7"/>
      <c r="AU130" s="1"/>
      <c r="AV130" s="1"/>
      <c r="AW130" s="1"/>
      <c r="AX130" s="1"/>
      <c r="AY130" s="1"/>
      <c r="AZ130" s="1"/>
      <c r="BA130" s="1"/>
      <c r="BB130" s="1"/>
      <c r="BC130" s="1"/>
      <c r="BD130" s="13" t="e">
        <f>bdrate(E130:E133,F130:F133,AU130:AU133,AV130:AV133)</f>
        <v>#VALUE!</v>
      </c>
      <c r="BE130" s="12" t="e">
        <f>bdrate(E130:E133,H130:H133,AU130:AU133,AX130:AX133)</f>
        <v>#VALUE!</v>
      </c>
      <c r="BF130" s="12" t="e">
        <f>bdrate(E130:E133,I130:I133,AU130:AU133,AY130:AY133)</f>
        <v>#VALUE!</v>
      </c>
      <c r="BG130" s="14" t="e">
        <f>bdrate(E130:E133,K130:K133,AU130:AU133,BA130:BA133)</f>
        <v>#VALUE!</v>
      </c>
      <c r="BH130" s="12">
        <f>bdrate(E132:E135,F132:F135,AU132:AU135,AV132:AV135)</f>
        <v>0.71890816230986299</v>
      </c>
      <c r="BI130" s="12">
        <f>bdrate(E132:E135,H132:H135,AU132:AU135,AX132:AX135)</f>
        <v>-0.38968751671934931</v>
      </c>
      <c r="BJ130" s="12">
        <f>bdrate(E132:E135,I132:I135,AU132:AU135,AY132:AY135)</f>
        <v>1.022673452631857</v>
      </c>
      <c r="BK130" s="14">
        <f>bdrate(E132:E135,K132:K135,AU132:AU135,BA132:BA135)</f>
        <v>-0.36834877177070158</v>
      </c>
    </row>
    <row r="131" spans="1:63">
      <c r="A131" s="49"/>
      <c r="B131" s="7" t="s">
        <v>18</v>
      </c>
      <c r="C131" s="17">
        <v>1</v>
      </c>
      <c r="D131" s="7">
        <v>25</v>
      </c>
      <c r="E131" s="1">
        <v>0.85900148763722095</v>
      </c>
      <c r="F131" s="1">
        <v>39.990731754168998</v>
      </c>
      <c r="G131" s="1">
        <v>0.98966342426403597</v>
      </c>
      <c r="H131" s="1">
        <v>19.856233089476401</v>
      </c>
      <c r="I131" s="1">
        <v>43.326767092940699</v>
      </c>
      <c r="J131" s="1">
        <v>0.99116137450219199</v>
      </c>
      <c r="K131" s="8">
        <v>20.536152672415</v>
      </c>
      <c r="L131" s="7">
        <v>22</v>
      </c>
      <c r="M131" s="1">
        <v>0.97924000654047305</v>
      </c>
      <c r="N131" s="1">
        <v>41.178244904246398</v>
      </c>
      <c r="O131" s="1">
        <v>0.99220117011466702</v>
      </c>
      <c r="P131" s="1">
        <v>21.079705527536198</v>
      </c>
      <c r="Q131" s="1">
        <v>44.4239722779853</v>
      </c>
      <c r="R131" s="1">
        <v>0.99334703572584304</v>
      </c>
      <c r="S131" s="8">
        <v>21.769848086715601</v>
      </c>
      <c r="T131" s="7"/>
      <c r="U131" s="1"/>
      <c r="V131" s="1"/>
      <c r="W131" s="8"/>
      <c r="X131" s="7"/>
      <c r="Y131" s="1"/>
      <c r="Z131" s="1"/>
      <c r="AA131" s="8"/>
      <c r="AB131" s="7">
        <v>64</v>
      </c>
      <c r="AC131" s="1">
        <v>0.373298755386272</v>
      </c>
      <c r="AD131" s="1">
        <v>37.1780809985137</v>
      </c>
      <c r="AE131" s="1">
        <v>0.98051035870000403</v>
      </c>
      <c r="AF131" s="1">
        <v>17.101961538462501</v>
      </c>
      <c r="AG131" s="1">
        <v>41.1125855616717</v>
      </c>
      <c r="AH131" s="1">
        <v>0.98133889787155804</v>
      </c>
      <c r="AI131" s="1">
        <v>17.290627103126901</v>
      </c>
      <c r="AJ131" s="1">
        <v>453.23760485649098</v>
      </c>
      <c r="AK131" s="1">
        <v>257.88815188407898</v>
      </c>
      <c r="AL131" s="7"/>
      <c r="AM131" s="1"/>
      <c r="AN131" s="1"/>
      <c r="AO131" s="8"/>
      <c r="AP131" s="1"/>
      <c r="AQ131" s="1"/>
      <c r="AR131" s="1"/>
      <c r="AS131" s="8"/>
      <c r="AT131" s="7">
        <v>0.64</v>
      </c>
      <c r="AU131" s="1">
        <v>0.52841619536780504</v>
      </c>
      <c r="AV131" s="1">
        <v>36.769796610155701</v>
      </c>
      <c r="AW131" s="1">
        <v>0.991361433854691</v>
      </c>
      <c r="AX131" s="1">
        <v>20.6355833701849</v>
      </c>
      <c r="AY131" s="1">
        <v>40.727130951945298</v>
      </c>
      <c r="AZ131" s="1">
        <v>0.99185673512907901</v>
      </c>
      <c r="BA131" s="1">
        <v>20.892014389504599</v>
      </c>
      <c r="BB131" s="1">
        <v>346.74057483672999</v>
      </c>
      <c r="BC131" s="1">
        <v>234.190702915191</v>
      </c>
      <c r="BD131" s="7"/>
      <c r="BE131" s="1"/>
      <c r="BF131" s="1"/>
      <c r="BG131" s="8"/>
      <c r="BH131" s="1"/>
      <c r="BI131" s="1"/>
      <c r="BJ131" s="1"/>
      <c r="BK131" s="8"/>
    </row>
    <row r="132" spans="1:63">
      <c r="A132" s="49"/>
      <c r="B132" s="7" t="s">
        <v>18</v>
      </c>
      <c r="C132" s="17">
        <v>0.5</v>
      </c>
      <c r="D132" s="7">
        <v>28</v>
      </c>
      <c r="E132" s="1">
        <v>0.45607863316918001</v>
      </c>
      <c r="F132" s="1">
        <v>37.576534088867398</v>
      </c>
      <c r="G132" s="1">
        <v>0.98131842316182605</v>
      </c>
      <c r="H132" s="1">
        <v>17.285864694755301</v>
      </c>
      <c r="I132" s="1">
        <v>41.199907520977902</v>
      </c>
      <c r="J132" s="1">
        <v>0.98286034066599004</v>
      </c>
      <c r="K132" s="8">
        <v>17.6599781431655</v>
      </c>
      <c r="L132" s="7">
        <v>26</v>
      </c>
      <c r="M132" s="1">
        <v>0.482444117420744</v>
      </c>
      <c r="N132" s="1">
        <v>38.187010703738103</v>
      </c>
      <c r="O132" s="1">
        <v>0.98406053364273705</v>
      </c>
      <c r="P132" s="1">
        <v>17.975262225870601</v>
      </c>
      <c r="Q132" s="1">
        <v>41.782905632315902</v>
      </c>
      <c r="R132" s="1">
        <v>0.98528646704435396</v>
      </c>
      <c r="S132" s="8">
        <v>18.322830336683399</v>
      </c>
      <c r="T132" s="7"/>
      <c r="U132" s="1"/>
      <c r="V132" s="1"/>
      <c r="W132" s="8"/>
      <c r="X132" s="7"/>
      <c r="Y132" s="1"/>
      <c r="Z132" s="1"/>
      <c r="AA132" s="8"/>
      <c r="AB132" s="7">
        <v>32</v>
      </c>
      <c r="AC132" s="1">
        <v>0.184201308736021</v>
      </c>
      <c r="AD132" s="1">
        <v>35.703320002804901</v>
      </c>
      <c r="AE132" s="1">
        <v>0.97006556289829105</v>
      </c>
      <c r="AF132" s="1">
        <v>15.2382890407651</v>
      </c>
      <c r="AG132" s="1">
        <v>39.750237385603903</v>
      </c>
      <c r="AH132" s="1">
        <v>0.97099920890498104</v>
      </c>
      <c r="AI132" s="1">
        <v>15.375901550832699</v>
      </c>
      <c r="AJ132" s="1">
        <v>899.55064988136201</v>
      </c>
      <c r="AK132" s="1">
        <v>481.833347082138</v>
      </c>
      <c r="AL132" s="7"/>
      <c r="AM132" s="1"/>
      <c r="AN132" s="1"/>
      <c r="AO132" s="8"/>
      <c r="AP132" s="1"/>
      <c r="AQ132" s="1"/>
      <c r="AR132" s="1"/>
      <c r="AS132" s="8"/>
      <c r="AT132" s="7">
        <v>0.32</v>
      </c>
      <c r="AU132" s="1">
        <v>0.37973903829383399</v>
      </c>
      <c r="AV132" s="1">
        <v>36.121629133913501</v>
      </c>
      <c r="AW132" s="1">
        <v>0.98772659324322598</v>
      </c>
      <c r="AX132" s="1">
        <v>19.110348724555401</v>
      </c>
      <c r="AY132" s="1">
        <v>39.919387080496698</v>
      </c>
      <c r="AZ132" s="1">
        <v>0.98835848691830497</v>
      </c>
      <c r="BA132" s="1">
        <v>19.339905694864001</v>
      </c>
      <c r="BB132" s="1">
        <v>348.69175601005497</v>
      </c>
      <c r="BC132" s="1">
        <v>239.345268011093</v>
      </c>
      <c r="BD132" s="7"/>
      <c r="BE132" s="1"/>
      <c r="BF132" s="1"/>
      <c r="BG132" s="8"/>
      <c r="BH132" s="1"/>
      <c r="BI132" s="1"/>
      <c r="BJ132" s="1"/>
      <c r="BK132" s="8"/>
    </row>
    <row r="133" spans="1:63">
      <c r="A133" s="49"/>
      <c r="B133" s="7" t="s">
        <v>18</v>
      </c>
      <c r="C133" s="17">
        <v>0.25</v>
      </c>
      <c r="D133" s="7">
        <v>31</v>
      </c>
      <c r="E133" s="1">
        <v>0.20655995113881101</v>
      </c>
      <c r="F133" s="1">
        <v>35.800532392846399</v>
      </c>
      <c r="G133" s="1">
        <v>0.96957940694990596</v>
      </c>
      <c r="H133" s="1">
        <v>15.1683232362053</v>
      </c>
      <c r="I133" s="1">
        <v>39.602565874000703</v>
      </c>
      <c r="J133" s="1">
        <v>0.97128465499630301</v>
      </c>
      <c r="K133" s="8">
        <v>15.4188596147225</v>
      </c>
      <c r="L133" s="7">
        <v>29</v>
      </c>
      <c r="M133" s="1">
        <v>0.212959356083923</v>
      </c>
      <c r="N133" s="1">
        <v>36.153256663581701</v>
      </c>
      <c r="O133" s="1">
        <v>0.97223092922685095</v>
      </c>
      <c r="P133" s="1">
        <v>15.5643865265326</v>
      </c>
      <c r="Q133" s="1">
        <v>40.024099294540797</v>
      </c>
      <c r="R133" s="1">
        <v>0.97353751496186502</v>
      </c>
      <c r="S133" s="8">
        <v>15.773693745221699</v>
      </c>
      <c r="T133" s="7"/>
      <c r="U133" s="1"/>
      <c r="V133" s="1"/>
      <c r="W133" s="8"/>
      <c r="X133" s="7"/>
      <c r="Y133" s="1"/>
      <c r="Z133" s="1"/>
      <c r="AA133" s="8"/>
      <c r="AB133" s="7">
        <v>16</v>
      </c>
      <c r="AC133" s="1">
        <v>0.102042615676618</v>
      </c>
      <c r="AD133" s="1">
        <v>34.694568021467397</v>
      </c>
      <c r="AE133" s="1">
        <v>0.95811611813462405</v>
      </c>
      <c r="AF133" s="1">
        <v>13.779530740183899</v>
      </c>
      <c r="AG133" s="1">
        <v>38.809016030053201</v>
      </c>
      <c r="AH133" s="1">
        <v>0.95939111893471196</v>
      </c>
      <c r="AI133" s="1">
        <v>13.913789768696301</v>
      </c>
      <c r="AJ133" s="1">
        <v>348.06941056251497</v>
      </c>
      <c r="AK133" s="1">
        <v>244.241969108581</v>
      </c>
      <c r="AL133" s="7"/>
      <c r="AM133" s="1"/>
      <c r="AN133" s="1"/>
      <c r="AO133" s="8"/>
      <c r="AP133" s="1"/>
      <c r="AQ133" s="1"/>
      <c r="AR133" s="1"/>
      <c r="AS133" s="8"/>
      <c r="AT133" s="7">
        <v>0.16</v>
      </c>
      <c r="AU133" s="1">
        <v>0.240020567225813</v>
      </c>
      <c r="AV133" s="1">
        <v>35.160811724054902</v>
      </c>
      <c r="AW133" s="1">
        <v>0.98065559570589</v>
      </c>
      <c r="AX133" s="1">
        <v>17.134446397222401</v>
      </c>
      <c r="AY133" s="1">
        <v>38.644746343117497</v>
      </c>
      <c r="AZ133" s="1">
        <v>0.98146146656927902</v>
      </c>
      <c r="BA133" s="1">
        <v>17.319246255387501</v>
      </c>
      <c r="BB133" s="1">
        <v>342.17950654029801</v>
      </c>
      <c r="BC133" s="1">
        <v>251.03167390823299</v>
      </c>
      <c r="BD133" s="7"/>
      <c r="BE133" s="1"/>
      <c r="BF133" s="1"/>
      <c r="BG133" s="8"/>
      <c r="BH133" s="1"/>
      <c r="BI133" s="1"/>
      <c r="BJ133" s="1"/>
      <c r="BK133" s="8"/>
    </row>
    <row r="134" spans="1:63">
      <c r="A134" s="49"/>
      <c r="B134" s="7" t="s">
        <v>18</v>
      </c>
      <c r="C134" s="17">
        <v>0.12</v>
      </c>
      <c r="D134" s="7">
        <v>34</v>
      </c>
      <c r="E134" s="1">
        <v>0.115673412331999</v>
      </c>
      <c r="F134" s="1">
        <v>34.827218737889098</v>
      </c>
      <c r="G134" s="1">
        <v>0.959202727061645</v>
      </c>
      <c r="H134" s="1">
        <v>13.8936886601323</v>
      </c>
      <c r="I134" s="1">
        <v>38.625030238647703</v>
      </c>
      <c r="J134" s="1">
        <v>0.96131378131135303</v>
      </c>
      <c r="K134" s="8">
        <v>14.124437174979199</v>
      </c>
      <c r="L134" s="7">
        <v>32</v>
      </c>
      <c r="M134" s="1">
        <v>0.110931969452139</v>
      </c>
      <c r="N134" s="1">
        <v>35.106606714299097</v>
      </c>
      <c r="O134" s="1">
        <v>0.96213858352526505</v>
      </c>
      <c r="P134" s="1">
        <v>14.2180314220388</v>
      </c>
      <c r="Q134" s="1">
        <v>39.0546231459344</v>
      </c>
      <c r="R134" s="1">
        <v>0.96370242732447098</v>
      </c>
      <c r="S134" s="8">
        <v>14.401224165305701</v>
      </c>
      <c r="T134" s="7"/>
      <c r="U134" s="1"/>
      <c r="V134" s="1"/>
      <c r="W134" s="8"/>
      <c r="X134" s="7"/>
      <c r="Y134" s="1"/>
      <c r="Z134" s="1"/>
      <c r="AA134" s="8"/>
      <c r="AB134" s="7">
        <v>8</v>
      </c>
      <c r="AC134" s="1">
        <v>6.3742770211347E-2</v>
      </c>
      <c r="AD134" s="1">
        <v>33.860340290927397</v>
      </c>
      <c r="AE134" s="1">
        <v>0.94624918710587902</v>
      </c>
      <c r="AF134" s="1">
        <v>12.696149633609799</v>
      </c>
      <c r="AG134" s="1">
        <v>37.978232198946998</v>
      </c>
      <c r="AH134" s="1">
        <v>0.94760899254436803</v>
      </c>
      <c r="AI134" s="1">
        <v>12.8074325018318</v>
      </c>
      <c r="AJ134" s="1">
        <v>329.91544866561799</v>
      </c>
      <c r="AK134" s="1">
        <v>240.50890922546299</v>
      </c>
      <c r="AL134" s="7"/>
      <c r="AM134" s="1"/>
      <c r="AN134" s="1"/>
      <c r="AO134" s="8"/>
      <c r="AP134" s="1"/>
      <c r="AQ134" s="1"/>
      <c r="AR134" s="1"/>
      <c r="AS134" s="8"/>
      <c r="AT134" s="7">
        <v>0.08</v>
      </c>
      <c r="AU134" s="1">
        <v>0.12882810095413899</v>
      </c>
      <c r="AV134" s="1">
        <v>33.996203995881501</v>
      </c>
      <c r="AW134" s="1">
        <v>0.96947566050922596</v>
      </c>
      <c r="AX134" s="1">
        <v>15.1535372488073</v>
      </c>
      <c r="AY134" s="1">
        <v>37.056394946921401</v>
      </c>
      <c r="AZ134" s="1">
        <v>0.97057012973953205</v>
      </c>
      <c r="BA134" s="1">
        <v>15.3121165245313</v>
      </c>
      <c r="BB134" s="1">
        <v>316.07777953147797</v>
      </c>
      <c r="BC134" s="1">
        <v>240.28834581375099</v>
      </c>
      <c r="BD134" s="7"/>
      <c r="BE134" s="1"/>
      <c r="BF134" s="1"/>
      <c r="BG134" s="8"/>
      <c r="BH134" s="1"/>
      <c r="BI134" s="1"/>
      <c r="BJ134" s="1"/>
      <c r="BK134" s="8"/>
    </row>
    <row r="135" spans="1:63">
      <c r="A135" s="49"/>
      <c r="B135" s="7" t="s">
        <v>18</v>
      </c>
      <c r="C135" s="17">
        <v>0.06</v>
      </c>
      <c r="D135" s="7">
        <v>38</v>
      </c>
      <c r="E135" s="1">
        <v>5.6132656201908201E-2</v>
      </c>
      <c r="F135" s="1">
        <v>33.638864072527603</v>
      </c>
      <c r="G135" s="1">
        <v>0.94237786520204403</v>
      </c>
      <c r="H135" s="1">
        <v>12.394106559168</v>
      </c>
      <c r="I135" s="1">
        <v>37.367808249371599</v>
      </c>
      <c r="J135" s="1">
        <v>0.94502680678148099</v>
      </c>
      <c r="K135" s="8">
        <v>12.598490355119001</v>
      </c>
      <c r="L135" s="7">
        <v>36</v>
      </c>
      <c r="M135" s="1">
        <v>5.3376199086898501E-2</v>
      </c>
      <c r="N135" s="1">
        <v>34.009483556108698</v>
      </c>
      <c r="O135" s="1">
        <v>0.94684131714261699</v>
      </c>
      <c r="P135" s="1">
        <v>12.7442578835491</v>
      </c>
      <c r="Q135" s="1">
        <v>37.982603293785502</v>
      </c>
      <c r="R135" s="1">
        <v>0.94879369199147101</v>
      </c>
      <c r="S135" s="8">
        <v>12.906765358103</v>
      </c>
      <c r="T135" s="7"/>
      <c r="U135" s="1"/>
      <c r="V135" s="1"/>
      <c r="W135" s="8"/>
      <c r="X135" s="7"/>
      <c r="Y135" s="1"/>
      <c r="Z135" s="1"/>
      <c r="AA135" s="8"/>
      <c r="AB135" s="7">
        <v>4</v>
      </c>
      <c r="AC135" s="1">
        <v>4.0964928311275198E-2</v>
      </c>
      <c r="AD135" s="1">
        <v>33.012282999403403</v>
      </c>
      <c r="AE135" s="1">
        <v>0.93056410138660695</v>
      </c>
      <c r="AF135" s="1">
        <v>11.5841593964861</v>
      </c>
      <c r="AG135" s="1">
        <v>37.059714871387598</v>
      </c>
      <c r="AH135" s="1">
        <v>0.932318195686898</v>
      </c>
      <c r="AI135" s="1">
        <v>11.695280720615401</v>
      </c>
      <c r="AJ135" s="1">
        <v>315.82840967178299</v>
      </c>
      <c r="AK135" s="1">
        <v>235.516197443008</v>
      </c>
      <c r="AL135" s="7"/>
      <c r="AM135" s="1"/>
      <c r="AN135" s="1"/>
      <c r="AO135" s="8"/>
      <c r="AP135" s="1"/>
      <c r="AQ135" s="1"/>
      <c r="AR135" s="1"/>
      <c r="AS135" s="8"/>
      <c r="AT135" s="7">
        <v>0.04</v>
      </c>
      <c r="AU135" s="1">
        <v>7.6870206858520501E-2</v>
      </c>
      <c r="AV135" s="1">
        <v>32.709467233166698</v>
      </c>
      <c r="AW135" s="1">
        <v>0.95898477078829503</v>
      </c>
      <c r="AX135" s="1">
        <v>13.8705485707167</v>
      </c>
      <c r="AY135" s="1">
        <v>35.517850051175202</v>
      </c>
      <c r="AZ135" s="1">
        <v>0.96074121137321</v>
      </c>
      <c r="BA135" s="1">
        <v>14.0606310516436</v>
      </c>
      <c r="BB135" s="1">
        <v>245.71898102760301</v>
      </c>
      <c r="BC135" s="1">
        <v>165.488725185394</v>
      </c>
      <c r="BD135" s="7"/>
      <c r="BE135" s="1"/>
      <c r="BF135" s="1"/>
      <c r="BG135" s="8"/>
      <c r="BH135" s="1"/>
      <c r="BI135" s="1"/>
      <c r="BJ135" s="1"/>
      <c r="BK135" s="8"/>
    </row>
    <row r="136" spans="1:63">
      <c r="A136" s="49"/>
      <c r="B136" s="7" t="s">
        <v>41</v>
      </c>
      <c r="C136" s="17">
        <v>1.5</v>
      </c>
      <c r="D136" s="7">
        <v>20</v>
      </c>
      <c r="E136" s="1">
        <v>1.3976108099489699</v>
      </c>
      <c r="F136" s="1">
        <v>43.236249254219203</v>
      </c>
      <c r="G136" s="1">
        <v>0.99339637771112999</v>
      </c>
      <c r="H136" s="1">
        <v>21.802177752867099</v>
      </c>
      <c r="I136" s="1">
        <v>46.266404146923399</v>
      </c>
      <c r="J136" s="1">
        <v>0.99617407987833695</v>
      </c>
      <c r="K136" s="8">
        <v>24.1726410150244</v>
      </c>
      <c r="L136" s="7">
        <v>18</v>
      </c>
      <c r="M136" s="1">
        <v>1.3572661564625801</v>
      </c>
      <c r="N136" s="1">
        <v>43.6484069003372</v>
      </c>
      <c r="O136" s="1">
        <v>0.99421920445476197</v>
      </c>
      <c r="P136" s="1">
        <v>22.380123904493399</v>
      </c>
      <c r="Q136" s="1">
        <v>46.699524041250797</v>
      </c>
      <c r="R136" s="1">
        <v>0.99642618368084002</v>
      </c>
      <c r="S136" s="8">
        <v>24.4686777237469</v>
      </c>
      <c r="T136" s="13">
        <f>bdrate(E136:E139,F136:F139,M136:M139,N136:N139)</f>
        <v>-0.12946303739641363</v>
      </c>
      <c r="U136" s="12">
        <f>bdrate(E136:E139,H136:H139,M136:M139,P136:P139)</f>
        <v>-0.14913309347697767</v>
      </c>
      <c r="V136" s="12">
        <f>bdrate(E136:E139,I136:I139,M136:M139,Q136:Q139)</f>
        <v>-0.13532809981163452</v>
      </c>
      <c r="W136" s="14">
        <f>bdrate(E136:E139,K136:K139,M136:M139,S136:S139)</f>
        <v>-0.11831632060562636</v>
      </c>
      <c r="X136" s="13">
        <f>bdrate(E138:E141,F138:F141,M138:M141,N138:N141)</f>
        <v>-0.20529137127155472</v>
      </c>
      <c r="Y136" s="12">
        <f>bdrate(E138:E141,H138:H141,M138:M141,P138:P141)</f>
        <v>-0.2314847542937013</v>
      </c>
      <c r="Z136" s="12">
        <f>bdrate(E138:E141,I138:I141,M138:M141,Q138:Q141)</f>
        <v>-0.21487562256693193</v>
      </c>
      <c r="AA136" s="14">
        <f>bdrate(E138:E141,K138:K141,M138:M141,S138:S141)</f>
        <v>-0.18994430323063749</v>
      </c>
      <c r="AB136" s="7"/>
      <c r="AC136" s="1"/>
      <c r="AD136" s="1"/>
      <c r="AE136" s="1"/>
      <c r="AF136" s="1"/>
      <c r="AG136" s="1"/>
      <c r="AH136" s="1"/>
      <c r="AI136" s="1"/>
      <c r="AJ136" s="1"/>
      <c r="AK136" s="1"/>
      <c r="AL136" s="13" t="e">
        <f>bdrate(E136:E139,F136:F139,AC136:AC139,AD136:AD139)</f>
        <v>#VALUE!</v>
      </c>
      <c r="AM136" s="12" t="e">
        <f>bdrate(E136:E139,H136:H139,AC136:AC139,AF136:AF139)</f>
        <v>#VALUE!</v>
      </c>
      <c r="AN136" s="12" t="e">
        <f>bdrate(E136:E139,I136:I139,AC136:AC139,AG136:AG139)</f>
        <v>#VALUE!</v>
      </c>
      <c r="AO136" s="14" t="e">
        <f>bdrate(E136:E139,K136:K139,AC136:AC139,AI136:AI139)</f>
        <v>#VALUE!</v>
      </c>
      <c r="AP136" s="12">
        <f>bdrate(E138:E141,F138:F141,AC138:AC141,AD138:AD141)</f>
        <v>-0.1572408938153097</v>
      </c>
      <c r="AQ136" s="12">
        <f>bdrate(E138:E141,H138:H141,AC138:AC141,AF138:AF141)</f>
        <v>-0.2554387236176543</v>
      </c>
      <c r="AR136" s="12">
        <f>bdrate(E138:E141,I138:I141,AC138:AC141,AG138:AG141)</f>
        <v>-0.17475359817528224</v>
      </c>
      <c r="AS136" s="14">
        <f>bdrate(E138:E141,K138:K141,AC138:AC141,AI138:AI141)</f>
        <v>-0.15434733969442904</v>
      </c>
      <c r="AT136" s="7"/>
      <c r="AU136" s="1"/>
      <c r="AV136" s="1"/>
      <c r="AW136" s="1"/>
      <c r="AX136" s="1"/>
      <c r="AY136" s="1"/>
      <c r="AZ136" s="1"/>
      <c r="BA136" s="1"/>
      <c r="BB136" s="1"/>
      <c r="BC136" s="1"/>
      <c r="BD136" s="13" t="e">
        <f>bdrate(E136:E139,F136:F139,AU136:AU139,AV136:AV139)</f>
        <v>#VALUE!</v>
      </c>
      <c r="BE136" s="12" t="e">
        <f>bdrate(E136:E139,H136:H139,AU136:AU139,AX136:AX139)</f>
        <v>#VALUE!</v>
      </c>
      <c r="BF136" s="12" t="e">
        <f>bdrate(E136:E139,I136:I139,AU136:AU139,AY136:AY139)</f>
        <v>#VALUE!</v>
      </c>
      <c r="BG136" s="14" t="e">
        <f>bdrate(E136:E139,K136:K139,AU136:AU139,BA136:BA139)</f>
        <v>#VALUE!</v>
      </c>
      <c r="BH136" s="12">
        <f>bdrate(E138:E141,F138:F141,AU138:AU141,AV138:AV141)</f>
        <v>0.41360334267176802</v>
      </c>
      <c r="BI136" s="12">
        <f>bdrate(E138:E141,H138:H141,AU138:AU141,AX138:AX141)</f>
        <v>-0.42945844863556271</v>
      </c>
      <c r="BJ136" s="12">
        <f>bdrate(E138:E141,I138:I141,AU138:AU141,AY138:AY141)</f>
        <v>0.6124517402891918</v>
      </c>
      <c r="BK136" s="14">
        <f>bdrate(E138:E141,K138:K141,AU138:AU141,BA138:BA141)</f>
        <v>-0.37532241781789732</v>
      </c>
    </row>
    <row r="137" spans="1:63">
      <c r="A137" s="49"/>
      <c r="B137" s="7" t="s">
        <v>18</v>
      </c>
      <c r="C137" s="17">
        <v>1</v>
      </c>
      <c r="D137" s="7">
        <v>23</v>
      </c>
      <c r="E137" s="1">
        <v>0.82179209183673396</v>
      </c>
      <c r="F137" s="1">
        <v>40.999196747687101</v>
      </c>
      <c r="G137" s="1">
        <v>0.98874593881520201</v>
      </c>
      <c r="H137" s="1">
        <v>19.486907280528602</v>
      </c>
      <c r="I137" s="1">
        <v>43.994234778061198</v>
      </c>
      <c r="J137" s="1">
        <v>0.99238371455621199</v>
      </c>
      <c r="K137" s="8">
        <v>21.182567877933899</v>
      </c>
      <c r="L137" s="7">
        <v>20</v>
      </c>
      <c r="M137" s="1">
        <v>0.98644132653061201</v>
      </c>
      <c r="N137" s="1">
        <v>42.191810362335097</v>
      </c>
      <c r="O137" s="1">
        <v>0.99179110102359302</v>
      </c>
      <c r="P137" s="1">
        <v>20.857150889873701</v>
      </c>
      <c r="Q137" s="1">
        <v>45.211576123330403</v>
      </c>
      <c r="R137" s="1">
        <v>0.99460591794610897</v>
      </c>
      <c r="S137" s="8">
        <v>22.680824514165501</v>
      </c>
      <c r="T137" s="7"/>
      <c r="U137" s="1"/>
      <c r="V137" s="1"/>
      <c r="W137" s="8"/>
      <c r="X137" s="7"/>
      <c r="Y137" s="1"/>
      <c r="Z137" s="1"/>
      <c r="AA137" s="8"/>
      <c r="AB137" s="7">
        <v>64</v>
      </c>
      <c r="AC137" s="1">
        <v>0.180105495323129</v>
      </c>
      <c r="AD137" s="1">
        <v>37.925000899336297</v>
      </c>
      <c r="AE137" s="1">
        <v>0.97470415156254597</v>
      </c>
      <c r="AF137" s="1">
        <v>15.969507495218799</v>
      </c>
      <c r="AG137" s="1">
        <v>40.9706305932975</v>
      </c>
      <c r="AH137" s="1">
        <v>0.97998529327477302</v>
      </c>
      <c r="AI137" s="1">
        <v>16.986507692135799</v>
      </c>
      <c r="AJ137" s="1">
        <v>827.29848432540803</v>
      </c>
      <c r="AK137" s="1">
        <v>412.65473771095202</v>
      </c>
      <c r="AL137" s="7"/>
      <c r="AM137" s="1"/>
      <c r="AN137" s="1"/>
      <c r="AO137" s="8"/>
      <c r="AP137" s="1"/>
      <c r="AQ137" s="1"/>
      <c r="AR137" s="1"/>
      <c r="AS137" s="8"/>
      <c r="AT137" s="7">
        <v>0.64</v>
      </c>
      <c r="AU137" s="1">
        <v>0.512075361394557</v>
      </c>
      <c r="AV137" s="1">
        <v>38.796166343546602</v>
      </c>
      <c r="AW137" s="1">
        <v>0.99046443639774495</v>
      </c>
      <c r="AX137" s="1">
        <v>20.206536327579101</v>
      </c>
      <c r="AY137" s="1">
        <v>41.690985754456499</v>
      </c>
      <c r="AZ137" s="1">
        <v>0.99247060313854696</v>
      </c>
      <c r="BA137" s="1">
        <v>21.2323981134695</v>
      </c>
      <c r="BB137" s="1">
        <v>504.190138339996</v>
      </c>
      <c r="BC137" s="1">
        <v>348.14257216453501</v>
      </c>
      <c r="BD137" s="7"/>
      <c r="BE137" s="1"/>
      <c r="BF137" s="1"/>
      <c r="BG137" s="8"/>
      <c r="BH137" s="1"/>
      <c r="BI137" s="1"/>
      <c r="BJ137" s="1"/>
      <c r="BK137" s="8"/>
    </row>
    <row r="138" spans="1:63">
      <c r="A138" s="49"/>
      <c r="B138" s="7" t="s">
        <v>18</v>
      </c>
      <c r="C138" s="17">
        <v>0.5</v>
      </c>
      <c r="D138" s="7">
        <v>26</v>
      </c>
      <c r="E138" s="1">
        <v>0.39376275510204001</v>
      </c>
      <c r="F138" s="1">
        <v>38.943094557995799</v>
      </c>
      <c r="G138" s="1">
        <v>0.98043419056211001</v>
      </c>
      <c r="H138" s="1">
        <v>17.085021806210801</v>
      </c>
      <c r="I138" s="1">
        <v>41.969440595052397</v>
      </c>
      <c r="J138" s="1">
        <v>0.98506210847410702</v>
      </c>
      <c r="K138" s="8">
        <v>18.2571069859106</v>
      </c>
      <c r="L138" s="7">
        <v>24</v>
      </c>
      <c r="M138" s="1">
        <v>0.429684045493197</v>
      </c>
      <c r="N138" s="1">
        <v>39.4796723716955</v>
      </c>
      <c r="O138" s="1">
        <v>0.98341650322897101</v>
      </c>
      <c r="P138" s="1">
        <v>17.803238894526299</v>
      </c>
      <c r="Q138" s="1">
        <v>42.5171380858825</v>
      </c>
      <c r="R138" s="1">
        <v>0.98746527748994894</v>
      </c>
      <c r="S138" s="8">
        <v>19.018852758810802</v>
      </c>
      <c r="T138" s="7"/>
      <c r="U138" s="1"/>
      <c r="V138" s="1"/>
      <c r="W138" s="8"/>
      <c r="X138" s="7"/>
      <c r="Y138" s="1"/>
      <c r="Z138" s="1"/>
      <c r="AA138" s="8"/>
      <c r="AB138" s="7">
        <v>32</v>
      </c>
      <c r="AC138" s="1">
        <v>0.11901812287414899</v>
      </c>
      <c r="AD138" s="1">
        <v>37.260372777778102</v>
      </c>
      <c r="AE138" s="1">
        <v>0.97078823665782599</v>
      </c>
      <c r="AF138" s="1">
        <v>15.344422264341301</v>
      </c>
      <c r="AG138" s="1">
        <v>40.307192396747503</v>
      </c>
      <c r="AH138" s="1">
        <v>0.97696686135344601</v>
      </c>
      <c r="AI138" s="1">
        <v>16.376468781885102</v>
      </c>
      <c r="AJ138" s="1">
        <v>1341.0237746238699</v>
      </c>
      <c r="AK138" s="1">
        <v>745.70385432243302</v>
      </c>
      <c r="AL138" s="7"/>
      <c r="AM138" s="1"/>
      <c r="AN138" s="1"/>
      <c r="AO138" s="8"/>
      <c r="AP138" s="1"/>
      <c r="AQ138" s="1"/>
      <c r="AR138" s="1"/>
      <c r="AS138" s="8"/>
      <c r="AT138" s="7">
        <v>0.32</v>
      </c>
      <c r="AU138" s="1">
        <v>0.336092952806122</v>
      </c>
      <c r="AV138" s="1">
        <v>38.045254746542099</v>
      </c>
      <c r="AW138" s="1">
        <v>0.98583587682101703</v>
      </c>
      <c r="AX138" s="1">
        <v>18.488103050345298</v>
      </c>
      <c r="AY138" s="1">
        <v>40.895493135303802</v>
      </c>
      <c r="AZ138" s="1">
        <v>0.98870471494628598</v>
      </c>
      <c r="BA138" s="1">
        <v>19.471028045229001</v>
      </c>
      <c r="BB138" s="1">
        <v>504.05128383636401</v>
      </c>
      <c r="BC138" s="1">
        <v>352.77032780647198</v>
      </c>
      <c r="BD138" s="7"/>
      <c r="BE138" s="1"/>
      <c r="BF138" s="1"/>
      <c r="BG138" s="8"/>
      <c r="BH138" s="1"/>
      <c r="BI138" s="1"/>
      <c r="BJ138" s="1"/>
      <c r="BK138" s="8"/>
    </row>
    <row r="139" spans="1:63">
      <c r="A139" s="49"/>
      <c r="B139" s="7" t="s">
        <v>18</v>
      </c>
      <c r="C139" s="17">
        <v>0.25</v>
      </c>
      <c r="D139" s="7">
        <v>28</v>
      </c>
      <c r="E139" s="1">
        <v>0.22829241071428499</v>
      </c>
      <c r="F139" s="1">
        <v>37.9652320202811</v>
      </c>
      <c r="G139" s="1">
        <v>0.97430987067691999</v>
      </c>
      <c r="H139" s="1">
        <v>15.9023370950716</v>
      </c>
      <c r="I139" s="1">
        <v>41.002681795350597</v>
      </c>
      <c r="J139" s="1">
        <v>0.97966183950526498</v>
      </c>
      <c r="K139" s="8">
        <v>16.9168832983576</v>
      </c>
      <c r="L139" s="7">
        <v>26</v>
      </c>
      <c r="M139" s="1">
        <v>0.23808088860544199</v>
      </c>
      <c r="N139" s="1">
        <v>38.308664086249003</v>
      </c>
      <c r="O139" s="1">
        <v>0.97697207547194198</v>
      </c>
      <c r="P139" s="1">
        <v>16.377452025755101</v>
      </c>
      <c r="Q139" s="1">
        <v>41.364178642600201</v>
      </c>
      <c r="R139" s="1">
        <v>0.98170252311481998</v>
      </c>
      <c r="S139" s="8">
        <v>17.376087928045902</v>
      </c>
      <c r="T139" s="7"/>
      <c r="U139" s="1"/>
      <c r="V139" s="1"/>
      <c r="W139" s="8"/>
      <c r="X139" s="7"/>
      <c r="Y139" s="1"/>
      <c r="Z139" s="1"/>
      <c r="AA139" s="8"/>
      <c r="AB139" s="7">
        <v>16</v>
      </c>
      <c r="AC139" s="1">
        <v>7.8917676445578205E-2</v>
      </c>
      <c r="AD139" s="1">
        <v>36.592099569613502</v>
      </c>
      <c r="AE139" s="1">
        <v>0.96540630359129298</v>
      </c>
      <c r="AF139" s="1">
        <v>14.6100303023384</v>
      </c>
      <c r="AG139" s="1">
        <v>39.652909511651501</v>
      </c>
      <c r="AH139" s="1">
        <v>0.97296446793271996</v>
      </c>
      <c r="AI139" s="1">
        <v>15.6806507896019</v>
      </c>
      <c r="AJ139" s="1">
        <v>513.11496758460999</v>
      </c>
      <c r="AK139" s="1">
        <v>365.88658571243201</v>
      </c>
      <c r="AL139" s="7"/>
      <c r="AM139" s="1"/>
      <c r="AN139" s="1"/>
      <c r="AO139" s="8"/>
      <c r="AP139" s="1"/>
      <c r="AQ139" s="1"/>
      <c r="AR139" s="1"/>
      <c r="AS139" s="8"/>
      <c r="AT139" s="7">
        <v>0.16</v>
      </c>
      <c r="AU139" s="1">
        <v>0.158936809098639</v>
      </c>
      <c r="AV139" s="1">
        <v>36.779092490069999</v>
      </c>
      <c r="AW139" s="1">
        <v>0.97667907340061799</v>
      </c>
      <c r="AX139" s="1">
        <v>16.322541979523098</v>
      </c>
      <c r="AY139" s="1">
        <v>39.5808480924929</v>
      </c>
      <c r="AZ139" s="1">
        <v>0.980984182716367</v>
      </c>
      <c r="BA139" s="1">
        <v>17.208850042442801</v>
      </c>
      <c r="BB139" s="1">
        <v>500.33034491539001</v>
      </c>
      <c r="BC139" s="1">
        <v>369.54697608947703</v>
      </c>
      <c r="BD139" s="7"/>
      <c r="BE139" s="1"/>
      <c r="BF139" s="1"/>
      <c r="BG139" s="8"/>
      <c r="BH139" s="1"/>
      <c r="BI139" s="1"/>
      <c r="BJ139" s="1"/>
      <c r="BK139" s="8"/>
    </row>
    <row r="140" spans="1:63">
      <c r="A140" s="49"/>
      <c r="B140" s="7" t="s">
        <v>18</v>
      </c>
      <c r="C140" s="17">
        <v>0.12</v>
      </c>
      <c r="D140" s="7">
        <v>33</v>
      </c>
      <c r="E140" s="1">
        <v>0.106301551870748</v>
      </c>
      <c r="F140" s="1">
        <v>36.776797280983203</v>
      </c>
      <c r="G140" s="1">
        <v>0.96533656546390501</v>
      </c>
      <c r="H140" s="1">
        <v>14.6012840855298</v>
      </c>
      <c r="I140" s="1">
        <v>39.799573297962702</v>
      </c>
      <c r="J140" s="1">
        <v>0.97406516807645604</v>
      </c>
      <c r="K140" s="8">
        <v>15.8611656220342</v>
      </c>
      <c r="L140" s="7">
        <v>30</v>
      </c>
      <c r="M140" s="1">
        <v>0.105858312074829</v>
      </c>
      <c r="N140" s="1">
        <v>37.208499067929402</v>
      </c>
      <c r="O140" s="1">
        <v>0.96921994028950398</v>
      </c>
      <c r="P140" s="1">
        <v>15.1173054201222</v>
      </c>
      <c r="Q140" s="1">
        <v>40.2530765533646</v>
      </c>
      <c r="R140" s="1">
        <v>0.97580022301263503</v>
      </c>
      <c r="S140" s="8">
        <v>16.1618863623458</v>
      </c>
      <c r="T140" s="7"/>
      <c r="U140" s="1"/>
      <c r="V140" s="1"/>
      <c r="W140" s="8"/>
      <c r="X140" s="7"/>
      <c r="Y140" s="1"/>
      <c r="Z140" s="1"/>
      <c r="AA140" s="8"/>
      <c r="AB140" s="7">
        <v>8</v>
      </c>
      <c r="AC140" s="1">
        <v>5.6319355867346897E-2</v>
      </c>
      <c r="AD140" s="1">
        <v>35.880380282445302</v>
      </c>
      <c r="AE140" s="1">
        <v>0.96015550905497304</v>
      </c>
      <c r="AF140" s="1">
        <v>13.9963171736873</v>
      </c>
      <c r="AG140" s="1">
        <v>38.965089481932999</v>
      </c>
      <c r="AH140" s="1">
        <v>0.96849120677115597</v>
      </c>
      <c r="AI140" s="1">
        <v>15.0156822977078</v>
      </c>
      <c r="AJ140" s="1">
        <v>483.22132110595697</v>
      </c>
      <c r="AK140" s="1">
        <v>351.55513429641701</v>
      </c>
      <c r="AL140" s="7"/>
      <c r="AM140" s="1"/>
      <c r="AN140" s="1"/>
      <c r="AO140" s="8"/>
      <c r="AP140" s="1"/>
      <c r="AQ140" s="1"/>
      <c r="AR140" s="1"/>
      <c r="AS140" s="8"/>
      <c r="AT140" s="7">
        <v>0.08</v>
      </c>
      <c r="AU140" s="1">
        <v>8.0706048044217604E-2</v>
      </c>
      <c r="AV140" s="1">
        <v>35.765626131530198</v>
      </c>
      <c r="AW140" s="1">
        <v>0.96889444631908705</v>
      </c>
      <c r="AX140" s="1">
        <v>15.071620637820001</v>
      </c>
      <c r="AY140" s="1">
        <v>38.5986464094781</v>
      </c>
      <c r="AZ140" s="1">
        <v>0.975222046633205</v>
      </c>
      <c r="BA140" s="1">
        <v>16.0593456875154</v>
      </c>
      <c r="BB140" s="1">
        <v>410.75610375404301</v>
      </c>
      <c r="BC140" s="1">
        <v>289.266591548919</v>
      </c>
      <c r="BD140" s="7"/>
      <c r="BE140" s="1"/>
      <c r="BF140" s="1"/>
      <c r="BG140" s="8"/>
      <c r="BH140" s="1"/>
      <c r="BI140" s="1"/>
      <c r="BJ140" s="1"/>
      <c r="BK140" s="8"/>
    </row>
    <row r="141" spans="1:63">
      <c r="A141" s="49"/>
      <c r="B141" s="7" t="s">
        <v>18</v>
      </c>
      <c r="C141" s="17">
        <v>0.06</v>
      </c>
      <c r="D141" s="7">
        <v>38</v>
      </c>
      <c r="E141" s="1">
        <v>5.2850499574829901E-2</v>
      </c>
      <c r="F141" s="1">
        <v>35.440745565563297</v>
      </c>
      <c r="G141" s="1">
        <v>0.95373041031837003</v>
      </c>
      <c r="H141" s="1">
        <v>13.347043518032001</v>
      </c>
      <c r="I141" s="1">
        <v>38.485944001377597</v>
      </c>
      <c r="J141" s="1">
        <v>0.96617968515932295</v>
      </c>
      <c r="K141" s="8">
        <v>14.7082235377754</v>
      </c>
      <c r="L141" s="7">
        <v>34</v>
      </c>
      <c r="M141" s="1">
        <v>5.9243463010204001E-2</v>
      </c>
      <c r="N141" s="1">
        <v>36.320097942346003</v>
      </c>
      <c r="O141" s="1">
        <v>0.96233719505692294</v>
      </c>
      <c r="P141" s="1">
        <v>14.2408733896785</v>
      </c>
      <c r="Q141" s="1">
        <v>39.370727524759602</v>
      </c>
      <c r="R141" s="1">
        <v>0.97119160839302199</v>
      </c>
      <c r="S141" s="8">
        <v>15.4048098801299</v>
      </c>
      <c r="T141" s="7"/>
      <c r="U141" s="1"/>
      <c r="V141" s="1"/>
      <c r="W141" s="8"/>
      <c r="X141" s="7"/>
      <c r="Y141" s="1"/>
      <c r="Z141" s="1"/>
      <c r="AA141" s="8"/>
      <c r="AB141" s="7">
        <v>4</v>
      </c>
      <c r="AC141" s="1">
        <v>3.9932769982993201E-2</v>
      </c>
      <c r="AD141" s="1">
        <v>35.008937102034501</v>
      </c>
      <c r="AE141" s="1">
        <v>0.95219890962170395</v>
      </c>
      <c r="AF141" s="1">
        <v>13.2056219669591</v>
      </c>
      <c r="AG141" s="1">
        <v>38.106748818107299</v>
      </c>
      <c r="AH141" s="1">
        <v>0.96175381183581998</v>
      </c>
      <c r="AI141" s="1">
        <v>14.174118426477801</v>
      </c>
      <c r="AJ141" s="1">
        <v>522.617842435836</v>
      </c>
      <c r="AK141" s="1">
        <v>375.15064978599497</v>
      </c>
      <c r="AL141" s="7"/>
      <c r="AM141" s="1"/>
      <c r="AN141" s="1"/>
      <c r="AO141" s="8"/>
      <c r="AP141" s="1"/>
      <c r="AQ141" s="1"/>
      <c r="AR141" s="1"/>
      <c r="AS141" s="8"/>
      <c r="AT141" s="7">
        <v>0.04</v>
      </c>
      <c r="AU141" s="1">
        <v>4.9327965561224402E-2</v>
      </c>
      <c r="AV141" s="1">
        <v>34.530663386754703</v>
      </c>
      <c r="AW141" s="1">
        <v>0.96154547275083602</v>
      </c>
      <c r="AX141" s="1">
        <v>14.1505252338953</v>
      </c>
      <c r="AY141" s="1">
        <v>37.3088478152631</v>
      </c>
      <c r="AZ141" s="1">
        <v>0.97029168759695295</v>
      </c>
      <c r="BA141" s="1">
        <v>15.271220178315</v>
      </c>
      <c r="BB141" s="1">
        <v>368.47645163535998</v>
      </c>
      <c r="BC141" s="1">
        <v>248.387908220291</v>
      </c>
      <c r="BD141" s="7"/>
      <c r="BE141" s="1"/>
      <c r="BF141" s="1"/>
      <c r="BG141" s="8"/>
      <c r="BH141" s="1"/>
      <c r="BI141" s="1"/>
      <c r="BJ141" s="1"/>
      <c r="BK141" s="8"/>
    </row>
    <row r="142" spans="1:63">
      <c r="A142" s="49"/>
      <c r="B142" s="7" t="s">
        <v>42</v>
      </c>
      <c r="C142" s="17">
        <v>1.5</v>
      </c>
      <c r="D142" s="7">
        <v>12</v>
      </c>
      <c r="E142" s="1">
        <v>1.47588301251353</v>
      </c>
      <c r="F142" s="1">
        <v>49.1035635501512</v>
      </c>
      <c r="G142" s="1">
        <v>0.99738970483176803</v>
      </c>
      <c r="H142" s="1">
        <v>25.8331038052137</v>
      </c>
      <c r="I142" s="1">
        <v>52.466985486153703</v>
      </c>
      <c r="J142" s="1">
        <v>0.99887886895812805</v>
      </c>
      <c r="K142" s="8">
        <v>29.503436225204599</v>
      </c>
      <c r="L142" s="7">
        <v>10</v>
      </c>
      <c r="M142" s="1">
        <v>1.33321043946047</v>
      </c>
      <c r="N142" s="1">
        <v>48.732113993314499</v>
      </c>
      <c r="O142" s="1">
        <v>0.99745053145349405</v>
      </c>
      <c r="P142" s="1">
        <v>25.935503416739301</v>
      </c>
      <c r="Q142" s="1">
        <v>52.106083247483497</v>
      </c>
      <c r="R142" s="1">
        <v>0.998783396955092</v>
      </c>
      <c r="S142" s="8">
        <v>29.148511009218801</v>
      </c>
      <c r="T142" s="13">
        <f>bdrate(E142:E145,F142:F145,M142:M145,N142:N145)</f>
        <v>-5.8589770170859423E-2</v>
      </c>
      <c r="U142" s="12">
        <f>bdrate(E142:E145,H142:H145,M142:M145,P142:P145)</f>
        <v>-0.16925066200366423</v>
      </c>
      <c r="V142" s="12">
        <f>bdrate(E142:E145,I142:I145,M142:M145,Q142:Q145)</f>
        <v>-6.5618356907322539E-2</v>
      </c>
      <c r="W142" s="14">
        <f>bdrate(E142:E145,K142:K145,M142:M145,S142:S145)</f>
        <v>-0.10596934063998908</v>
      </c>
      <c r="X142" s="13">
        <f>bdrate(E144:E147,F144:F147,M144:M147,N144:N147)</f>
        <v>-0.21240008541832422</v>
      </c>
      <c r="Y142" s="12">
        <f>bdrate(E144:E147,H144:H147,M144:M147,P144:P147)</f>
        <v>-0.28290699455665513</v>
      </c>
      <c r="Z142" s="12">
        <f>bdrate(E144:E147,I144:I147,M144:M147,Q144:Q147)</f>
        <v>-0.2116421182065843</v>
      </c>
      <c r="AA142" s="14">
        <f>bdrate(E144:E147,K144:K147,M144:M147,S144:S147)</f>
        <v>-0.224677727120149</v>
      </c>
      <c r="AB142" s="7"/>
      <c r="AC142" s="1"/>
      <c r="AD142" s="1"/>
      <c r="AE142" s="1"/>
      <c r="AF142" s="1"/>
      <c r="AG142" s="1"/>
      <c r="AH142" s="1"/>
      <c r="AI142" s="1"/>
      <c r="AJ142" s="1"/>
      <c r="AK142" s="1"/>
      <c r="AL142" s="13" t="e">
        <f>bdrate(E142:E145,F142:F145,AC142:AC145,AD142:AD145)</f>
        <v>#VALUE!</v>
      </c>
      <c r="AM142" s="12" t="e">
        <f>bdrate(E142:E145,H142:H145,AC142:AC145,AF142:AF145)</f>
        <v>#VALUE!</v>
      </c>
      <c r="AN142" s="12" t="e">
        <f>bdrate(E142:E145,I142:I145,AC142:AC145,AG142:AG145)</f>
        <v>#VALUE!</v>
      </c>
      <c r="AO142" s="14" t="e">
        <f>bdrate(E142:E145,K142:K145,AC142:AC145,AI142:AI145)</f>
        <v>#VALUE!</v>
      </c>
      <c r="AP142" s="12">
        <f>bdrate(E144:E147,F144:F147,AC144:AC147,AD144:AD147)</f>
        <v>-0.16440824232805284</v>
      </c>
      <c r="AQ142" s="12">
        <f>bdrate(E144:E147,H144:H147,AC144:AC147,AF144:AF147)</f>
        <v>-0.35609012530553874</v>
      </c>
      <c r="AR142" s="12">
        <f>bdrate(E144:E147,I144:I147,AC144:AC147,AG144:AG147)</f>
        <v>-0.15863841895254183</v>
      </c>
      <c r="AS142" s="14">
        <f>bdrate(E144:E147,K144:K147,AC144:AC147,AI144:AI147)</f>
        <v>-0.19532374376329431</v>
      </c>
      <c r="AT142" s="7"/>
      <c r="AU142" s="1"/>
      <c r="AV142" s="1"/>
      <c r="AW142" s="1"/>
      <c r="AX142" s="1"/>
      <c r="AY142" s="1"/>
      <c r="AZ142" s="1"/>
      <c r="BA142" s="1"/>
      <c r="BB142" s="1"/>
      <c r="BC142" s="1"/>
      <c r="BD142" s="13" t="e">
        <f>bdrate(E142:E145,F142:F145,AU142:AU145,AV142:AV145)</f>
        <v>#VALUE!</v>
      </c>
      <c r="BE142" s="12" t="e">
        <f>bdrate(E142:E145,H142:H145,AU142:AU145,AX142:AX145)</f>
        <v>#VALUE!</v>
      </c>
      <c r="BF142" s="12" t="e">
        <f>bdrate(E142:E145,I142:I145,AU142:AU145,AY142:AY145)</f>
        <v>#VALUE!</v>
      </c>
      <c r="BG142" s="14" t="e">
        <f>bdrate(E142:E145,K142:K145,AU142:AU145,BA142:BA145)</f>
        <v>#VALUE!</v>
      </c>
      <c r="BH142" s="12">
        <f>bdrate(E144:E147,F144:F147,AU144:AU147,AV144:AV147)</f>
        <v>0.40778796214146018</v>
      </c>
      <c r="BI142" s="12">
        <f>bdrate(E144:E147,H144:H147,AU144:AU147,AX144:AX147)</f>
        <v>-0.56490279553521838</v>
      </c>
      <c r="BJ142" s="12">
        <f>bdrate(E144:E147,I144:I147,AU144:AU147,AY144:AY147)</f>
        <v>0.55458704582039542</v>
      </c>
      <c r="BK142" s="14">
        <f>bdrate(E144:E147,K144:K147,AU144:AU147,BA144:BA147)</f>
        <v>-0.44499545477133062</v>
      </c>
    </row>
    <row r="143" spans="1:63">
      <c r="A143" s="49"/>
      <c r="B143" s="7" t="s">
        <v>18</v>
      </c>
      <c r="C143" s="17">
        <v>1</v>
      </c>
      <c r="D143" s="7">
        <v>15</v>
      </c>
      <c r="E143" s="1">
        <v>0.96431963413959698</v>
      </c>
      <c r="F143" s="1">
        <v>47.895461884025998</v>
      </c>
      <c r="G143" s="1">
        <v>0.99666034753863197</v>
      </c>
      <c r="H143" s="1">
        <v>24.762987253931001</v>
      </c>
      <c r="I143" s="1">
        <v>51.0297349279939</v>
      </c>
      <c r="J143" s="1">
        <v>0.99826502089918301</v>
      </c>
      <c r="K143" s="8">
        <v>27.607057522591301</v>
      </c>
      <c r="L143" s="7">
        <v>13</v>
      </c>
      <c r="M143" s="1">
        <v>0.88104086835741902</v>
      </c>
      <c r="N143" s="1">
        <v>47.704190846440298</v>
      </c>
      <c r="O143" s="1">
        <v>0.996781693048989</v>
      </c>
      <c r="P143" s="1">
        <v>24.9237253675266</v>
      </c>
      <c r="Q143" s="1">
        <v>50.871403177829499</v>
      </c>
      <c r="R143" s="1">
        <v>0.99824157127749302</v>
      </c>
      <c r="S143" s="8">
        <v>27.548752310146298</v>
      </c>
      <c r="T143" s="7"/>
      <c r="U143" s="1"/>
      <c r="V143" s="1"/>
      <c r="W143" s="8"/>
      <c r="X143" s="7"/>
      <c r="Y143" s="1"/>
      <c r="Z143" s="1"/>
      <c r="AA143" s="8"/>
      <c r="AB143" s="7">
        <v>64</v>
      </c>
      <c r="AC143" s="1">
        <v>9.7629297044375604E-2</v>
      </c>
      <c r="AD143" s="1">
        <v>43.417575821612701</v>
      </c>
      <c r="AE143" s="1">
        <v>0.99157135793929096</v>
      </c>
      <c r="AF143" s="1">
        <v>20.7424238896307</v>
      </c>
      <c r="AG143" s="1">
        <v>46.335961342032498</v>
      </c>
      <c r="AH143" s="1">
        <v>0.99325099548784901</v>
      </c>
      <c r="AI143" s="1">
        <v>21.707602815042399</v>
      </c>
      <c r="AJ143" s="1">
        <v>783.99489212036099</v>
      </c>
      <c r="AK143" s="1">
        <v>422.11039853096003</v>
      </c>
      <c r="AL143" s="7"/>
      <c r="AM143" s="1"/>
      <c r="AN143" s="1"/>
      <c r="AO143" s="8"/>
      <c r="AP143" s="1"/>
      <c r="AQ143" s="1"/>
      <c r="AR143" s="1"/>
      <c r="AS143" s="8"/>
      <c r="AT143" s="7">
        <v>0.64</v>
      </c>
      <c r="AU143" s="1">
        <v>0.191689595724575</v>
      </c>
      <c r="AV143" s="1">
        <v>43.099957702352597</v>
      </c>
      <c r="AW143" s="1">
        <v>0.99479115627026904</v>
      </c>
      <c r="AX143" s="1">
        <v>22.832586716196801</v>
      </c>
      <c r="AY143" s="1">
        <v>45.751733027442</v>
      </c>
      <c r="AZ143" s="1">
        <v>0.99572116691111101</v>
      </c>
      <c r="BA143" s="1">
        <v>23.686746543873799</v>
      </c>
      <c r="BB143" s="1">
        <v>497.62013769149701</v>
      </c>
      <c r="BC143" s="1">
        <v>351.39677762985201</v>
      </c>
      <c r="BD143" s="7"/>
      <c r="BE143" s="1"/>
      <c r="BF143" s="1"/>
      <c r="BG143" s="8"/>
      <c r="BH143" s="1"/>
      <c r="BI143" s="1"/>
      <c r="BJ143" s="1"/>
      <c r="BK143" s="8"/>
    </row>
    <row r="144" spans="1:63">
      <c r="A144" s="49"/>
      <c r="B144" s="7" t="s">
        <v>18</v>
      </c>
      <c r="C144" s="17">
        <v>0.5</v>
      </c>
      <c r="D144" s="7">
        <v>19</v>
      </c>
      <c r="E144" s="1">
        <v>0.480027207634808</v>
      </c>
      <c r="F144" s="1">
        <v>45.976934088439798</v>
      </c>
      <c r="G144" s="1">
        <v>0.99461503109841598</v>
      </c>
      <c r="H144" s="1">
        <v>22.688168004272001</v>
      </c>
      <c r="I144" s="1">
        <v>48.9686793775819</v>
      </c>
      <c r="J144" s="1">
        <v>0.99643646524695395</v>
      </c>
      <c r="K144" s="8">
        <v>24.481190014292601</v>
      </c>
      <c r="L144" s="7">
        <v>17</v>
      </c>
      <c r="M144" s="1">
        <v>0.43759302197903399</v>
      </c>
      <c r="N144" s="1">
        <v>45.9547121564515</v>
      </c>
      <c r="O144" s="1">
        <v>0.99496445771397102</v>
      </c>
      <c r="P144" s="1">
        <v>22.979537526876701</v>
      </c>
      <c r="Q144" s="1">
        <v>48.951269998188899</v>
      </c>
      <c r="R144" s="1">
        <v>0.99657367594656199</v>
      </c>
      <c r="S144" s="8">
        <v>24.651715649068699</v>
      </c>
      <c r="T144" s="7"/>
      <c r="U144" s="1"/>
      <c r="V144" s="1"/>
      <c r="W144" s="8"/>
      <c r="X144" s="7"/>
      <c r="Y144" s="1"/>
      <c r="Z144" s="1"/>
      <c r="AA144" s="8"/>
      <c r="AB144" s="7">
        <v>32</v>
      </c>
      <c r="AC144" s="1">
        <v>7.2864578699766799E-2</v>
      </c>
      <c r="AD144" s="1">
        <v>42.310975170157299</v>
      </c>
      <c r="AE144" s="1">
        <v>0.99038591658840502</v>
      </c>
      <c r="AF144" s="1">
        <v>20.170921142608201</v>
      </c>
      <c r="AG144" s="1">
        <v>45.259239318716602</v>
      </c>
      <c r="AH144" s="1">
        <v>0.99222245477029003</v>
      </c>
      <c r="AI144" s="1">
        <v>21.091574546061</v>
      </c>
      <c r="AJ144" s="1">
        <v>1271.0631744861601</v>
      </c>
      <c r="AK144" s="1">
        <v>740.624784231185</v>
      </c>
      <c r="AL144" s="7"/>
      <c r="AM144" s="1"/>
      <c r="AN144" s="1"/>
      <c r="AO144" s="8"/>
      <c r="AP144" s="1"/>
      <c r="AQ144" s="1"/>
      <c r="AR144" s="1"/>
      <c r="AS144" s="8"/>
      <c r="AT144" s="7">
        <v>0.32</v>
      </c>
      <c r="AU144" s="1">
        <v>9.7027651388553807E-2</v>
      </c>
      <c r="AV144" s="1">
        <v>41.759040328594097</v>
      </c>
      <c r="AW144" s="1">
        <v>0.99264625284208297</v>
      </c>
      <c r="AX144" s="1">
        <v>21.334913064510399</v>
      </c>
      <c r="AY144" s="1">
        <v>44.311611624622202</v>
      </c>
      <c r="AZ144" s="1">
        <v>0.99385369444805405</v>
      </c>
      <c r="BA144" s="1">
        <v>22.113858534149202</v>
      </c>
      <c r="BB144" s="1">
        <v>475.66826391220002</v>
      </c>
      <c r="BC144" s="1">
        <v>339.30719780921902</v>
      </c>
      <c r="BD144" s="7"/>
      <c r="BE144" s="1"/>
      <c r="BF144" s="1"/>
      <c r="BG144" s="8"/>
      <c r="BH144" s="1"/>
      <c r="BI144" s="1"/>
      <c r="BJ144" s="1"/>
      <c r="BK144" s="8"/>
    </row>
    <row r="145" spans="1:63">
      <c r="A145" s="49"/>
      <c r="B145" s="7" t="s">
        <v>18</v>
      </c>
      <c r="C145" s="17">
        <v>0.25</v>
      </c>
      <c r="D145" s="7">
        <v>23</v>
      </c>
      <c r="E145" s="1">
        <v>0.220509811873525</v>
      </c>
      <c r="F145" s="1">
        <v>44.3296001430231</v>
      </c>
      <c r="G145" s="1">
        <v>0.99198090653402304</v>
      </c>
      <c r="H145" s="1">
        <v>20.958747246057001</v>
      </c>
      <c r="I145" s="1">
        <v>47.310469565373097</v>
      </c>
      <c r="J145" s="1">
        <v>0.99405814703674</v>
      </c>
      <c r="K145" s="8">
        <v>22.260780994248599</v>
      </c>
      <c r="L145" s="7">
        <v>20</v>
      </c>
      <c r="M145" s="1">
        <v>0.22493318981466201</v>
      </c>
      <c r="N145" s="1">
        <v>44.6836931905368</v>
      </c>
      <c r="O145" s="1">
        <v>0.99299683782131098</v>
      </c>
      <c r="P145" s="1">
        <v>21.547058161774999</v>
      </c>
      <c r="Q145" s="1">
        <v>47.663327345790101</v>
      </c>
      <c r="R145" s="1">
        <v>0.99479212464081901</v>
      </c>
      <c r="S145" s="8">
        <v>22.833394183469199</v>
      </c>
      <c r="T145" s="7"/>
      <c r="U145" s="1"/>
      <c r="V145" s="1"/>
      <c r="W145" s="8"/>
      <c r="X145" s="7"/>
      <c r="Y145" s="1"/>
      <c r="Z145" s="1"/>
      <c r="AA145" s="8"/>
      <c r="AB145" s="7">
        <v>16</v>
      </c>
      <c r="AC145" s="1">
        <v>5.2128107778995098E-2</v>
      </c>
      <c r="AD145" s="1">
        <v>41.338193605212901</v>
      </c>
      <c r="AE145" s="1">
        <v>0.98824573482337497</v>
      </c>
      <c r="AF145" s="1">
        <v>19.298045158127302</v>
      </c>
      <c r="AG145" s="1">
        <v>44.212222316059702</v>
      </c>
      <c r="AH145" s="1">
        <v>0.99030467590615401</v>
      </c>
      <c r="AI145" s="1">
        <v>20.134376688115498</v>
      </c>
      <c r="AJ145" s="1">
        <v>498.33588457107498</v>
      </c>
      <c r="AK145" s="1">
        <v>362.50456762313797</v>
      </c>
      <c r="AL145" s="7"/>
      <c r="AM145" s="1"/>
      <c r="AN145" s="1"/>
      <c r="AO145" s="8"/>
      <c r="AP145" s="1"/>
      <c r="AQ145" s="1"/>
      <c r="AR145" s="1"/>
      <c r="AS145" s="8"/>
      <c r="AT145" s="7">
        <v>0.16</v>
      </c>
      <c r="AU145" s="1">
        <v>5.7795118281345197E-2</v>
      </c>
      <c r="AV145" s="1">
        <v>39.167082450498903</v>
      </c>
      <c r="AW145" s="1">
        <v>0.99062800357289904</v>
      </c>
      <c r="AX145" s="1">
        <v>20.281678856417599</v>
      </c>
      <c r="AY145" s="1">
        <v>41.799395840453002</v>
      </c>
      <c r="AZ145" s="1">
        <v>0.99233961395903203</v>
      </c>
      <c r="BA145" s="1">
        <v>21.1574934378284</v>
      </c>
      <c r="BB145" s="1">
        <v>487.70037817955</v>
      </c>
      <c r="BC145" s="1">
        <v>360.767254114151</v>
      </c>
      <c r="BD145" s="7"/>
      <c r="BE145" s="1"/>
      <c r="BF145" s="1"/>
      <c r="BG145" s="8"/>
      <c r="BH145" s="1"/>
      <c r="BI145" s="1"/>
      <c r="BJ145" s="1"/>
      <c r="BK145" s="8"/>
    </row>
    <row r="146" spans="1:63">
      <c r="A146" s="49"/>
      <c r="B146" s="7" t="s">
        <v>18</v>
      </c>
      <c r="C146" s="17">
        <v>0.12</v>
      </c>
      <c r="D146" s="7">
        <v>29</v>
      </c>
      <c r="E146" s="1">
        <v>0.107350202387507</v>
      </c>
      <c r="F146" s="1">
        <v>42.818116156455503</v>
      </c>
      <c r="G146" s="1">
        <v>0.98967475725718601</v>
      </c>
      <c r="H146" s="1">
        <v>19.860997294415</v>
      </c>
      <c r="I146" s="1">
        <v>45.766621877878599</v>
      </c>
      <c r="J146" s="1">
        <v>0.99243785864527001</v>
      </c>
      <c r="K146" s="8">
        <v>21.213552088823199</v>
      </c>
      <c r="L146" s="7">
        <v>24</v>
      </c>
      <c r="M146" s="1">
        <v>0.11646011145405601</v>
      </c>
      <c r="N146" s="1">
        <v>43.673256984132301</v>
      </c>
      <c r="O146" s="1">
        <v>0.99123377303303195</v>
      </c>
      <c r="P146" s="1">
        <v>20.5718728918905</v>
      </c>
      <c r="Q146" s="1">
        <v>46.639269864534398</v>
      </c>
      <c r="R146" s="1">
        <v>0.99329623147803403</v>
      </c>
      <c r="S146" s="8">
        <v>21.736809901070099</v>
      </c>
      <c r="T146" s="7"/>
      <c r="U146" s="1"/>
      <c r="V146" s="1"/>
      <c r="W146" s="8"/>
      <c r="X146" s="7"/>
      <c r="Y146" s="1"/>
      <c r="Z146" s="1"/>
      <c r="AA146" s="8"/>
      <c r="AB146" s="7">
        <v>8</v>
      </c>
      <c r="AC146" s="1">
        <v>3.8345292777286599E-2</v>
      </c>
      <c r="AD146" s="1">
        <v>40.102990435119899</v>
      </c>
      <c r="AE146" s="1">
        <v>0.98533104260398197</v>
      </c>
      <c r="AF146" s="1">
        <v>18.336007527720898</v>
      </c>
      <c r="AG146" s="1">
        <v>42.950345852593202</v>
      </c>
      <c r="AH146" s="1">
        <v>0.98758683453543905</v>
      </c>
      <c r="AI146" s="1">
        <v>19.0611745552863</v>
      </c>
      <c r="AJ146" s="1">
        <v>469.26242613792402</v>
      </c>
      <c r="AK146" s="1">
        <v>358.15081882476801</v>
      </c>
      <c r="AL146" s="7"/>
      <c r="AM146" s="1"/>
      <c r="AN146" s="1"/>
      <c r="AO146" s="8"/>
      <c r="AP146" s="1"/>
      <c r="AQ146" s="1"/>
      <c r="AR146" s="1"/>
      <c r="AS146" s="8"/>
      <c r="AT146" s="7">
        <v>0.08</v>
      </c>
      <c r="AU146" s="1">
        <v>3.9558201870284401E-2</v>
      </c>
      <c r="AV146" s="1">
        <v>36.6879225718044</v>
      </c>
      <c r="AW146" s="1">
        <v>0.98828320701481298</v>
      </c>
      <c r="AX146" s="1">
        <v>19.311912432181298</v>
      </c>
      <c r="AY146" s="1">
        <v>39.581519191797398</v>
      </c>
      <c r="AZ146" s="1">
        <v>0.99055939261590598</v>
      </c>
      <c r="BA146" s="1">
        <v>20.250000634271</v>
      </c>
      <c r="BB146" s="1">
        <v>406.808144330978</v>
      </c>
      <c r="BC146" s="1">
        <v>303.08028793334898</v>
      </c>
      <c r="BD146" s="7"/>
      <c r="BE146" s="1"/>
      <c r="BF146" s="1"/>
      <c r="BG146" s="8"/>
      <c r="BH146" s="1"/>
      <c r="BI146" s="1"/>
      <c r="BJ146" s="1"/>
      <c r="BK146" s="8"/>
    </row>
    <row r="147" spans="1:63" ht="15" thickBot="1">
      <c r="A147" s="50"/>
      <c r="B147" s="9" t="s">
        <v>18</v>
      </c>
      <c r="C147" s="18">
        <v>0.06</v>
      </c>
      <c r="D147" s="9">
        <v>34</v>
      </c>
      <c r="E147" s="10">
        <v>5.82674582100721E-2</v>
      </c>
      <c r="F147" s="10">
        <v>41.138608874614697</v>
      </c>
      <c r="G147" s="10">
        <v>0.98632392709097705</v>
      </c>
      <c r="H147" s="10">
        <v>18.640385925857402</v>
      </c>
      <c r="I147" s="10">
        <v>44.051642135654397</v>
      </c>
      <c r="J147" s="10">
        <v>0.99016338886242194</v>
      </c>
      <c r="K147" s="11">
        <v>20.071544968677799</v>
      </c>
      <c r="L147" s="9">
        <v>30</v>
      </c>
      <c r="M147" s="10">
        <v>5.6514083237088703E-2</v>
      </c>
      <c r="N147" s="10">
        <v>42.170207886061199</v>
      </c>
      <c r="O147" s="10">
        <v>0.98906638623085397</v>
      </c>
      <c r="P147" s="10">
        <v>19.6123627166372</v>
      </c>
      <c r="Q147" s="10">
        <v>45.080642122810602</v>
      </c>
      <c r="R147" s="10">
        <v>0.99158272828198502</v>
      </c>
      <c r="S147" s="11">
        <v>20.748286531342401</v>
      </c>
      <c r="T147" s="9"/>
      <c r="U147" s="10"/>
      <c r="V147" s="10"/>
      <c r="W147" s="11"/>
      <c r="X147" s="9"/>
      <c r="Y147" s="10"/>
      <c r="Z147" s="10"/>
      <c r="AA147" s="11"/>
      <c r="AB147" s="9">
        <v>4</v>
      </c>
      <c r="AC147" s="10">
        <v>2.7444071933524002E-2</v>
      </c>
      <c r="AD147" s="10">
        <v>38.636705952439002</v>
      </c>
      <c r="AE147" s="10">
        <v>0.98064550327825795</v>
      </c>
      <c r="AF147" s="10">
        <v>17.132181172312201</v>
      </c>
      <c r="AG147" s="10">
        <v>41.428740131227002</v>
      </c>
      <c r="AH147" s="10">
        <v>0.982920603211342</v>
      </c>
      <c r="AI147" s="10">
        <v>17.675274718193499</v>
      </c>
      <c r="AJ147" s="10">
        <v>542.50429725646904</v>
      </c>
      <c r="AK147" s="10">
        <v>378.74966073036097</v>
      </c>
      <c r="AL147" s="9"/>
      <c r="AM147" s="10"/>
      <c r="AN147" s="10"/>
      <c r="AO147" s="11"/>
      <c r="AP147" s="10"/>
      <c r="AQ147" s="10"/>
      <c r="AR147" s="10"/>
      <c r="AS147" s="11"/>
      <c r="AT147" s="9">
        <v>0.04</v>
      </c>
      <c r="AU147" s="10">
        <v>2.7652991517383999E-2</v>
      </c>
      <c r="AV147" s="10">
        <v>34.291261348044202</v>
      </c>
      <c r="AW147" s="10">
        <v>0.98485680201432302</v>
      </c>
      <c r="AX147" s="10">
        <v>18.1978239954733</v>
      </c>
      <c r="AY147" s="10">
        <v>37.387934129496699</v>
      </c>
      <c r="AZ147" s="10">
        <v>0.98786419504296996</v>
      </c>
      <c r="BA147" s="10">
        <v>19.159314120142199</v>
      </c>
      <c r="BB147" s="10">
        <v>362.3753657341</v>
      </c>
      <c r="BC147" s="10">
        <v>251.53435516357399</v>
      </c>
      <c r="BD147" s="9"/>
      <c r="BE147" s="10"/>
      <c r="BF147" s="10"/>
      <c r="BG147" s="11"/>
      <c r="BH147" s="10"/>
      <c r="BI147" s="10"/>
      <c r="BJ147" s="10"/>
      <c r="BK147" s="11"/>
    </row>
    <row r="148" spans="1:63">
      <c r="A148" s="48" t="s">
        <v>43</v>
      </c>
      <c r="B148" s="15" t="s">
        <v>44</v>
      </c>
      <c r="C148" s="16">
        <v>1.5</v>
      </c>
      <c r="D148" s="15">
        <v>19</v>
      </c>
      <c r="E148" s="19">
        <v>1.49485073913597</v>
      </c>
      <c r="F148" s="19">
        <v>43.9402012731288</v>
      </c>
      <c r="G148" s="19">
        <v>0.99429933844275198</v>
      </c>
      <c r="H148" s="19">
        <v>22.440747418730901</v>
      </c>
      <c r="I148" s="19">
        <v>47.127285638859703</v>
      </c>
      <c r="J148" s="19">
        <v>0.996820890941575</v>
      </c>
      <c r="K148" s="20">
        <v>24.976945734820799</v>
      </c>
      <c r="L148" s="15">
        <v>17</v>
      </c>
      <c r="M148" s="19">
        <v>1.41516264177392</v>
      </c>
      <c r="N148" s="19">
        <v>44.029621179886199</v>
      </c>
      <c r="O148" s="19">
        <v>0.99431976632809604</v>
      </c>
      <c r="P148" s="19">
        <v>22.456337980335402</v>
      </c>
      <c r="Q148" s="19">
        <v>47.321058719530797</v>
      </c>
      <c r="R148" s="19">
        <v>0.99689414292675305</v>
      </c>
      <c r="S148" s="20">
        <v>25.078185337100201</v>
      </c>
      <c r="T148" s="21">
        <f>bdrate(E148:E151,F148:F151,M148:M151,N148:N151)</f>
        <v>-0.10406675889283223</v>
      </c>
      <c r="U148" s="22">
        <f>bdrate(E148:E151,H148:H151,M148:M151,P148:P151)</f>
        <v>-0.1076360521527957</v>
      </c>
      <c r="V148" s="22">
        <f>bdrate(E148:E151,I148:I151,M148:M151,Q148:Q151)</f>
        <v>-0.11121286344260384</v>
      </c>
      <c r="W148" s="23">
        <f>bdrate(E148:E151,K148:K151,M148:M151,S148:S151)</f>
        <v>-9.0773026959793834E-2</v>
      </c>
      <c r="X148" s="21">
        <f>bdrate(E150:E153,F150:F153,M150:M153,N150:N153)</f>
        <v>-0.15092522612487091</v>
      </c>
      <c r="Y148" s="22">
        <f>bdrate(E150:E153,H150:H153,M150:M153,P150:P153)</f>
        <v>-0.18367943696411315</v>
      </c>
      <c r="Z148" s="22">
        <f>bdrate(E150:E153,I150:I153,M150:M153,Q150:Q153)</f>
        <v>-0.16579061833948461</v>
      </c>
      <c r="AA148" s="23">
        <f>bdrate(E150:E153,K150:K153,M150:M153,S150:S153)</f>
        <v>-0.1487987864107907</v>
      </c>
      <c r="AB148" s="15"/>
      <c r="AC148" s="19"/>
      <c r="AD148" s="19"/>
      <c r="AE148" s="19"/>
      <c r="AF148" s="19"/>
      <c r="AG148" s="19"/>
      <c r="AH148" s="19"/>
      <c r="AI148" s="19"/>
      <c r="AJ148" s="19"/>
      <c r="AK148" s="19"/>
      <c r="AL148" s="21" t="e">
        <f>bdrate(E148:E151,F148:F151,AC148:AC151,AD148:AD151)</f>
        <v>#VALUE!</v>
      </c>
      <c r="AM148" s="22" t="e">
        <f>bdrate(E148:E151,H148:H151,AC148:AC151,AF148:AF151)</f>
        <v>#VALUE!</v>
      </c>
      <c r="AN148" s="22" t="e">
        <f>bdrate(E148:E151,I148:I151,AC148:AC151,AG148:AG151)</f>
        <v>#VALUE!</v>
      </c>
      <c r="AO148" s="23" t="e">
        <f>bdrate(E148:E151,K148:K151,AC148:AC151,AI148:AI151)</f>
        <v>#VALUE!</v>
      </c>
      <c r="AP148" s="22">
        <f>bdrate(E150:E153,F150:F153,AC150:AC153,AD150:AD153)</f>
        <v>-8.9676765446220053E-2</v>
      </c>
      <c r="AQ148" s="22">
        <f>bdrate(E150:E153,H150:H153,AC150:AC153,AF150:AF153)</f>
        <v>-0.21655155573946738</v>
      </c>
      <c r="AR148" s="22">
        <f>bdrate(E150:E153,I150:I153,AC150:AC153,AG150:AG153)</f>
        <v>-0.10099615397101336</v>
      </c>
      <c r="AS148" s="23">
        <f>bdrate(E150:E153,K150:K153,AC150:AC153,AI150:AI153)</f>
        <v>-0.1291768361475838</v>
      </c>
      <c r="AT148" s="15"/>
      <c r="AU148" s="19"/>
      <c r="AV148" s="19"/>
      <c r="AW148" s="19"/>
      <c r="AX148" s="19"/>
      <c r="AY148" s="19"/>
      <c r="AZ148" s="19"/>
      <c r="BA148" s="19"/>
      <c r="BB148" s="19"/>
      <c r="BC148" s="19"/>
      <c r="BD148" s="21" t="e">
        <f>bdrate(E148:E151,F148:F151,AU148:AU151,AV148:AV151)</f>
        <v>#VALUE!</v>
      </c>
      <c r="BE148" s="22" t="e">
        <f>bdrate(E148:E151,H148:H151,AU148:AU151,AX148:AX151)</f>
        <v>#VALUE!</v>
      </c>
      <c r="BF148" s="22" t="e">
        <f>bdrate(E148:E151,I148:I151,AU148:AU151,AY148:AY151)</f>
        <v>#VALUE!</v>
      </c>
      <c r="BG148" s="23" t="e">
        <f>bdrate(E148:E151,K148:K151,AU148:AU151,BA148:BA151)</f>
        <v>#VALUE!</v>
      </c>
      <c r="BH148" s="22">
        <f>bdrate(E150:E153,F150:F153,AU150:AU153,AV150:AV153)</f>
        <v>0.76279359275767544</v>
      </c>
      <c r="BI148" s="22">
        <f>bdrate(E150:E153,H150:H153,AU150:AU153,AX150:AX153)</f>
        <v>-0.43365421145703698</v>
      </c>
      <c r="BJ148" s="22">
        <f>bdrate(E150:E153,I150:I153,AU150:AU153,AY150:AY153)</f>
        <v>1.0667249528289058</v>
      </c>
      <c r="BK148" s="23">
        <f>bdrate(E150:E153,K150:K153,AU150:AU153,BA150:BA153)</f>
        <v>-0.38420630809137279</v>
      </c>
    </row>
    <row r="149" spans="1:63">
      <c r="A149" s="49"/>
      <c r="B149" s="7" t="s">
        <v>18</v>
      </c>
      <c r="C149" s="17">
        <v>1</v>
      </c>
      <c r="D149" s="7">
        <v>22</v>
      </c>
      <c r="E149" s="1">
        <v>0.80877246081304899</v>
      </c>
      <c r="F149" s="1">
        <v>41.434846372768803</v>
      </c>
      <c r="G149" s="1">
        <v>0.98980883025653699</v>
      </c>
      <c r="H149" s="1">
        <v>19.917759647693099</v>
      </c>
      <c r="I149" s="1">
        <v>44.514204272384603</v>
      </c>
      <c r="J149" s="1">
        <v>0.99333220137935496</v>
      </c>
      <c r="K149" s="8">
        <v>21.760175251103199</v>
      </c>
      <c r="L149" s="7">
        <v>20</v>
      </c>
      <c r="M149" s="1">
        <v>0.83977289622360896</v>
      </c>
      <c r="N149" s="1">
        <v>41.916508598427598</v>
      </c>
      <c r="O149" s="1">
        <v>0.99087157707228501</v>
      </c>
      <c r="P149" s="1">
        <v>20.396042468854201</v>
      </c>
      <c r="Q149" s="1">
        <v>45.026731533688697</v>
      </c>
      <c r="R149" s="1">
        <v>0.99410620567225905</v>
      </c>
      <c r="S149" s="8">
        <v>22.296050235396599</v>
      </c>
      <c r="T149" s="7"/>
      <c r="U149" s="1"/>
      <c r="V149" s="1"/>
      <c r="W149" s="8"/>
      <c r="X149" s="7"/>
      <c r="Y149" s="1"/>
      <c r="Z149" s="1"/>
      <c r="AA149" s="8"/>
      <c r="AB149" s="7">
        <v>64</v>
      </c>
      <c r="AC149" s="1">
        <v>0.10908693874516801</v>
      </c>
      <c r="AD149" s="1">
        <v>38.366580808020501</v>
      </c>
      <c r="AE149" s="1">
        <v>0.977019529390866</v>
      </c>
      <c r="AF149" s="1">
        <v>16.386410817897101</v>
      </c>
      <c r="AG149" s="1">
        <v>41.382222965719897</v>
      </c>
      <c r="AH149" s="1">
        <v>0.98165205234097497</v>
      </c>
      <c r="AI149" s="1">
        <v>17.364125074450801</v>
      </c>
      <c r="AJ149" s="1">
        <v>379.10816812515202</v>
      </c>
      <c r="AK149" s="1">
        <v>181.134338617324</v>
      </c>
      <c r="AL149" s="7"/>
      <c r="AM149" s="1"/>
      <c r="AN149" s="1"/>
      <c r="AO149" s="8"/>
      <c r="AP149" s="1"/>
      <c r="AQ149" s="1"/>
      <c r="AR149" s="1"/>
      <c r="AS149" s="8"/>
      <c r="AT149" s="7">
        <v>0.64</v>
      </c>
      <c r="AU149" s="1">
        <v>0.43696237415572797</v>
      </c>
      <c r="AV149" s="1">
        <v>39.286272136716804</v>
      </c>
      <c r="AW149" s="1">
        <v>0.99001058160691702</v>
      </c>
      <c r="AX149" s="1">
        <v>20.004597966616799</v>
      </c>
      <c r="AY149" s="1">
        <v>42.128526921220001</v>
      </c>
      <c r="AZ149" s="1">
        <v>0.99300286011909</v>
      </c>
      <c r="BA149" s="1">
        <v>21.550794439526399</v>
      </c>
      <c r="BB149" s="1">
        <v>212.532081604003</v>
      </c>
      <c r="BC149" s="1">
        <v>145.53113245963999</v>
      </c>
      <c r="BD149" s="7"/>
      <c r="BE149" s="1"/>
      <c r="BF149" s="1"/>
      <c r="BG149" s="8"/>
      <c r="BH149" s="1"/>
      <c r="BI149" s="1"/>
      <c r="BJ149" s="1"/>
      <c r="BK149" s="8"/>
    </row>
    <row r="150" spans="1:63">
      <c r="A150" s="49"/>
      <c r="B150" s="7" t="s">
        <v>18</v>
      </c>
      <c r="C150" s="17">
        <v>0.5</v>
      </c>
      <c r="D150" s="7">
        <v>24</v>
      </c>
      <c r="E150" s="1">
        <v>0.44796843804426301</v>
      </c>
      <c r="F150" s="1">
        <v>39.946946853368203</v>
      </c>
      <c r="G150" s="1">
        <v>0.98490462478604202</v>
      </c>
      <c r="H150" s="1">
        <v>18.211560875878099</v>
      </c>
      <c r="I150" s="1">
        <v>42.999553242742302</v>
      </c>
      <c r="J150" s="1">
        <v>0.98911682981535498</v>
      </c>
      <c r="K150" s="8">
        <v>19.632445795318201</v>
      </c>
      <c r="L150" s="7">
        <v>23</v>
      </c>
      <c r="M150" s="1">
        <v>0.37422210186483101</v>
      </c>
      <c r="N150" s="1">
        <v>39.831744876383297</v>
      </c>
      <c r="O150" s="1">
        <v>0.98458954384358599</v>
      </c>
      <c r="P150" s="1">
        <v>18.121845057798701</v>
      </c>
      <c r="Q150" s="1">
        <v>42.898170935401303</v>
      </c>
      <c r="R150" s="1">
        <v>0.98862029695032605</v>
      </c>
      <c r="S150" s="8">
        <v>19.438690705921498</v>
      </c>
      <c r="T150" s="7"/>
      <c r="U150" s="1"/>
      <c r="V150" s="1"/>
      <c r="W150" s="8"/>
      <c r="X150" s="7"/>
      <c r="Y150" s="1"/>
      <c r="Z150" s="1"/>
      <c r="AA150" s="8"/>
      <c r="AB150" s="7">
        <v>32</v>
      </c>
      <c r="AC150" s="1">
        <v>7.2965119366212097E-2</v>
      </c>
      <c r="AD150" s="1">
        <v>37.967978216470101</v>
      </c>
      <c r="AE150" s="1">
        <v>0.97447813022325602</v>
      </c>
      <c r="AF150" s="1">
        <v>15.9308751161325</v>
      </c>
      <c r="AG150" s="1">
        <v>40.972678875853703</v>
      </c>
      <c r="AH150" s="1">
        <v>0.97940728445884395</v>
      </c>
      <c r="AI150" s="1">
        <v>16.862863796191501</v>
      </c>
      <c r="AJ150" s="1">
        <v>530.98971438407898</v>
      </c>
      <c r="AK150" s="1">
        <v>300.39825844764698</v>
      </c>
      <c r="AL150" s="7"/>
      <c r="AM150" s="1"/>
      <c r="AN150" s="1"/>
      <c r="AO150" s="8"/>
      <c r="AP150" s="1"/>
      <c r="AQ150" s="1"/>
      <c r="AR150" s="1"/>
      <c r="AS150" s="8"/>
      <c r="AT150" s="7">
        <v>0.32</v>
      </c>
      <c r="AU150" s="1">
        <v>0.26280213244976802</v>
      </c>
      <c r="AV150" s="1">
        <v>38.665368762551999</v>
      </c>
      <c r="AW150" s="1">
        <v>0.98621995306324495</v>
      </c>
      <c r="AX150" s="1">
        <v>18.6074930315853</v>
      </c>
      <c r="AY150" s="1">
        <v>41.513779150204599</v>
      </c>
      <c r="AZ150" s="1">
        <v>0.98931539224397602</v>
      </c>
      <c r="BA150" s="1">
        <v>19.7124141664649</v>
      </c>
      <c r="BB150" s="1">
        <v>209.43062877655001</v>
      </c>
      <c r="BC150" s="1">
        <v>145.80193901062</v>
      </c>
      <c r="BD150" s="7"/>
      <c r="BE150" s="1"/>
      <c r="BF150" s="1"/>
      <c r="BG150" s="8"/>
      <c r="BH150" s="1"/>
      <c r="BI150" s="1"/>
      <c r="BJ150" s="1"/>
      <c r="BK150" s="8"/>
    </row>
    <row r="151" spans="1:63">
      <c r="A151" s="49"/>
      <c r="B151" s="7" t="s">
        <v>18</v>
      </c>
      <c r="C151" s="17">
        <v>0.25</v>
      </c>
      <c r="D151" s="7">
        <v>26</v>
      </c>
      <c r="E151" s="1">
        <v>0.214476870141455</v>
      </c>
      <c r="F151" s="1">
        <v>38.865751914282498</v>
      </c>
      <c r="G151" s="1">
        <v>0.97943832375804796</v>
      </c>
      <c r="H151" s="1">
        <v>16.869414834046101</v>
      </c>
      <c r="I151" s="1">
        <v>41.907157252449501</v>
      </c>
      <c r="J151" s="1">
        <v>0.98410665444580203</v>
      </c>
      <c r="K151" s="8">
        <v>17.987846740454501</v>
      </c>
      <c r="L151" s="7">
        <v>25</v>
      </c>
      <c r="M151" s="1">
        <v>0.16468475213457301</v>
      </c>
      <c r="N151" s="1">
        <v>38.743605930165103</v>
      </c>
      <c r="O151" s="1">
        <v>0.97894577095717406</v>
      </c>
      <c r="P151" s="1">
        <v>16.7666065681207</v>
      </c>
      <c r="Q151" s="1">
        <v>41.800112174145902</v>
      </c>
      <c r="R151" s="1">
        <v>0.98344404913200101</v>
      </c>
      <c r="S151" s="8">
        <v>17.810458710963999</v>
      </c>
      <c r="T151" s="7"/>
      <c r="U151" s="1"/>
      <c r="V151" s="1"/>
      <c r="W151" s="8"/>
      <c r="X151" s="7"/>
      <c r="Y151" s="1"/>
      <c r="Z151" s="1"/>
      <c r="AA151" s="8"/>
      <c r="AB151" s="7">
        <v>16</v>
      </c>
      <c r="AC151" s="1">
        <v>5.17381908160231E-2</v>
      </c>
      <c r="AD151" s="1">
        <v>37.597316438665501</v>
      </c>
      <c r="AE151" s="1">
        <v>0.97119997525297097</v>
      </c>
      <c r="AF151" s="1">
        <v>15.4060713906392</v>
      </c>
      <c r="AG151" s="1">
        <v>40.583256110163298</v>
      </c>
      <c r="AH151" s="1">
        <v>0.97669647359107603</v>
      </c>
      <c r="AI151" s="1">
        <v>16.325783543364899</v>
      </c>
      <c r="AJ151" s="1">
        <v>212.85674643516501</v>
      </c>
      <c r="AK151" s="1">
        <v>150.07623362541199</v>
      </c>
      <c r="AL151" s="7"/>
      <c r="AM151" s="1"/>
      <c r="AN151" s="1"/>
      <c r="AO151" s="8"/>
      <c r="AP151" s="1"/>
      <c r="AQ151" s="1"/>
      <c r="AR151" s="1"/>
      <c r="AS151" s="8"/>
      <c r="AT151" s="7">
        <v>0.16</v>
      </c>
      <c r="AU151" s="1">
        <v>0.10203740282910601</v>
      </c>
      <c r="AV151" s="1">
        <v>37.432874379728901</v>
      </c>
      <c r="AW151" s="1">
        <v>0.97840918754957995</v>
      </c>
      <c r="AX151" s="1">
        <v>16.657310150953499</v>
      </c>
      <c r="AY151" s="1">
        <v>40.216438978277097</v>
      </c>
      <c r="AZ151" s="1">
        <v>0.98259663762975902</v>
      </c>
      <c r="BA151" s="1">
        <v>17.593668369030301</v>
      </c>
      <c r="BB151" s="1">
        <v>207.16377449035599</v>
      </c>
      <c r="BC151" s="1">
        <v>150.17395186424201</v>
      </c>
      <c r="BD151" s="7"/>
      <c r="BE151" s="1"/>
      <c r="BF151" s="1"/>
      <c r="BG151" s="8"/>
      <c r="BH151" s="1"/>
      <c r="BI151" s="1"/>
      <c r="BJ151" s="1"/>
      <c r="BK151" s="8"/>
    </row>
    <row r="152" spans="1:63">
      <c r="A152" s="49"/>
      <c r="B152" s="7" t="s">
        <v>18</v>
      </c>
      <c r="C152" s="17">
        <v>0.12</v>
      </c>
      <c r="D152" s="7">
        <v>29</v>
      </c>
      <c r="E152" s="1">
        <v>0.10212634340087499</v>
      </c>
      <c r="F152" s="1">
        <v>38.181879031057399</v>
      </c>
      <c r="G152" s="1">
        <v>0.97483507026226901</v>
      </c>
      <c r="H152" s="1">
        <v>15.992042778461601</v>
      </c>
      <c r="I152" s="1">
        <v>41.185951000198301</v>
      </c>
      <c r="J152" s="1">
        <v>0.98017812932001402</v>
      </c>
      <c r="K152" s="8">
        <v>17.0285536157335</v>
      </c>
      <c r="L152" s="7">
        <v>26</v>
      </c>
      <c r="M152" s="1">
        <v>0.11778652138821601</v>
      </c>
      <c r="N152" s="1">
        <v>38.468533387405202</v>
      </c>
      <c r="O152" s="1">
        <v>0.97719625594008297</v>
      </c>
      <c r="P152" s="1">
        <v>16.4199384198775</v>
      </c>
      <c r="Q152" s="1">
        <v>41.508318441042697</v>
      </c>
      <c r="R152" s="1">
        <v>0.98184629615786101</v>
      </c>
      <c r="S152" s="8">
        <v>17.410347538732001</v>
      </c>
      <c r="T152" s="7"/>
      <c r="U152" s="1"/>
      <c r="V152" s="1"/>
      <c r="W152" s="8"/>
      <c r="X152" s="7"/>
      <c r="Y152" s="1"/>
      <c r="Z152" s="1"/>
      <c r="AA152" s="8"/>
      <c r="AB152" s="7">
        <v>8</v>
      </c>
      <c r="AC152" s="1">
        <v>4.0098259419735702E-2</v>
      </c>
      <c r="AD152" s="1">
        <v>37.196317350934898</v>
      </c>
      <c r="AE152" s="1">
        <v>0.96806460594794697</v>
      </c>
      <c r="AF152" s="1">
        <v>14.9572772069665</v>
      </c>
      <c r="AG152" s="1">
        <v>40.1714694843795</v>
      </c>
      <c r="AH152" s="1">
        <v>0.97407948893686802</v>
      </c>
      <c r="AI152" s="1">
        <v>15.8635643992683</v>
      </c>
      <c r="AJ152" s="1">
        <v>197.96675705909701</v>
      </c>
      <c r="AK152" s="1">
        <v>145.08875775337199</v>
      </c>
      <c r="AL152" s="7"/>
      <c r="AM152" s="1"/>
      <c r="AN152" s="1"/>
      <c r="AO152" s="8"/>
      <c r="AP152" s="1"/>
      <c r="AQ152" s="1"/>
      <c r="AR152" s="1"/>
      <c r="AS152" s="8"/>
      <c r="AT152" s="7">
        <v>0.08</v>
      </c>
      <c r="AU152" s="1">
        <v>5.2512770273140399E-2</v>
      </c>
      <c r="AV152" s="1">
        <v>36.426302309034497</v>
      </c>
      <c r="AW152" s="1">
        <v>0.97333198517350905</v>
      </c>
      <c r="AX152" s="1">
        <v>15.7400931209375</v>
      </c>
      <c r="AY152" s="1">
        <v>39.125643080721801</v>
      </c>
      <c r="AZ152" s="1">
        <v>0.97870484865726604</v>
      </c>
      <c r="BA152" s="1">
        <v>16.717192690872601</v>
      </c>
      <c r="BB152" s="1">
        <v>176.66146874427699</v>
      </c>
      <c r="BC152" s="1">
        <v>133.53793168067901</v>
      </c>
      <c r="BD152" s="7"/>
      <c r="BE152" s="1"/>
      <c r="BF152" s="1"/>
      <c r="BG152" s="8"/>
      <c r="BH152" s="1"/>
      <c r="BI152" s="1"/>
      <c r="BJ152" s="1"/>
      <c r="BK152" s="8"/>
    </row>
    <row r="153" spans="1:63">
      <c r="A153" s="49"/>
      <c r="B153" s="7" t="s">
        <v>18</v>
      </c>
      <c r="C153" s="17">
        <v>0.06</v>
      </c>
      <c r="D153" s="7">
        <v>33</v>
      </c>
      <c r="E153" s="1">
        <v>5.5401347648782899E-2</v>
      </c>
      <c r="F153" s="1">
        <v>37.605015170179499</v>
      </c>
      <c r="G153" s="1">
        <v>0.96976674270838303</v>
      </c>
      <c r="H153" s="1">
        <v>15.195150599817101</v>
      </c>
      <c r="I153" s="1">
        <v>40.575480541962598</v>
      </c>
      <c r="J153" s="1">
        <v>0.97672813264071301</v>
      </c>
      <c r="K153" s="8">
        <v>16.331687670658301</v>
      </c>
      <c r="L153" s="7">
        <v>30</v>
      </c>
      <c r="M153" s="1">
        <v>5.3216993755575301E-2</v>
      </c>
      <c r="N153" s="1">
        <v>37.8747090950949</v>
      </c>
      <c r="O153" s="1">
        <v>0.97284624793068197</v>
      </c>
      <c r="P153" s="1">
        <v>15.661701516952499</v>
      </c>
      <c r="Q153" s="1">
        <v>40.878506456558704</v>
      </c>
      <c r="R153" s="1">
        <v>0.97841781662704996</v>
      </c>
      <c r="S153" s="8">
        <v>16.6590462180054</v>
      </c>
      <c r="T153" s="7"/>
      <c r="U153" s="1"/>
      <c r="V153" s="1"/>
      <c r="W153" s="8"/>
      <c r="X153" s="7"/>
      <c r="Y153" s="1"/>
      <c r="Z153" s="1"/>
      <c r="AA153" s="8"/>
      <c r="AB153" s="7">
        <v>4</v>
      </c>
      <c r="AC153" s="1">
        <v>3.0111693428486401E-2</v>
      </c>
      <c r="AD153" s="1">
        <v>36.605715152707802</v>
      </c>
      <c r="AE153" s="1">
        <v>0.96281286998903604</v>
      </c>
      <c r="AF153" s="1">
        <v>14.296073378684399</v>
      </c>
      <c r="AG153" s="1">
        <v>39.556882843962597</v>
      </c>
      <c r="AH153" s="1">
        <v>0.96973153984627902</v>
      </c>
      <c r="AI153" s="1">
        <v>15.1900967232894</v>
      </c>
      <c r="AJ153" s="1">
        <v>159.81093406677201</v>
      </c>
      <c r="AK153" s="1">
        <v>116.26470351219101</v>
      </c>
      <c r="AL153" s="7"/>
      <c r="AM153" s="1"/>
      <c r="AN153" s="1"/>
      <c r="AO153" s="8"/>
      <c r="AP153" s="1"/>
      <c r="AQ153" s="1"/>
      <c r="AR153" s="1"/>
      <c r="AS153" s="8"/>
      <c r="AT153" s="7">
        <v>0.04</v>
      </c>
      <c r="AU153" s="1">
        <v>3.4791029480480802E-2</v>
      </c>
      <c r="AV153" s="1">
        <v>35.067519236467</v>
      </c>
      <c r="AW153" s="1">
        <v>0.96828027829650498</v>
      </c>
      <c r="AX153" s="1">
        <v>14.9867063166864</v>
      </c>
      <c r="AY153" s="1">
        <v>37.761388712549397</v>
      </c>
      <c r="AZ153" s="1">
        <v>0.97545252820707096</v>
      </c>
      <c r="BA153" s="1">
        <v>16.099932303402099</v>
      </c>
      <c r="BB153" s="1">
        <v>152.41372036933899</v>
      </c>
      <c r="BC153" s="1">
        <v>106.813243865966</v>
      </c>
      <c r="BD153" s="7"/>
      <c r="BE153" s="1"/>
      <c r="BF153" s="1"/>
      <c r="BG153" s="8"/>
      <c r="BH153" s="1"/>
      <c r="BI153" s="1"/>
      <c r="BJ153" s="1"/>
      <c r="BK153" s="8"/>
    </row>
    <row r="154" spans="1:63">
      <c r="A154" s="49"/>
      <c r="B154" s="7" t="s">
        <v>45</v>
      </c>
      <c r="C154" s="17">
        <v>1.5</v>
      </c>
      <c r="D154" s="7">
        <v>16</v>
      </c>
      <c r="E154" s="1">
        <v>1.4859940642682601</v>
      </c>
      <c r="F154" s="1">
        <v>47.615261359691303</v>
      </c>
      <c r="G154" s="1">
        <v>0.99777967204484697</v>
      </c>
      <c r="H154" s="1">
        <v>26.535828730296</v>
      </c>
      <c r="I154" s="1">
        <v>50.857554661279998</v>
      </c>
      <c r="J154" s="1">
        <v>0.99873395293075895</v>
      </c>
      <c r="K154" s="8">
        <v>28.975501477692099</v>
      </c>
      <c r="L154" s="7">
        <v>14</v>
      </c>
      <c r="M154" s="1">
        <v>1.40624547887731</v>
      </c>
      <c r="N154" s="1">
        <v>47.137128867613797</v>
      </c>
      <c r="O154" s="1">
        <v>0.99782787248889804</v>
      </c>
      <c r="P154" s="1">
        <v>26.6311468380596</v>
      </c>
      <c r="Q154" s="1">
        <v>50.575175026160302</v>
      </c>
      <c r="R154" s="1">
        <v>0.99874677629865605</v>
      </c>
      <c r="S154" s="8">
        <v>29.019714002048499</v>
      </c>
      <c r="T154" s="13">
        <f>bdrate(E154:E157,F154:F157,M154:M157,N154:N157)</f>
        <v>-0.10225194588183428</v>
      </c>
      <c r="U154" s="12">
        <f>bdrate(E154:E157,H154:H157,M154:M157,P154:P157)</f>
        <v>-0.14916989943350811</v>
      </c>
      <c r="V154" s="12">
        <f>bdrate(E154:E157,I154:I157,M154:M157,Q154:Q157)</f>
        <v>-0.1101765101376776</v>
      </c>
      <c r="W154" s="14">
        <f>bdrate(E154:E157,K154:K157,M154:M157,S154:S157)</f>
        <v>-0.1162608276046605</v>
      </c>
      <c r="X154" s="13">
        <f>bdrate(E156:E159,F156:F159,M156:M159,N156:N159)</f>
        <v>-0.22851954818889419</v>
      </c>
      <c r="Y154" s="12">
        <f>bdrate(E156:E159,H156:H159,M156:M159,P156:P159)</f>
        <v>-0.22721992670465074</v>
      </c>
      <c r="Z154" s="12">
        <f>bdrate(E156:E159,I156:I159,M156:M159,Q156:Q159)</f>
        <v>-0.23807295325726108</v>
      </c>
      <c r="AA154" s="14">
        <f>bdrate(E156:E159,K156:K159,M156:M159,S156:S159)</f>
        <v>-0.15229039900175656</v>
      </c>
      <c r="AB154" s="7"/>
      <c r="AC154" s="1"/>
      <c r="AD154" s="1"/>
      <c r="AE154" s="1"/>
      <c r="AF154" s="1"/>
      <c r="AG154" s="1"/>
      <c r="AH154" s="1"/>
      <c r="AI154" s="1"/>
      <c r="AJ154" s="1"/>
      <c r="AK154" s="1"/>
      <c r="AL154" s="13" t="e">
        <f>bdrate(E154:E157,F154:F157,AC154:AC157,AD154:AD157)</f>
        <v>#VALUE!</v>
      </c>
      <c r="AM154" s="12" t="e">
        <f>bdrate(E154:E157,H154:H157,AC154:AC157,AF154:AF157)</f>
        <v>#VALUE!</v>
      </c>
      <c r="AN154" s="12" t="e">
        <f>bdrate(E154:E157,I154:I157,AC154:AC157,AG154:AG157)</f>
        <v>#VALUE!</v>
      </c>
      <c r="AO154" s="14" t="e">
        <f>bdrate(E154:E157,K154:K157,AC154:AC157,AI154:AI157)</f>
        <v>#VALUE!</v>
      </c>
      <c r="AP154" s="12">
        <f>bdrate(E156:E159,F156:F159,AC156:AC159,AD156:AD159)</f>
        <v>-5.7113242353908245E-2</v>
      </c>
      <c r="AQ154" s="12">
        <f>bdrate(E156:E159,H156:H159,AC156:AC159,AF156:AF159)</f>
        <v>-0.10038939871361463</v>
      </c>
      <c r="AR154" s="12">
        <f>bdrate(E156:E159,I156:I159,AC156:AC159,AG156:AG159)</f>
        <v>-9.1204869078058914E-2</v>
      </c>
      <c r="AS154" s="14">
        <f>bdrate(E156:E159,K156:K159,AC156:AC159,AI156:AI159)</f>
        <v>-1.8663498694676095E-2</v>
      </c>
      <c r="AT154" s="7"/>
      <c r="AU154" s="1"/>
      <c r="AV154" s="1"/>
      <c r="AW154" s="1"/>
      <c r="AX154" s="1"/>
      <c r="AY154" s="1"/>
      <c r="AZ154" s="1"/>
      <c r="BA154" s="1"/>
      <c r="BB154" s="1"/>
      <c r="BC154" s="1"/>
      <c r="BD154" s="13" t="e">
        <f>bdrate(E154:E157,F154:F157,AU154:AU157,AV154:AV157)</f>
        <v>#VALUE!</v>
      </c>
      <c r="BE154" s="12" t="e">
        <f>bdrate(E154:E157,H154:H157,AU154:AU157,AX154:AX157)</f>
        <v>#VALUE!</v>
      </c>
      <c r="BF154" s="12" t="e">
        <f>bdrate(E154:E157,I154:I157,AU154:AU157,AY154:AY157)</f>
        <v>#VALUE!</v>
      </c>
      <c r="BG154" s="14" t="e">
        <f>bdrate(E154:E157,K154:K157,AU154:AU157,BA154:BA157)</f>
        <v>#VALUE!</v>
      </c>
      <c r="BH154" s="12">
        <f>bdrate(E156:E159,F156:F159,AU156:AU159,AV156:AV159)</f>
        <v>0.39013387466600191</v>
      </c>
      <c r="BI154" s="12">
        <f>bdrate(E156:E159,H156:H159,AU156:AU159,AX156:AX159)</f>
        <v>-0.37180896189294999</v>
      </c>
      <c r="BJ154" s="12">
        <f>bdrate(E156:E159,I156:I159,AU156:AU159,AY156:AY159)</f>
        <v>0.44877536316155564</v>
      </c>
      <c r="BK154" s="14">
        <f>bdrate(E156:E159,K156:K159,AU156:AU159,BA156:BA159)</f>
        <v>-0.33185711870270862</v>
      </c>
    </row>
    <row r="155" spans="1:63">
      <c r="A155" s="49"/>
      <c r="B155" s="7" t="s">
        <v>18</v>
      </c>
      <c r="C155" s="17">
        <v>1</v>
      </c>
      <c r="D155" s="7">
        <v>19</v>
      </c>
      <c r="E155" s="1">
        <v>0.92610325440457797</v>
      </c>
      <c r="F155" s="1">
        <v>45.273965225126901</v>
      </c>
      <c r="G155" s="1">
        <v>0.996160664491472</v>
      </c>
      <c r="H155" s="1">
        <v>24.157439344740698</v>
      </c>
      <c r="I155" s="1">
        <v>48.387386697721801</v>
      </c>
      <c r="J155" s="1">
        <v>0.99756214805982102</v>
      </c>
      <c r="K155" s="8">
        <v>26.129926742370099</v>
      </c>
      <c r="L155" s="7">
        <v>17</v>
      </c>
      <c r="M155" s="1">
        <v>0.92432846257715995</v>
      </c>
      <c r="N155" s="1">
        <v>45.491766751859899</v>
      </c>
      <c r="O155" s="1">
        <v>0.99666425499647904</v>
      </c>
      <c r="P155" s="1">
        <v>24.7680715581511</v>
      </c>
      <c r="Q155" s="1">
        <v>48.710018076927902</v>
      </c>
      <c r="R155" s="1">
        <v>0.99785492542624199</v>
      </c>
      <c r="S155" s="8">
        <v>26.685576049206301</v>
      </c>
      <c r="T155" s="7"/>
      <c r="U155" s="1"/>
      <c r="V155" s="1"/>
      <c r="W155" s="8"/>
      <c r="X155" s="7"/>
      <c r="Y155" s="1"/>
      <c r="Z155" s="1"/>
      <c r="AA155" s="8"/>
      <c r="AB155" s="7">
        <v>64</v>
      </c>
      <c r="AC155" s="1">
        <v>0.22272205745241699</v>
      </c>
      <c r="AD155" s="1">
        <v>40.748618332118397</v>
      </c>
      <c r="AE155" s="1">
        <v>0.99038485086572503</v>
      </c>
      <c r="AF155" s="1">
        <v>20.1704397531628</v>
      </c>
      <c r="AG155" s="1">
        <v>43.829202788501298</v>
      </c>
      <c r="AH155" s="1">
        <v>0.99239798530247203</v>
      </c>
      <c r="AI155" s="1">
        <v>21.1907129507901</v>
      </c>
      <c r="AJ155" s="1">
        <v>519.48878693580605</v>
      </c>
      <c r="AK155" s="1">
        <v>205.723692893981</v>
      </c>
      <c r="AL155" s="7"/>
      <c r="AM155" s="1"/>
      <c r="AN155" s="1"/>
      <c r="AO155" s="8"/>
      <c r="AP155" s="1"/>
      <c r="AQ155" s="1"/>
      <c r="AR155" s="1"/>
      <c r="AS155" s="8"/>
      <c r="AT155" s="7">
        <v>0.64</v>
      </c>
      <c r="AU155" s="1">
        <v>0.30107612766846698</v>
      </c>
      <c r="AV155" s="1">
        <v>39.571317564477397</v>
      </c>
      <c r="AW155" s="1">
        <v>0.99437714497299001</v>
      </c>
      <c r="AX155" s="1">
        <v>22.500431136773798</v>
      </c>
      <c r="AY155" s="1">
        <v>42.614631227940798</v>
      </c>
      <c r="AZ155" s="1">
        <v>0.99574784696344598</v>
      </c>
      <c r="BA155" s="1">
        <v>23.713911134491202</v>
      </c>
      <c r="BB155" s="1">
        <v>275.83126664161603</v>
      </c>
      <c r="BC155" s="1">
        <v>194.11811542510901</v>
      </c>
      <c r="BD155" s="7"/>
      <c r="BE155" s="1"/>
      <c r="BF155" s="1"/>
      <c r="BG155" s="8"/>
      <c r="BH155" s="1"/>
      <c r="BI155" s="1"/>
      <c r="BJ155" s="1"/>
      <c r="BK155" s="8"/>
    </row>
    <row r="156" spans="1:63">
      <c r="A156" s="49"/>
      <c r="B156" s="7" t="s">
        <v>18</v>
      </c>
      <c r="C156" s="17">
        <v>0.5</v>
      </c>
      <c r="D156" s="7">
        <v>24</v>
      </c>
      <c r="E156" s="1">
        <v>0.44282839425797299</v>
      </c>
      <c r="F156" s="1">
        <v>42.456056416124497</v>
      </c>
      <c r="G156" s="1">
        <v>0.992915591338971</v>
      </c>
      <c r="H156" s="1">
        <v>21.496963946713301</v>
      </c>
      <c r="I156" s="1">
        <v>45.503589390250198</v>
      </c>
      <c r="J156" s="1">
        <v>0.99478552118695796</v>
      </c>
      <c r="K156" s="8">
        <v>22.8278909278519</v>
      </c>
      <c r="L156" s="7">
        <v>22</v>
      </c>
      <c r="M156" s="1">
        <v>0.43080070087448502</v>
      </c>
      <c r="N156" s="1">
        <v>42.905596521750702</v>
      </c>
      <c r="O156" s="1">
        <v>0.99370487409139996</v>
      </c>
      <c r="P156" s="1">
        <v>22.0099557916006</v>
      </c>
      <c r="Q156" s="1">
        <v>45.958749514920498</v>
      </c>
      <c r="R156" s="1">
        <v>0.99532743358317699</v>
      </c>
      <c r="S156" s="8">
        <v>23.3044451675391</v>
      </c>
      <c r="T156" s="7"/>
      <c r="U156" s="1"/>
      <c r="V156" s="1"/>
      <c r="W156" s="8"/>
      <c r="X156" s="7"/>
      <c r="Y156" s="1"/>
      <c r="Z156" s="1"/>
      <c r="AA156" s="8"/>
      <c r="AB156" s="7">
        <v>32</v>
      </c>
      <c r="AC156" s="1">
        <v>0.16100169994212901</v>
      </c>
      <c r="AD156" s="1">
        <v>39.467636980217897</v>
      </c>
      <c r="AE156" s="1">
        <v>0.98841262180131195</v>
      </c>
      <c r="AF156" s="1">
        <v>19.360148179318902</v>
      </c>
      <c r="AG156" s="1">
        <v>42.561216185305497</v>
      </c>
      <c r="AH156" s="1">
        <v>0.99065024071858598</v>
      </c>
      <c r="AI156" s="1">
        <v>20.291995703145901</v>
      </c>
      <c r="AJ156" s="1">
        <v>712.46375632286004</v>
      </c>
      <c r="AK156" s="1">
        <v>392.86754012107798</v>
      </c>
      <c r="AL156" s="7"/>
      <c r="AM156" s="1"/>
      <c r="AN156" s="1"/>
      <c r="AO156" s="8"/>
      <c r="AP156" s="1"/>
      <c r="AQ156" s="1"/>
      <c r="AR156" s="1"/>
      <c r="AS156" s="8"/>
      <c r="AT156" s="7">
        <v>0.32</v>
      </c>
      <c r="AU156" s="1">
        <v>0.192826384870113</v>
      </c>
      <c r="AV156" s="1">
        <v>38.402081993003499</v>
      </c>
      <c r="AW156" s="1">
        <v>0.99180556712536005</v>
      </c>
      <c r="AX156" s="1">
        <v>20.864810979735701</v>
      </c>
      <c r="AY156" s="1">
        <v>41.391627303157001</v>
      </c>
      <c r="AZ156" s="1">
        <v>0.99356920555629502</v>
      </c>
      <c r="BA156" s="1">
        <v>21.917353721450599</v>
      </c>
      <c r="BB156" s="1">
        <v>290.70128583908001</v>
      </c>
      <c r="BC156" s="1">
        <v>201.599461793899</v>
      </c>
      <c r="BD156" s="7"/>
      <c r="BE156" s="1"/>
      <c r="BF156" s="1"/>
      <c r="BG156" s="8"/>
      <c r="BH156" s="1"/>
      <c r="BI156" s="1"/>
      <c r="BJ156" s="1"/>
      <c r="BK156" s="8"/>
    </row>
    <row r="157" spans="1:63">
      <c r="A157" s="49"/>
      <c r="B157" s="7" t="s">
        <v>18</v>
      </c>
      <c r="C157" s="17">
        <v>0.25</v>
      </c>
      <c r="D157" s="7">
        <v>29</v>
      </c>
      <c r="E157" s="1">
        <v>0.22522776411393999</v>
      </c>
      <c r="F157" s="1">
        <v>40.216707890750101</v>
      </c>
      <c r="G157" s="1">
        <v>0.98898424249597605</v>
      </c>
      <c r="H157" s="1">
        <v>19.579856330110601</v>
      </c>
      <c r="I157" s="1">
        <v>43.255659752902602</v>
      </c>
      <c r="J157" s="1">
        <v>0.99156026504807404</v>
      </c>
      <c r="K157" s="8">
        <v>20.736711920856902</v>
      </c>
      <c r="L157" s="7">
        <v>25</v>
      </c>
      <c r="M157" s="1">
        <v>0.22587177292309599</v>
      </c>
      <c r="N157" s="1">
        <v>40.974967479103199</v>
      </c>
      <c r="O157" s="1">
        <v>0.99038382163764604</v>
      </c>
      <c r="P157" s="1">
        <v>20.169974899058701</v>
      </c>
      <c r="Q157" s="1">
        <v>44.035652477175198</v>
      </c>
      <c r="R157" s="1">
        <v>0.99230299352763496</v>
      </c>
      <c r="S157" s="8">
        <v>21.136781482448502</v>
      </c>
      <c r="T157" s="7"/>
      <c r="U157" s="1"/>
      <c r="V157" s="1"/>
      <c r="W157" s="8"/>
      <c r="X157" s="7"/>
      <c r="Y157" s="1"/>
      <c r="Z157" s="1"/>
      <c r="AA157" s="8"/>
      <c r="AB157" s="7">
        <v>16</v>
      </c>
      <c r="AC157" s="1">
        <v>0.11229313351980399</v>
      </c>
      <c r="AD157" s="1">
        <v>38.095737328149802</v>
      </c>
      <c r="AE157" s="1">
        <v>0.98503872907091305</v>
      </c>
      <c r="AF157" s="1">
        <v>18.2503151248461</v>
      </c>
      <c r="AG157" s="1">
        <v>41.228824220847201</v>
      </c>
      <c r="AH157" s="1">
        <v>0.987569948232074</v>
      </c>
      <c r="AI157" s="1">
        <v>19.055270626312598</v>
      </c>
      <c r="AJ157" s="1">
        <v>273.32733154296801</v>
      </c>
      <c r="AK157" s="1">
        <v>188.75432276725701</v>
      </c>
      <c r="AL157" s="7"/>
      <c r="AM157" s="1"/>
      <c r="AN157" s="1"/>
      <c r="AO157" s="8"/>
      <c r="AP157" s="1"/>
      <c r="AQ157" s="1"/>
      <c r="AR157" s="1"/>
      <c r="AS157" s="8"/>
      <c r="AT157" s="7">
        <v>0.16</v>
      </c>
      <c r="AU157" s="1">
        <v>0.118845747331532</v>
      </c>
      <c r="AV157" s="1">
        <v>36.832281311585596</v>
      </c>
      <c r="AW157" s="1">
        <v>0.98809811040453399</v>
      </c>
      <c r="AX157" s="1">
        <v>19.243840826632599</v>
      </c>
      <c r="AY157" s="1">
        <v>39.682088037985899</v>
      </c>
      <c r="AZ157" s="1">
        <v>0.99043184728159595</v>
      </c>
      <c r="BA157" s="1">
        <v>20.191719014753399</v>
      </c>
      <c r="BB157" s="1">
        <v>267.75917863845802</v>
      </c>
      <c r="BC157" s="1">
        <v>195.19808816909699</v>
      </c>
      <c r="BD157" s="7"/>
      <c r="BE157" s="1"/>
      <c r="BF157" s="1"/>
      <c r="BG157" s="8"/>
      <c r="BH157" s="1"/>
      <c r="BI157" s="1"/>
      <c r="BJ157" s="1"/>
      <c r="BK157" s="8"/>
    </row>
    <row r="158" spans="1:63">
      <c r="A158" s="49"/>
      <c r="B158" s="7" t="s">
        <v>18</v>
      </c>
      <c r="C158" s="17">
        <v>0.12</v>
      </c>
      <c r="D158" s="7">
        <v>35</v>
      </c>
      <c r="E158" s="1">
        <v>0.10664926536779799</v>
      </c>
      <c r="F158" s="1">
        <v>37.547276719389302</v>
      </c>
      <c r="G158" s="1">
        <v>0.98277965044087801</v>
      </c>
      <c r="H158" s="1">
        <v>17.6395803696733</v>
      </c>
      <c r="I158" s="1">
        <v>40.573684127470003</v>
      </c>
      <c r="J158" s="1">
        <v>0.98650379627544904</v>
      </c>
      <c r="K158" s="8">
        <v>18.697883747149898</v>
      </c>
      <c r="L158" s="7">
        <v>31</v>
      </c>
      <c r="M158" s="1">
        <v>0.108531057098765</v>
      </c>
      <c r="N158" s="1">
        <v>38.652347792703303</v>
      </c>
      <c r="O158" s="1">
        <v>0.98584016547616704</v>
      </c>
      <c r="P158" s="1">
        <v>18.4894182191506</v>
      </c>
      <c r="Q158" s="1">
        <v>41.737018387861902</v>
      </c>
      <c r="R158" s="1">
        <v>0.98823764362555699</v>
      </c>
      <c r="S158" s="8">
        <v>19.295056665332702</v>
      </c>
      <c r="T158" s="7"/>
      <c r="U158" s="1"/>
      <c r="V158" s="1"/>
      <c r="W158" s="8"/>
      <c r="X158" s="7"/>
      <c r="Y158" s="1"/>
      <c r="Z158" s="1"/>
      <c r="AA158" s="8"/>
      <c r="AB158" s="7">
        <v>8</v>
      </c>
      <c r="AC158" s="1">
        <v>7.9167872299382699E-2</v>
      </c>
      <c r="AD158" s="1">
        <v>36.551761022425197</v>
      </c>
      <c r="AE158" s="1">
        <v>0.979678635182339</v>
      </c>
      <c r="AF158" s="1">
        <v>16.9204712744746</v>
      </c>
      <c r="AG158" s="1">
        <v>39.741565728671198</v>
      </c>
      <c r="AH158" s="1">
        <v>0.98254066523314798</v>
      </c>
      <c r="AI158" s="1">
        <v>17.579723077432501</v>
      </c>
      <c r="AJ158" s="1">
        <v>263.81236290931702</v>
      </c>
      <c r="AK158" s="1">
        <v>192.898350477218</v>
      </c>
      <c r="AL158" s="7"/>
      <c r="AM158" s="1"/>
      <c r="AN158" s="1"/>
      <c r="AO158" s="8"/>
      <c r="AP158" s="1"/>
      <c r="AQ158" s="1"/>
      <c r="AR158" s="1"/>
      <c r="AS158" s="8"/>
      <c r="AT158" s="7">
        <v>0.08</v>
      </c>
      <c r="AU158" s="1">
        <v>8.0634223090277707E-2</v>
      </c>
      <c r="AV158" s="1">
        <v>35.091372380211197</v>
      </c>
      <c r="AW158" s="1">
        <v>0.98400552100935101</v>
      </c>
      <c r="AX158" s="1">
        <v>17.960299021989101</v>
      </c>
      <c r="AY158" s="1">
        <v>37.849387410093698</v>
      </c>
      <c r="AZ158" s="1">
        <v>0.98695880324663099</v>
      </c>
      <c r="BA158" s="1">
        <v>18.846825528114898</v>
      </c>
      <c r="BB158" s="1">
        <v>250.45174050331099</v>
      </c>
      <c r="BC158" s="1">
        <v>186.798336029052</v>
      </c>
      <c r="BD158" s="7"/>
      <c r="BE158" s="1"/>
      <c r="BF158" s="1"/>
      <c r="BG158" s="8"/>
      <c r="BH158" s="1"/>
      <c r="BI158" s="1"/>
      <c r="BJ158" s="1"/>
      <c r="BK158" s="8"/>
    </row>
    <row r="159" spans="1:63">
      <c r="A159" s="49"/>
      <c r="B159" s="7" t="s">
        <v>18</v>
      </c>
      <c r="C159" s="17">
        <v>0.06</v>
      </c>
      <c r="D159" s="7">
        <v>40</v>
      </c>
      <c r="E159" s="1">
        <v>5.38294913837448E-2</v>
      </c>
      <c r="F159" s="1">
        <v>34.994718882534599</v>
      </c>
      <c r="G159" s="1">
        <v>0.97213202609012705</v>
      </c>
      <c r="H159" s="1">
        <v>15.548946047257999</v>
      </c>
      <c r="I159" s="1">
        <v>38.031678189078498</v>
      </c>
      <c r="J159" s="1">
        <v>0.97669224387051001</v>
      </c>
      <c r="K159" s="8">
        <v>16.324995346084499</v>
      </c>
      <c r="L159" s="7">
        <v>36</v>
      </c>
      <c r="M159" s="1">
        <v>5.6196550282921802E-2</v>
      </c>
      <c r="N159" s="1">
        <v>36.311227043549998</v>
      </c>
      <c r="O159" s="1">
        <v>0.97790444576096003</v>
      </c>
      <c r="P159" s="1">
        <v>16.5569510023712</v>
      </c>
      <c r="Q159" s="1">
        <v>39.440714568294702</v>
      </c>
      <c r="R159" s="1">
        <v>0.980779649990279</v>
      </c>
      <c r="S159" s="8">
        <v>17.162387079314598</v>
      </c>
      <c r="T159" s="7"/>
      <c r="U159" s="1"/>
      <c r="V159" s="1"/>
      <c r="W159" s="8"/>
      <c r="X159" s="7"/>
      <c r="Y159" s="1"/>
      <c r="Z159" s="1"/>
      <c r="AA159" s="8"/>
      <c r="AB159" s="7">
        <v>4</v>
      </c>
      <c r="AC159" s="1">
        <v>5.4589542341820903E-2</v>
      </c>
      <c r="AD159" s="1">
        <v>35.006759034943599</v>
      </c>
      <c r="AE159" s="1">
        <v>0.97186278271522597</v>
      </c>
      <c r="AF159" s="1">
        <v>15.5071885564419</v>
      </c>
      <c r="AG159" s="1">
        <v>38.249692117254099</v>
      </c>
      <c r="AH159" s="1">
        <v>0.97475555213998999</v>
      </c>
      <c r="AI159" s="1">
        <v>15.9783412364044</v>
      </c>
      <c r="AJ159" s="1">
        <v>319.24811005592301</v>
      </c>
      <c r="AK159" s="1">
        <v>205.481710672378</v>
      </c>
      <c r="AL159" s="7"/>
      <c r="AM159" s="1"/>
      <c r="AN159" s="1"/>
      <c r="AO159" s="8"/>
      <c r="AP159" s="1"/>
      <c r="AQ159" s="1"/>
      <c r="AR159" s="1"/>
      <c r="AS159" s="8"/>
      <c r="AT159" s="7">
        <v>0.04</v>
      </c>
      <c r="AU159" s="1">
        <v>5.6662225919495803E-2</v>
      </c>
      <c r="AV159" s="1">
        <v>33.421970509018102</v>
      </c>
      <c r="AW159" s="1">
        <v>0.97843420095938605</v>
      </c>
      <c r="AX159" s="1">
        <v>16.662344460503601</v>
      </c>
      <c r="AY159" s="1">
        <v>36.2234250542813</v>
      </c>
      <c r="AZ159" s="1">
        <v>0.98230311509011303</v>
      </c>
      <c r="BA159" s="1">
        <v>17.521031734974599</v>
      </c>
      <c r="BB159" s="1">
        <v>200.740424156188</v>
      </c>
      <c r="BC159" s="1">
        <v>137.24995517730699</v>
      </c>
      <c r="BD159" s="7"/>
      <c r="BE159" s="1"/>
      <c r="BF159" s="1"/>
      <c r="BG159" s="8"/>
      <c r="BH159" s="1"/>
      <c r="BI159" s="1"/>
      <c r="BJ159" s="1"/>
      <c r="BK159" s="8"/>
    </row>
    <row r="160" spans="1:63">
      <c r="A160" s="49"/>
      <c r="B160" s="7" t="s">
        <v>46</v>
      </c>
      <c r="C160" s="17">
        <v>1.5</v>
      </c>
      <c r="D160" s="7">
        <v>23</v>
      </c>
      <c r="E160" s="1">
        <v>1.40532494249874</v>
      </c>
      <c r="F160" s="1">
        <v>41.6314257675281</v>
      </c>
      <c r="G160" s="1">
        <v>0.99547475134381902</v>
      </c>
      <c r="H160" s="1">
        <v>23.443575519195601</v>
      </c>
      <c r="I160" s="1">
        <v>44.729895984727598</v>
      </c>
      <c r="J160" s="1">
        <v>0.99698646726499096</v>
      </c>
      <c r="K160" s="8">
        <v>25.2092408657326</v>
      </c>
      <c r="L160" s="7">
        <v>20</v>
      </c>
      <c r="M160" s="1">
        <v>1.42022842553104</v>
      </c>
      <c r="N160" s="1">
        <v>42.272542456511403</v>
      </c>
      <c r="O160" s="1">
        <v>0.99602330884786605</v>
      </c>
      <c r="P160" s="1">
        <v>24.004781369829502</v>
      </c>
      <c r="Q160" s="1">
        <v>45.491109871204301</v>
      </c>
      <c r="R160" s="1">
        <v>0.99754618591770805</v>
      </c>
      <c r="S160" s="8">
        <v>26.101583454777199</v>
      </c>
      <c r="T160" s="13">
        <f>bdrate(E160:E163,F160:F163,M160:M163,N160:N163)</f>
        <v>-0.14683883621211569</v>
      </c>
      <c r="U160" s="12">
        <f>bdrate(E160:E163,H160:H163,M160:M163,P160:P163)</f>
        <v>-0.15415598742479675</v>
      </c>
      <c r="V160" s="12">
        <f>bdrate(E160:E163,I160:I163,M160:M163,Q160:Q163)</f>
        <v>-0.15089533364625518</v>
      </c>
      <c r="W160" s="14">
        <f>bdrate(E160:E163,K160:K163,M160:M163,S160:S163)</f>
        <v>-0.13044552100715534</v>
      </c>
      <c r="X160" s="13">
        <f>bdrate(E162:E165,F162:F165,M162:M165,N162:N165)</f>
        <v>-0.20774292495026014</v>
      </c>
      <c r="Y160" s="12">
        <f>bdrate(E162:E165,H162:H165,M162:M165,P162:P165)</f>
        <v>-0.20437800717303756</v>
      </c>
      <c r="Z160" s="12">
        <f>bdrate(E162:E165,I162:I165,M162:M165,Q162:Q165)</f>
        <v>-0.23314747392677493</v>
      </c>
      <c r="AA160" s="14">
        <f>bdrate(E162:E165,K162:K165,M162:M165,S162:S165)</f>
        <v>-0.16735679621220623</v>
      </c>
      <c r="AB160" s="7"/>
      <c r="AC160" s="1"/>
      <c r="AD160" s="1"/>
      <c r="AE160" s="1"/>
      <c r="AF160" s="1"/>
      <c r="AG160" s="1"/>
      <c r="AH160" s="1"/>
      <c r="AI160" s="1"/>
      <c r="AJ160" s="1"/>
      <c r="AK160" s="1"/>
      <c r="AL160" s="13" t="e">
        <f>bdrate(E160:E163,F160:F163,AC160:AC163,AD160:AD163)</f>
        <v>#VALUE!</v>
      </c>
      <c r="AM160" s="12" t="e">
        <f>bdrate(E160:E163,H160:H163,AC160:AC163,AF160:AF163)</f>
        <v>#VALUE!</v>
      </c>
      <c r="AN160" s="12" t="e">
        <f>bdrate(E160:E163,I160:I163,AC160:AC163,AG160:AG163)</f>
        <v>#VALUE!</v>
      </c>
      <c r="AO160" s="14" t="e">
        <f>bdrate(E160:E163,K160:K163,AC160:AC163,AI160:AI163)</f>
        <v>#VALUE!</v>
      </c>
      <c r="AP160" s="12">
        <f>bdrate(E162:E165,F162:F165,AC162:AC165,AD162:AD165)</f>
        <v>-0.16346012447431935</v>
      </c>
      <c r="AQ160" s="12">
        <f>bdrate(E162:E165,H162:H165,AC162:AC165,AF162:AF165)</f>
        <v>-0.23306726022184043</v>
      </c>
      <c r="AR160" s="12">
        <f>bdrate(E162:E165,I162:I165,AC162:AC165,AG162:AG165)</f>
        <v>-0.22080853174936621</v>
      </c>
      <c r="AS160" s="14">
        <f>bdrate(E162:E165,K162:K165,AC162:AC165,AI162:AI165)</f>
        <v>-0.18418383069827038</v>
      </c>
      <c r="AT160" s="7"/>
      <c r="AU160" s="1"/>
      <c r="AV160" s="1"/>
      <c r="AW160" s="1"/>
      <c r="AX160" s="1"/>
      <c r="AY160" s="1"/>
      <c r="AZ160" s="1"/>
      <c r="BA160" s="1"/>
      <c r="BB160" s="1"/>
      <c r="BC160" s="1"/>
      <c r="BD160" s="13" t="e">
        <f>bdrate(E160:E163,F160:F163,AU160:AU163,AV160:AV163)</f>
        <v>#VALUE!</v>
      </c>
      <c r="BE160" s="12" t="e">
        <f>bdrate(E160:E163,H160:H163,AU160:AU163,AX160:AX163)</f>
        <v>#VALUE!</v>
      </c>
      <c r="BF160" s="12" t="e">
        <f>bdrate(E160:E163,I160:I163,AU160:AU163,AY160:AY163)</f>
        <v>#VALUE!</v>
      </c>
      <c r="BG160" s="14" t="e">
        <f>bdrate(E160:E163,K160:K163,AU160:AU163,BA160:BA163)</f>
        <v>#VALUE!</v>
      </c>
      <c r="BH160" s="12">
        <f>bdrate(E162:E165,F162:F165,AU162:AU165,AV162:AV165)</f>
        <v>0.1891368584299733</v>
      </c>
      <c r="BI160" s="12">
        <f>bdrate(E162:E165,H162:H165,AU162:AU165,AX162:AX165)</f>
        <v>-0.47600118028854599</v>
      </c>
      <c r="BJ160" s="12">
        <f>bdrate(E162:E165,I162:I165,AU162:AU165,AY162:AY165)</f>
        <v>0.1730406258092656</v>
      </c>
      <c r="BK160" s="14">
        <f>bdrate(E162:E165,K162:K165,AU162:AU165,BA162:BA165)</f>
        <v>-0.45848997962165239</v>
      </c>
    </row>
    <row r="161" spans="1:63">
      <c r="A161" s="49"/>
      <c r="B161" s="7" t="s">
        <v>18</v>
      </c>
      <c r="C161" s="17">
        <v>1</v>
      </c>
      <c r="D161" s="7">
        <v>27</v>
      </c>
      <c r="E161" s="1">
        <v>0.92299079248982396</v>
      </c>
      <c r="F161" s="1">
        <v>38.8768725790178</v>
      </c>
      <c r="G161" s="1">
        <v>0.99189431592633404</v>
      </c>
      <c r="H161" s="1">
        <v>20.912103272829</v>
      </c>
      <c r="I161" s="1">
        <v>41.958027683859598</v>
      </c>
      <c r="J161" s="1">
        <v>0.99413627749803701</v>
      </c>
      <c r="K161" s="8">
        <v>22.3182659067222</v>
      </c>
      <c r="L161" s="7">
        <v>24</v>
      </c>
      <c r="M161" s="1">
        <v>0.94884749264522095</v>
      </c>
      <c r="N161" s="1">
        <v>39.845750542713603</v>
      </c>
      <c r="O161" s="1">
        <v>0.99343841434371905</v>
      </c>
      <c r="P161" s="1">
        <v>21.829911974294301</v>
      </c>
      <c r="Q161" s="1">
        <v>42.934995346239198</v>
      </c>
      <c r="R161" s="1">
        <v>0.99532955493469399</v>
      </c>
      <c r="S161" s="8">
        <v>23.306417318115301</v>
      </c>
      <c r="T161" s="7"/>
      <c r="U161" s="1"/>
      <c r="V161" s="1"/>
      <c r="W161" s="8"/>
      <c r="X161" s="7"/>
      <c r="Y161" s="1"/>
      <c r="Z161" s="1"/>
      <c r="AA161" s="8"/>
      <c r="AB161" s="7">
        <v>64</v>
      </c>
      <c r="AC161" s="1">
        <v>0.66440025032778804</v>
      </c>
      <c r="AD161" s="1">
        <v>37.915259913867203</v>
      </c>
      <c r="AE161" s="1">
        <v>0.99090014410800398</v>
      </c>
      <c r="AF161" s="1">
        <v>20.4096548524006</v>
      </c>
      <c r="AG161" s="1">
        <v>41.0934055427958</v>
      </c>
      <c r="AH161" s="1">
        <v>0.99283530937089604</v>
      </c>
      <c r="AI161" s="1">
        <v>21.448025576705302</v>
      </c>
      <c r="AJ161" s="1">
        <v>380.48525619506802</v>
      </c>
      <c r="AK161" s="1">
        <v>159.81444025039599</v>
      </c>
      <c r="AL161" s="7"/>
      <c r="AM161" s="1"/>
      <c r="AN161" s="1"/>
      <c r="AO161" s="8"/>
      <c r="AP161" s="1"/>
      <c r="AQ161" s="1"/>
      <c r="AR161" s="1"/>
      <c r="AS161" s="8"/>
      <c r="AT161" s="7">
        <v>0.64</v>
      </c>
      <c r="AU161" s="1">
        <v>0.49735913295384199</v>
      </c>
      <c r="AV161" s="1">
        <v>34.152372137939999</v>
      </c>
      <c r="AW161" s="1">
        <v>0.99231616756421603</v>
      </c>
      <c r="AX161" s="1">
        <v>21.1442211452976</v>
      </c>
      <c r="AY161" s="1">
        <v>37.540281182277702</v>
      </c>
      <c r="AZ161" s="1">
        <v>0.99379420430443599</v>
      </c>
      <c r="BA161" s="1">
        <v>22.072025261656101</v>
      </c>
      <c r="BB161" s="1">
        <v>184.29750585555999</v>
      </c>
      <c r="BC161" s="1">
        <v>125.18089103698701</v>
      </c>
      <c r="BD161" s="7"/>
      <c r="BE161" s="1"/>
      <c r="BF161" s="1"/>
      <c r="BG161" s="8"/>
      <c r="BH161" s="1"/>
      <c r="BI161" s="1"/>
      <c r="BJ161" s="1"/>
      <c r="BK161" s="8"/>
    </row>
    <row r="162" spans="1:63">
      <c r="A162" s="49"/>
      <c r="B162" s="7" t="s">
        <v>18</v>
      </c>
      <c r="C162" s="17">
        <v>0.5</v>
      </c>
      <c r="D162" s="7">
        <v>32</v>
      </c>
      <c r="E162" s="1">
        <v>0.49480080041864299</v>
      </c>
      <c r="F162" s="1">
        <v>35.4651289813064</v>
      </c>
      <c r="G162" s="1">
        <v>0.98291247141166505</v>
      </c>
      <c r="H162" s="1">
        <v>17.673207458259999</v>
      </c>
      <c r="I162" s="1">
        <v>38.610561315824803</v>
      </c>
      <c r="J162" s="1">
        <v>0.98633214927523805</v>
      </c>
      <c r="K162" s="8">
        <v>18.642997730519699</v>
      </c>
      <c r="L162" s="7">
        <v>30</v>
      </c>
      <c r="M162" s="1">
        <v>0.46352900103246403</v>
      </c>
      <c r="N162" s="1">
        <v>35.995736892238298</v>
      </c>
      <c r="O162" s="1">
        <v>0.98501547336249695</v>
      </c>
      <c r="P162" s="1">
        <v>18.243569719020201</v>
      </c>
      <c r="Q162" s="1">
        <v>39.144907998439002</v>
      </c>
      <c r="R162" s="1">
        <v>0.98762007720622402</v>
      </c>
      <c r="S162" s="8">
        <v>19.072820637441598</v>
      </c>
      <c r="T162" s="7"/>
      <c r="U162" s="1"/>
      <c r="V162" s="1"/>
      <c r="W162" s="8"/>
      <c r="X162" s="7"/>
      <c r="Y162" s="1"/>
      <c r="Z162" s="1"/>
      <c r="AA162" s="8"/>
      <c r="AB162" s="7">
        <v>32</v>
      </c>
      <c r="AC162" s="1">
        <v>0.45445371693386999</v>
      </c>
      <c r="AD162" s="1">
        <v>35.782645237463598</v>
      </c>
      <c r="AE162" s="1">
        <v>0.98582442443152396</v>
      </c>
      <c r="AF162" s="1">
        <v>18.484592984923101</v>
      </c>
      <c r="AG162" s="1">
        <v>39.031350996409202</v>
      </c>
      <c r="AH162" s="1">
        <v>0.98815460725279203</v>
      </c>
      <c r="AI162" s="1">
        <v>19.264505351845699</v>
      </c>
      <c r="AJ162" s="1">
        <v>343.167602062225</v>
      </c>
      <c r="AK162" s="1">
        <v>224.515324115753</v>
      </c>
      <c r="AL162" s="7"/>
      <c r="AM162" s="1"/>
      <c r="AN162" s="1"/>
      <c r="AO162" s="8"/>
      <c r="AP162" s="1"/>
      <c r="AQ162" s="1"/>
      <c r="AR162" s="1"/>
      <c r="AS162" s="8"/>
      <c r="AT162" s="7">
        <v>0.32</v>
      </c>
      <c r="AU162" s="1">
        <v>0.36615289605957702</v>
      </c>
      <c r="AV162" s="1">
        <v>33.277413027245601</v>
      </c>
      <c r="AW162" s="1">
        <v>0.98888152377524896</v>
      </c>
      <c r="AX162" s="1">
        <v>19.539547282690201</v>
      </c>
      <c r="AY162" s="1">
        <v>36.659032957467197</v>
      </c>
      <c r="AZ162" s="1">
        <v>0.99078787251438105</v>
      </c>
      <c r="BA162" s="1">
        <v>20.356400605126499</v>
      </c>
      <c r="BB162" s="1">
        <v>238.26471209525999</v>
      </c>
      <c r="BC162" s="1">
        <v>145.191503763198</v>
      </c>
      <c r="BD162" s="7"/>
      <c r="BE162" s="1"/>
      <c r="BF162" s="1"/>
      <c r="BG162" s="8"/>
      <c r="BH162" s="1"/>
      <c r="BI162" s="1"/>
      <c r="BJ162" s="1"/>
      <c r="BK162" s="8"/>
    </row>
    <row r="163" spans="1:63">
      <c r="A163" s="49"/>
      <c r="B163" s="7" t="s">
        <v>18</v>
      </c>
      <c r="C163" s="17">
        <v>0.25</v>
      </c>
      <c r="D163" s="7">
        <v>37</v>
      </c>
      <c r="E163" s="1">
        <v>0.23089691520264799</v>
      </c>
      <c r="F163" s="1">
        <v>32.313836133958702</v>
      </c>
      <c r="G163" s="1">
        <v>0.96515244380154896</v>
      </c>
      <c r="H163" s="1">
        <v>14.578276728526699</v>
      </c>
      <c r="I163" s="1">
        <v>35.546343049018098</v>
      </c>
      <c r="J163" s="1">
        <v>0.96993774791891496</v>
      </c>
      <c r="K163" s="8">
        <v>15.2197848782923</v>
      </c>
      <c r="L163" s="7">
        <v>35</v>
      </c>
      <c r="M163" s="1">
        <v>0.217326134336947</v>
      </c>
      <c r="N163" s="1">
        <v>32.891452297427001</v>
      </c>
      <c r="O163" s="1">
        <v>0.96958686327061405</v>
      </c>
      <c r="P163" s="1">
        <v>15.169387855773101</v>
      </c>
      <c r="Q163" s="1">
        <v>36.192045066888198</v>
      </c>
      <c r="R163" s="1">
        <v>0.97293416092298202</v>
      </c>
      <c r="S163" s="8">
        <v>15.675785046575299</v>
      </c>
      <c r="T163" s="7"/>
      <c r="U163" s="1"/>
      <c r="V163" s="1"/>
      <c r="W163" s="8"/>
      <c r="X163" s="7"/>
      <c r="Y163" s="1"/>
      <c r="Z163" s="1"/>
      <c r="AA163" s="8"/>
      <c r="AB163" s="7">
        <v>16</v>
      </c>
      <c r="AC163" s="1">
        <v>0.276694029143082</v>
      </c>
      <c r="AD163" s="1">
        <v>33.658670997772397</v>
      </c>
      <c r="AE163" s="1">
        <v>0.97636618664077801</v>
      </c>
      <c r="AF163" s="1">
        <v>16.2646619850089</v>
      </c>
      <c r="AG163" s="1">
        <v>37.093014584991103</v>
      </c>
      <c r="AH163" s="1">
        <v>0.97908280252010604</v>
      </c>
      <c r="AI163" s="1">
        <v>16.794965033874501</v>
      </c>
      <c r="AJ163" s="1">
        <v>184.36190199851899</v>
      </c>
      <c r="AK163" s="1">
        <v>132.63593864440901</v>
      </c>
      <c r="AL163" s="7"/>
      <c r="AM163" s="1"/>
      <c r="AN163" s="1"/>
      <c r="AO163" s="8"/>
      <c r="AP163" s="1"/>
      <c r="AQ163" s="1"/>
      <c r="AR163" s="1"/>
      <c r="AS163" s="8"/>
      <c r="AT163" s="7">
        <v>0.16</v>
      </c>
      <c r="AU163" s="1">
        <v>0.253467802096006</v>
      </c>
      <c r="AV163" s="1">
        <v>32.061245167000799</v>
      </c>
      <c r="AW163" s="1">
        <v>0.98281755521534198</v>
      </c>
      <c r="AX163" s="1">
        <v>17.6491504301075</v>
      </c>
      <c r="AY163" s="1">
        <v>35.375040839664599</v>
      </c>
      <c r="AZ163" s="1">
        <v>0.98545568127451599</v>
      </c>
      <c r="BA163" s="1">
        <v>18.373066168502199</v>
      </c>
      <c r="BB163" s="1">
        <v>180.56870317459101</v>
      </c>
      <c r="BC163" s="1">
        <v>134.90570425987201</v>
      </c>
      <c r="BD163" s="7"/>
      <c r="BE163" s="1"/>
      <c r="BF163" s="1"/>
      <c r="BG163" s="8"/>
      <c r="BH163" s="1"/>
      <c r="BI163" s="1"/>
      <c r="BJ163" s="1"/>
      <c r="BK163" s="8"/>
    </row>
    <row r="164" spans="1:63">
      <c r="A164" s="49"/>
      <c r="B164" s="7" t="s">
        <v>18</v>
      </c>
      <c r="C164" s="17">
        <v>0.12</v>
      </c>
      <c r="D164" s="7">
        <v>42</v>
      </c>
      <c r="E164" s="1">
        <v>0.105161971248754</v>
      </c>
      <c r="F164" s="1">
        <v>29.8935119383673</v>
      </c>
      <c r="G164" s="1">
        <v>0.93530670956032402</v>
      </c>
      <c r="H164" s="1">
        <v>11.891407591477799</v>
      </c>
      <c r="I164" s="1">
        <v>33.149284485827003</v>
      </c>
      <c r="J164" s="1">
        <v>0.94146142040343805</v>
      </c>
      <c r="K164" s="8">
        <v>12.325578196688699</v>
      </c>
      <c r="L164" s="7">
        <v>39</v>
      </c>
      <c r="M164" s="1">
        <v>0.11246791286975399</v>
      </c>
      <c r="N164" s="1">
        <v>30.857565957698</v>
      </c>
      <c r="O164" s="1">
        <v>0.94936959631280604</v>
      </c>
      <c r="P164" s="1">
        <v>12.955886098752201</v>
      </c>
      <c r="Q164" s="1">
        <v>34.234815718082402</v>
      </c>
      <c r="R164" s="1">
        <v>0.95326716149636004</v>
      </c>
      <c r="S164" s="8">
        <v>13.3037783958281</v>
      </c>
      <c r="T164" s="7"/>
      <c r="U164" s="1"/>
      <c r="V164" s="1"/>
      <c r="W164" s="8"/>
      <c r="X164" s="7"/>
      <c r="Y164" s="1"/>
      <c r="Z164" s="1"/>
      <c r="AA164" s="8"/>
      <c r="AB164" s="7">
        <v>8</v>
      </c>
      <c r="AC164" s="1">
        <v>0.17061397417955901</v>
      </c>
      <c r="AD164" s="1">
        <v>31.925172219294701</v>
      </c>
      <c r="AE164" s="1">
        <v>0.96460250200703601</v>
      </c>
      <c r="AF164" s="1">
        <v>14.510274341959899</v>
      </c>
      <c r="AG164" s="1">
        <v>35.449769448486798</v>
      </c>
      <c r="AH164" s="1">
        <v>0.96763708236094903</v>
      </c>
      <c r="AI164" s="1">
        <v>14.899523320096799</v>
      </c>
      <c r="AJ164" s="1">
        <v>174.27308535575801</v>
      </c>
      <c r="AK164" s="1">
        <v>124.362095832824</v>
      </c>
      <c r="AL164" s="7"/>
      <c r="AM164" s="1"/>
      <c r="AN164" s="1"/>
      <c r="AO164" s="8"/>
      <c r="AP164" s="1"/>
      <c r="AQ164" s="1"/>
      <c r="AR164" s="1"/>
      <c r="AS164" s="8"/>
      <c r="AT164" s="7">
        <v>0.08</v>
      </c>
      <c r="AU164" s="1">
        <v>0.168302438341879</v>
      </c>
      <c r="AV164" s="1">
        <v>30.754011874242099</v>
      </c>
      <c r="AW164" s="1">
        <v>0.97384612434770401</v>
      </c>
      <c r="AX164" s="1">
        <v>15.824639454319801</v>
      </c>
      <c r="AY164" s="1">
        <v>34.044173051531402</v>
      </c>
      <c r="AZ164" s="1">
        <v>0.97741145244055705</v>
      </c>
      <c r="BA164" s="1">
        <v>16.461116932584201</v>
      </c>
      <c r="BB164" s="1">
        <v>168.87256073951701</v>
      </c>
      <c r="BC164" s="1">
        <v>130.501314640045</v>
      </c>
      <c r="BD164" s="7"/>
      <c r="BE164" s="1"/>
      <c r="BF164" s="1"/>
      <c r="BG164" s="8"/>
      <c r="BH164" s="1"/>
      <c r="BI164" s="1"/>
      <c r="BJ164" s="1"/>
      <c r="BK164" s="8"/>
    </row>
    <row r="165" spans="1:63">
      <c r="A165" s="49"/>
      <c r="B165" s="7" t="s">
        <v>18</v>
      </c>
      <c r="C165" s="17">
        <v>0.06</v>
      </c>
      <c r="D165" s="7">
        <v>46</v>
      </c>
      <c r="E165" s="1">
        <v>5.8131633195180901E-2</v>
      </c>
      <c r="F165" s="1">
        <v>28.2130670171316</v>
      </c>
      <c r="G165" s="1">
        <v>0.89911273441486705</v>
      </c>
      <c r="H165" s="1">
        <v>9.9616364877927506</v>
      </c>
      <c r="I165" s="1">
        <v>31.5123605816521</v>
      </c>
      <c r="J165" s="1">
        <v>0.90547963924294705</v>
      </c>
      <c r="K165" s="8">
        <v>10.244746294592799</v>
      </c>
      <c r="L165" s="7">
        <v>44</v>
      </c>
      <c r="M165" s="1">
        <v>5.4590670116631303E-2</v>
      </c>
      <c r="N165" s="1">
        <v>28.791289271018499</v>
      </c>
      <c r="O165" s="1">
        <v>0.91084005577647598</v>
      </c>
      <c r="P165" s="1">
        <v>10.4983021187667</v>
      </c>
      <c r="Q165" s="1">
        <v>32.249465678127102</v>
      </c>
      <c r="R165" s="1">
        <v>0.91472081574402997</v>
      </c>
      <c r="S165" s="8">
        <v>10.6915696257202</v>
      </c>
      <c r="T165" s="7"/>
      <c r="U165" s="1"/>
      <c r="V165" s="1"/>
      <c r="W165" s="8"/>
      <c r="X165" s="7"/>
      <c r="Y165" s="1"/>
      <c r="Z165" s="1"/>
      <c r="AA165" s="8"/>
      <c r="AB165" s="7">
        <v>4</v>
      </c>
      <c r="AC165" s="1">
        <v>0.111970522602448</v>
      </c>
      <c r="AD165" s="1">
        <v>30.630807566758602</v>
      </c>
      <c r="AE165" s="1">
        <v>0.94928019162469501</v>
      </c>
      <c r="AF165" s="1">
        <v>12.9482239593281</v>
      </c>
      <c r="AG165" s="1">
        <v>34.208022171844497</v>
      </c>
      <c r="AH165" s="1">
        <v>0.95274332797669703</v>
      </c>
      <c r="AI165" s="1">
        <v>13.2553686613164</v>
      </c>
      <c r="AJ165" s="1">
        <v>263.64494609832701</v>
      </c>
      <c r="AK165" s="1">
        <v>162.677168607711</v>
      </c>
      <c r="AL165" s="7"/>
      <c r="AM165" s="1"/>
      <c r="AN165" s="1"/>
      <c r="AO165" s="8"/>
      <c r="AP165" s="1"/>
      <c r="AQ165" s="1"/>
      <c r="AR165" s="1"/>
      <c r="AS165" s="8"/>
      <c r="AT165" s="7">
        <v>0.04</v>
      </c>
      <c r="AU165" s="1">
        <v>0.109703789857548</v>
      </c>
      <c r="AV165" s="1">
        <v>29.572292707798798</v>
      </c>
      <c r="AW165" s="1">
        <v>0.96213388833629299</v>
      </c>
      <c r="AX165" s="1">
        <v>14.217492887449</v>
      </c>
      <c r="AY165" s="1">
        <v>32.7009190873517</v>
      </c>
      <c r="AZ165" s="1">
        <v>0.96618604833438504</v>
      </c>
      <c r="BA165" s="1">
        <v>14.7090407246741</v>
      </c>
      <c r="BB165" s="1">
        <v>157.86843752861</v>
      </c>
      <c r="BC165" s="1">
        <v>116.32296442985501</v>
      </c>
      <c r="BD165" s="7"/>
      <c r="BE165" s="1"/>
      <c r="BF165" s="1"/>
      <c r="BG165" s="8"/>
      <c r="BH165" s="1"/>
      <c r="BI165" s="1"/>
      <c r="BJ165" s="1"/>
      <c r="BK165" s="8"/>
    </row>
    <row r="166" spans="1:63">
      <c r="A166" s="49"/>
      <c r="B166" s="7" t="s">
        <v>47</v>
      </c>
      <c r="C166" s="17">
        <v>1.5</v>
      </c>
      <c r="D166" s="7">
        <v>11</v>
      </c>
      <c r="E166" s="1">
        <v>1.3037081930935801</v>
      </c>
      <c r="F166" s="1">
        <v>49.6407369708649</v>
      </c>
      <c r="G166" s="1">
        <v>0.99855255606636695</v>
      </c>
      <c r="H166" s="1">
        <v>28.393982495595498</v>
      </c>
      <c r="I166" s="1">
        <v>53.444665529334003</v>
      </c>
      <c r="J166" s="1">
        <v>0.99937235474092201</v>
      </c>
      <c r="K166" s="8">
        <v>32.022857472729001</v>
      </c>
      <c r="L166" s="7">
        <v>10</v>
      </c>
      <c r="M166" s="1">
        <v>1.1743355830369999</v>
      </c>
      <c r="N166" s="1">
        <v>48.170623231386102</v>
      </c>
      <c r="O166" s="1">
        <v>0.99837931407976299</v>
      </c>
      <c r="P166" s="1">
        <v>27.903011408112899</v>
      </c>
      <c r="Q166" s="1">
        <v>52.361735725953203</v>
      </c>
      <c r="R166" s="1">
        <v>0.99920120955124103</v>
      </c>
      <c r="S166" s="8">
        <v>30.975671366858101</v>
      </c>
      <c r="T166" s="13">
        <f>bdrate(E166:E169,F166:F169,M166:M169,N166:N169)</f>
        <v>5.2296551018448101E-2</v>
      </c>
      <c r="U166" s="12">
        <f>bdrate(E166:E169,H166:H169,M166:M169,P166:P169)</f>
        <v>-0.13841914770874175</v>
      </c>
      <c r="V166" s="12">
        <f>bdrate(E166:E169,I166:I169,M166:M169,Q166:Q169)</f>
        <v>-5.1615107607270172E-2</v>
      </c>
      <c r="W166" s="14">
        <f>bdrate(E166:E169,K166:K169,M166:M169,S166:S169)</f>
        <v>-9.8369190624346903E-2</v>
      </c>
      <c r="X166" s="13">
        <f>bdrate(E168:E171,F168:F171,M168:M171,N168:N171)</f>
        <v>-0.21976114534824165</v>
      </c>
      <c r="Y166" s="12">
        <f>bdrate(E168:E171,H168:H171,M168:M171,P168:P171)</f>
        <v>-0.31682490919539463</v>
      </c>
      <c r="Z166" s="12">
        <f>bdrate(E168:E171,I168:I171,M168:M171,Q168:Q171)</f>
        <v>-0.23121448933067801</v>
      </c>
      <c r="AA166" s="14">
        <f>bdrate(E168:E171,K168:K171,M168:M171,S168:S171)</f>
        <v>-0.21340290979710463</v>
      </c>
      <c r="AB166" s="7"/>
      <c r="AC166" s="1"/>
      <c r="AD166" s="1"/>
      <c r="AE166" s="1"/>
      <c r="AF166" s="1"/>
      <c r="AG166" s="1"/>
      <c r="AH166" s="1"/>
      <c r="AI166" s="1"/>
      <c r="AJ166" s="1"/>
      <c r="AK166" s="1"/>
      <c r="AL166" s="13" t="e">
        <f>bdrate(E166:E169,F166:F169,AC166:AC169,AD166:AD169)</f>
        <v>#VALUE!</v>
      </c>
      <c r="AM166" s="12" t="e">
        <f>bdrate(E166:E169,H166:H169,AC166:AC169,AF166:AF169)</f>
        <v>#VALUE!</v>
      </c>
      <c r="AN166" s="12" t="e">
        <f>bdrate(E166:E169,I166:I169,AC166:AC169,AG166:AG169)</f>
        <v>#VALUE!</v>
      </c>
      <c r="AO166" s="14" t="e">
        <f>bdrate(E166:E169,K166:K169,AC166:AC169,AI166:AI169)</f>
        <v>#VALUE!</v>
      </c>
      <c r="AP166" s="12">
        <f>bdrate(E168:E171,F168:F171,AC168:AC171,AD168:AD171)</f>
        <v>-9.8467017247956035E-2</v>
      </c>
      <c r="AQ166" s="12">
        <f>bdrate(E168:E171,H168:H171,AC168:AC171,AF168:AF171)</f>
        <v>-0.19337707710728236</v>
      </c>
      <c r="AR166" s="12">
        <f>bdrate(E168:E171,I168:I171,AC168:AC171,AG168:AG171)</f>
        <v>-0.10278625295703792</v>
      </c>
      <c r="AS166" s="14">
        <f>bdrate(E168:E171,K168:K171,AC168:AC171,AI168:AI171)</f>
        <v>-6.6119100238385853E-2</v>
      </c>
      <c r="AT166" s="7"/>
      <c r="AU166" s="1"/>
      <c r="AV166" s="1"/>
      <c r="AW166" s="1"/>
      <c r="AX166" s="1"/>
      <c r="AY166" s="1"/>
      <c r="AZ166" s="1"/>
      <c r="BA166" s="1"/>
      <c r="BB166" s="1"/>
      <c r="BC166" s="1"/>
      <c r="BD166" s="13" t="e">
        <f>bdrate(E166:E169,F166:F169,AU166:AU169,AV166:AV169)</f>
        <v>#VALUE!</v>
      </c>
      <c r="BE166" s="12" t="e">
        <f>bdrate(E166:E169,H166:H169,AU166:AU169,AX166:AX169)</f>
        <v>#VALUE!</v>
      </c>
      <c r="BF166" s="12" t="e">
        <f>bdrate(E166:E169,I166:I169,AU166:AU169,AY166:AY169)</f>
        <v>#VALUE!</v>
      </c>
      <c r="BG166" s="14" t="e">
        <f>bdrate(E166:E169,K166:K169,AU166:AU169,BA166:BA169)</f>
        <v>#VALUE!</v>
      </c>
      <c r="BH166" s="12">
        <f>bdrate(E168:E171,F168:F171,AU168:AU171,AV168:AV171)</f>
        <v>0.31169155344967225</v>
      </c>
      <c r="BI166" s="12">
        <f>bdrate(E168:E171,H168:H171,AU168:AU171,AX168:AX171)</f>
        <v>-0.44228427356993727</v>
      </c>
      <c r="BJ166" s="12">
        <f>bdrate(E168:E171,I168:I171,AU168:AU171,AY168:AY171)</f>
        <v>0.35623477762144096</v>
      </c>
      <c r="BK166" s="14">
        <f>bdrate(E168:E171,K168:K171,AU168:AU171,BA168:BA171)</f>
        <v>-0.33626726692022357</v>
      </c>
    </row>
    <row r="167" spans="1:63">
      <c r="A167" s="49"/>
      <c r="B167" s="7" t="s">
        <v>18</v>
      </c>
      <c r="C167" s="17">
        <v>1</v>
      </c>
      <c r="D167" s="7">
        <v>13</v>
      </c>
      <c r="E167" s="1">
        <v>0.975467057478558</v>
      </c>
      <c r="F167" s="1">
        <v>48.821887271458799</v>
      </c>
      <c r="G167" s="1">
        <v>0.99813262553999205</v>
      </c>
      <c r="H167" s="1">
        <v>27.287685853136299</v>
      </c>
      <c r="I167" s="1">
        <v>52.408428934957797</v>
      </c>
      <c r="J167" s="1">
        <v>0.99903620110834501</v>
      </c>
      <c r="K167" s="8">
        <v>30.160135774627399</v>
      </c>
      <c r="L167" s="7">
        <v>12</v>
      </c>
      <c r="M167" s="1">
        <v>0.85989269935422596</v>
      </c>
      <c r="N167" s="1">
        <v>47.643151144852197</v>
      </c>
      <c r="O167" s="1">
        <v>0.99803343760062602</v>
      </c>
      <c r="P167" s="1">
        <v>27.062922687947999</v>
      </c>
      <c r="Q167" s="1">
        <v>51.602726750784498</v>
      </c>
      <c r="R167" s="1">
        <v>0.99890910707861502</v>
      </c>
      <c r="S167" s="8">
        <v>29.622178762988099</v>
      </c>
      <c r="T167" s="7"/>
      <c r="U167" s="1"/>
      <c r="V167" s="1"/>
      <c r="W167" s="8"/>
      <c r="X167" s="7"/>
      <c r="Y167" s="1"/>
      <c r="Z167" s="1"/>
      <c r="AA167" s="8"/>
      <c r="AB167" s="7">
        <v>64</v>
      </c>
      <c r="AC167" s="1">
        <v>0.15298329402925401</v>
      </c>
      <c r="AD167" s="1">
        <v>43.931965289617402</v>
      </c>
      <c r="AE167" s="1">
        <v>0.99523295903425701</v>
      </c>
      <c r="AF167" s="1">
        <v>23.2175111593121</v>
      </c>
      <c r="AG167" s="1">
        <v>47.0249639109716</v>
      </c>
      <c r="AH167" s="1">
        <v>0.99658500673905104</v>
      </c>
      <c r="AI167" s="1">
        <v>24.6661014900609</v>
      </c>
      <c r="AJ167" s="1">
        <v>630.11374187469403</v>
      </c>
      <c r="AK167" s="1">
        <v>290.91301488876297</v>
      </c>
      <c r="AL167" s="7"/>
      <c r="AM167" s="1"/>
      <c r="AN167" s="1"/>
      <c r="AO167" s="8"/>
      <c r="AP167" s="1"/>
      <c r="AQ167" s="1"/>
      <c r="AR167" s="1"/>
      <c r="AS167" s="8"/>
      <c r="AT167" s="7">
        <v>0.64</v>
      </c>
      <c r="AU167" s="1">
        <v>0.16001290957702799</v>
      </c>
      <c r="AV167" s="1">
        <v>42.230682001249299</v>
      </c>
      <c r="AW167" s="1">
        <v>0.99645856101619601</v>
      </c>
      <c r="AX167" s="1">
        <v>24.508202363519899</v>
      </c>
      <c r="AY167" s="1">
        <v>45.110910469292698</v>
      </c>
      <c r="AZ167" s="1">
        <v>0.997458674170145</v>
      </c>
      <c r="BA167" s="1">
        <v>25.9493964937861</v>
      </c>
      <c r="BB167" s="1">
        <v>287.00854229927</v>
      </c>
      <c r="BC167" s="1">
        <v>206.03031873703</v>
      </c>
      <c r="BD167" s="7"/>
      <c r="BE167" s="1"/>
      <c r="BF167" s="1"/>
      <c r="BG167" s="8"/>
      <c r="BH167" s="1"/>
      <c r="BI167" s="1"/>
      <c r="BJ167" s="1"/>
      <c r="BK167" s="8"/>
    </row>
    <row r="168" spans="1:63">
      <c r="A168" s="49"/>
      <c r="B168" s="7" t="s">
        <v>18</v>
      </c>
      <c r="C168" s="17">
        <v>0.5</v>
      </c>
      <c r="D168" s="7">
        <v>19</v>
      </c>
      <c r="E168" s="1">
        <v>0.47413473602023698</v>
      </c>
      <c r="F168" s="1">
        <v>46.828562783595501</v>
      </c>
      <c r="G168" s="1">
        <v>0.99692195516765902</v>
      </c>
      <c r="H168" s="1">
        <v>25.117250588722101</v>
      </c>
      <c r="I168" s="1">
        <v>50.170805311787703</v>
      </c>
      <c r="J168" s="1">
        <v>0.99808744868200505</v>
      </c>
      <c r="K168" s="8">
        <v>27.183869029336702</v>
      </c>
      <c r="L168" s="7">
        <v>15</v>
      </c>
      <c r="M168" s="1">
        <v>0.48599510952443498</v>
      </c>
      <c r="N168" s="1">
        <v>46.786950407502999</v>
      </c>
      <c r="O168" s="1">
        <v>0.997271771841438</v>
      </c>
      <c r="P168" s="1">
        <v>25.641193129521699</v>
      </c>
      <c r="Q168" s="1">
        <v>50.502585359789599</v>
      </c>
      <c r="R168" s="1">
        <v>0.99832417370087001</v>
      </c>
      <c r="S168" s="8">
        <v>27.757709983782402</v>
      </c>
      <c r="T168" s="7"/>
      <c r="U168" s="1"/>
      <c r="V168" s="1"/>
      <c r="W168" s="8"/>
      <c r="X168" s="7"/>
      <c r="Y168" s="1"/>
      <c r="Z168" s="1"/>
      <c r="AA168" s="8"/>
      <c r="AB168" s="7">
        <v>32</v>
      </c>
      <c r="AC168" s="1">
        <v>0.115583970616533</v>
      </c>
      <c r="AD168" s="1">
        <v>42.101380372012699</v>
      </c>
      <c r="AE168" s="1">
        <v>0.99376557258002096</v>
      </c>
      <c r="AF168" s="1">
        <v>22.0520342667016</v>
      </c>
      <c r="AG168" s="1">
        <v>45.290023006371698</v>
      </c>
      <c r="AH168" s="1">
        <v>0.99525215931505495</v>
      </c>
      <c r="AI168" s="1">
        <v>23.235038623396601</v>
      </c>
      <c r="AJ168" s="1">
        <v>674.88528728485096</v>
      </c>
      <c r="AK168" s="1">
        <v>379.21984529495199</v>
      </c>
      <c r="AL168" s="7"/>
      <c r="AM168" s="1"/>
      <c r="AN168" s="1"/>
      <c r="AO168" s="8"/>
      <c r="AP168" s="1"/>
      <c r="AQ168" s="1"/>
      <c r="AR168" s="1"/>
      <c r="AS168" s="8"/>
      <c r="AT168" s="7">
        <v>0.32</v>
      </c>
      <c r="AU168" s="1">
        <v>0.12040415483153501</v>
      </c>
      <c r="AV168" s="1">
        <v>40.7971081149715</v>
      </c>
      <c r="AW168" s="1">
        <v>0.99547547425322003</v>
      </c>
      <c r="AX168" s="1">
        <v>23.444269360942702</v>
      </c>
      <c r="AY168" s="1">
        <v>43.685916168603001</v>
      </c>
      <c r="AZ168" s="1">
        <v>0.99667164885989601</v>
      </c>
      <c r="BA168" s="1">
        <v>24.7777086201923</v>
      </c>
      <c r="BB168" s="1">
        <v>462.23859143257101</v>
      </c>
      <c r="BC168" s="1">
        <v>249.35753512382499</v>
      </c>
      <c r="BD168" s="7"/>
      <c r="BE168" s="1"/>
      <c r="BF168" s="1"/>
      <c r="BG168" s="8"/>
      <c r="BH168" s="1"/>
      <c r="BI168" s="1"/>
      <c r="BJ168" s="1"/>
      <c r="BK168" s="8"/>
    </row>
    <row r="169" spans="1:63">
      <c r="A169" s="49"/>
      <c r="B169" s="7" t="s">
        <v>18</v>
      </c>
      <c r="C169" s="17">
        <v>0.25</v>
      </c>
      <c r="D169" s="7">
        <v>25</v>
      </c>
      <c r="E169" s="1">
        <v>0.249982952845859</v>
      </c>
      <c r="F169" s="1">
        <v>44.613995609133198</v>
      </c>
      <c r="G169" s="1">
        <v>0.99546750633381698</v>
      </c>
      <c r="H169" s="1">
        <v>23.436627941257601</v>
      </c>
      <c r="I169" s="1">
        <v>47.8948623886699</v>
      </c>
      <c r="J169" s="1">
        <v>0.99719286830735498</v>
      </c>
      <c r="K169" s="8">
        <v>25.517372125713599</v>
      </c>
      <c r="L169" s="7">
        <v>22</v>
      </c>
      <c r="M169" s="1">
        <v>0.231054994449686</v>
      </c>
      <c r="N169" s="1">
        <v>45.135240658715901</v>
      </c>
      <c r="O169" s="1">
        <v>0.99626601073226895</v>
      </c>
      <c r="P169" s="1">
        <v>24.278269346387201</v>
      </c>
      <c r="Q169" s="1">
        <v>48.507649957899098</v>
      </c>
      <c r="R169" s="1">
        <v>0.99751174084904004</v>
      </c>
      <c r="S169" s="8">
        <v>26.041043900701801</v>
      </c>
      <c r="T169" s="7"/>
      <c r="U169" s="1"/>
      <c r="V169" s="1"/>
      <c r="W169" s="8"/>
      <c r="X169" s="7"/>
      <c r="Y169" s="1"/>
      <c r="Z169" s="1"/>
      <c r="AA169" s="8"/>
      <c r="AB169" s="7">
        <v>16</v>
      </c>
      <c r="AC169" s="1">
        <v>8.2802007833340005E-2</v>
      </c>
      <c r="AD169" s="1">
        <v>40.349352886459798</v>
      </c>
      <c r="AE169" s="1">
        <v>0.99068755477108295</v>
      </c>
      <c r="AF169" s="1">
        <v>20.309362685361702</v>
      </c>
      <c r="AG169" s="1">
        <v>43.500845366316703</v>
      </c>
      <c r="AH169" s="1">
        <v>0.99261996623695303</v>
      </c>
      <c r="AI169" s="1">
        <v>21.319416513109299</v>
      </c>
      <c r="AJ169" s="1">
        <v>292.79816699027998</v>
      </c>
      <c r="AK169" s="1">
        <v>209.89573383331299</v>
      </c>
      <c r="AL169" s="7"/>
      <c r="AM169" s="1"/>
      <c r="AN169" s="1"/>
      <c r="AO169" s="8"/>
      <c r="AP169" s="1"/>
      <c r="AQ169" s="1"/>
      <c r="AR169" s="1"/>
      <c r="AS169" s="8"/>
      <c r="AT169" s="7">
        <v>0.16</v>
      </c>
      <c r="AU169" s="1">
        <v>8.8582960643993694E-2</v>
      </c>
      <c r="AV169" s="1">
        <v>38.605351415153798</v>
      </c>
      <c r="AW169" s="1">
        <v>0.99382095688199001</v>
      </c>
      <c r="AX169" s="1">
        <v>22.090787742225299</v>
      </c>
      <c r="AY169" s="1">
        <v>41.623853673447499</v>
      </c>
      <c r="AZ169" s="1">
        <v>0.99531094613580395</v>
      </c>
      <c r="BA169" s="1">
        <v>23.2891477839602</v>
      </c>
      <c r="BB169" s="1">
        <v>284.833244800567</v>
      </c>
      <c r="BC169" s="1">
        <v>207.25012087821901</v>
      </c>
      <c r="BD169" s="7"/>
      <c r="BE169" s="1"/>
      <c r="BF169" s="1"/>
      <c r="BG169" s="8"/>
      <c r="BH169" s="1"/>
      <c r="BI169" s="1"/>
      <c r="BJ169" s="1"/>
      <c r="BK169" s="8"/>
    </row>
    <row r="170" spans="1:63">
      <c r="A170" s="49"/>
      <c r="B170" s="7" t="s">
        <v>18</v>
      </c>
      <c r="C170" s="17">
        <v>0.12</v>
      </c>
      <c r="D170" s="7">
        <v>32</v>
      </c>
      <c r="E170" s="1">
        <v>0.117944798701496</v>
      </c>
      <c r="F170" s="1">
        <v>41.399638310575497</v>
      </c>
      <c r="G170" s="1">
        <v>0.99163543606641003</v>
      </c>
      <c r="H170" s="1">
        <v>20.775566950090798</v>
      </c>
      <c r="I170" s="1">
        <v>44.569559898778998</v>
      </c>
      <c r="J170" s="1">
        <v>0.99446688787727899</v>
      </c>
      <c r="K170" s="8">
        <v>22.570305291739501</v>
      </c>
      <c r="L170" s="7">
        <v>28</v>
      </c>
      <c r="M170" s="1">
        <v>0.115002895462885</v>
      </c>
      <c r="N170" s="1">
        <v>42.584476449105701</v>
      </c>
      <c r="O170" s="1">
        <v>0.99386527489290899</v>
      </c>
      <c r="P170" s="1">
        <v>22.122048929448599</v>
      </c>
      <c r="Q170" s="1">
        <v>45.753639521225701</v>
      </c>
      <c r="R170" s="1">
        <v>0.99548895457880404</v>
      </c>
      <c r="S170" s="8">
        <v>23.4572280001926</v>
      </c>
      <c r="T170" s="7"/>
      <c r="U170" s="1"/>
      <c r="V170" s="1"/>
      <c r="W170" s="8"/>
      <c r="X170" s="7"/>
      <c r="Y170" s="1"/>
      <c r="Z170" s="1"/>
      <c r="AA170" s="8"/>
      <c r="AB170" s="7">
        <v>8</v>
      </c>
      <c r="AC170" s="1">
        <v>5.9056748969826198E-2</v>
      </c>
      <c r="AD170" s="1">
        <v>38.434033706906398</v>
      </c>
      <c r="AE170" s="1">
        <v>0.98634196820449405</v>
      </c>
      <c r="AF170" s="1">
        <v>18.646118805913702</v>
      </c>
      <c r="AG170" s="1">
        <v>41.637531130662701</v>
      </c>
      <c r="AH170" s="1">
        <v>0.98829500189188202</v>
      </c>
      <c r="AI170" s="1">
        <v>19.3162865216249</v>
      </c>
      <c r="AJ170" s="1">
        <v>273.58496189117398</v>
      </c>
      <c r="AK170" s="1">
        <v>204.29709458351101</v>
      </c>
      <c r="AL170" s="7"/>
      <c r="AM170" s="1"/>
      <c r="AN170" s="1"/>
      <c r="AO170" s="8"/>
      <c r="AP170" s="1"/>
      <c r="AQ170" s="1"/>
      <c r="AR170" s="1"/>
      <c r="AS170" s="8"/>
      <c r="AT170" s="7">
        <v>0.08</v>
      </c>
      <c r="AU170" s="1">
        <v>6.4352270924247695E-2</v>
      </c>
      <c r="AV170" s="1">
        <v>36.777921530119301</v>
      </c>
      <c r="AW170" s="1">
        <v>0.99121248322698297</v>
      </c>
      <c r="AX170" s="1">
        <v>20.561338330194399</v>
      </c>
      <c r="AY170" s="1">
        <v>39.846940231270501</v>
      </c>
      <c r="AZ170" s="1">
        <v>0.99306535908033899</v>
      </c>
      <c r="BA170" s="1">
        <v>21.589760220668602</v>
      </c>
      <c r="BB170" s="1">
        <v>263.54919147491398</v>
      </c>
      <c r="BC170" s="1">
        <v>200.14712190628001</v>
      </c>
      <c r="BD170" s="7"/>
      <c r="BE170" s="1"/>
      <c r="BF170" s="1"/>
      <c r="BG170" s="8"/>
      <c r="BH170" s="1"/>
      <c r="BI170" s="1"/>
      <c r="BJ170" s="1"/>
      <c r="BK170" s="8"/>
    </row>
    <row r="171" spans="1:63">
      <c r="A171" s="49"/>
      <c r="B171" s="7" t="s">
        <v>18</v>
      </c>
      <c r="C171" s="17">
        <v>0.06</v>
      </c>
      <c r="D171" s="7">
        <v>38</v>
      </c>
      <c r="E171" s="1">
        <v>5.6095140122200002E-2</v>
      </c>
      <c r="F171" s="1">
        <v>38.012557000348501</v>
      </c>
      <c r="G171" s="1">
        <v>0.98386870894092904</v>
      </c>
      <c r="H171" s="1">
        <v>17.923308726983301</v>
      </c>
      <c r="I171" s="1">
        <v>41.139397322724797</v>
      </c>
      <c r="J171" s="1">
        <v>0.98764593593997596</v>
      </c>
      <c r="K171" s="8">
        <v>19.081901510278801</v>
      </c>
      <c r="L171" s="7">
        <v>34</v>
      </c>
      <c r="M171" s="1">
        <v>5.7562006432319297E-2</v>
      </c>
      <c r="N171" s="1">
        <v>39.567814661083503</v>
      </c>
      <c r="O171" s="1">
        <v>0.98865313473473304</v>
      </c>
      <c r="P171" s="1">
        <v>19.451241019979399</v>
      </c>
      <c r="Q171" s="1">
        <v>42.722027760902797</v>
      </c>
      <c r="R171" s="1">
        <v>0.99078382556211897</v>
      </c>
      <c r="S171" s="8">
        <v>20.354493137936998</v>
      </c>
      <c r="T171" s="7"/>
      <c r="U171" s="1"/>
      <c r="V171" s="1"/>
      <c r="W171" s="8"/>
      <c r="X171" s="7"/>
      <c r="Y171" s="1"/>
      <c r="Z171" s="1"/>
      <c r="AA171" s="8"/>
      <c r="AB171" s="7">
        <v>4</v>
      </c>
      <c r="AC171" s="1">
        <v>3.9642398468201299E-2</v>
      </c>
      <c r="AD171" s="1">
        <v>36.296722996237897</v>
      </c>
      <c r="AE171" s="1">
        <v>0.97839611003310301</v>
      </c>
      <c r="AF171" s="1">
        <v>16.654680433372999</v>
      </c>
      <c r="AG171" s="1">
        <v>39.573195272834603</v>
      </c>
      <c r="AH171" s="1">
        <v>0.98085343339780995</v>
      </c>
      <c r="AI171" s="1">
        <v>17.1790909320497</v>
      </c>
      <c r="AJ171" s="1">
        <v>311.57109975814802</v>
      </c>
      <c r="AK171" s="1">
        <v>239.07509827613799</v>
      </c>
      <c r="AL171" s="7"/>
      <c r="AM171" s="1"/>
      <c r="AN171" s="1"/>
      <c r="AO171" s="8"/>
      <c r="AP171" s="1"/>
      <c r="AQ171" s="1"/>
      <c r="AR171" s="1"/>
      <c r="AS171" s="8"/>
      <c r="AT171" s="7">
        <v>0.04</v>
      </c>
      <c r="AU171" s="1">
        <v>4.5191690216771899E-2</v>
      </c>
      <c r="AV171" s="1">
        <v>34.448859986130302</v>
      </c>
      <c r="AW171" s="1">
        <v>0.98695228499676901</v>
      </c>
      <c r="AX171" s="1">
        <v>18.844655380097699</v>
      </c>
      <c r="AY171" s="1">
        <v>37.466481350354698</v>
      </c>
      <c r="AZ171" s="1">
        <v>0.98908006524023495</v>
      </c>
      <c r="BA171" s="1">
        <v>19.617799562795401</v>
      </c>
      <c r="BB171" s="1">
        <v>273.60619878768898</v>
      </c>
      <c r="BC171" s="1">
        <v>218.58415222167901</v>
      </c>
      <c r="BD171" s="7"/>
      <c r="BE171" s="1"/>
      <c r="BF171" s="1"/>
      <c r="BG171" s="8"/>
      <c r="BH171" s="1"/>
      <c r="BI171" s="1"/>
      <c r="BJ171" s="1"/>
      <c r="BK171" s="8"/>
    </row>
    <row r="172" spans="1:63">
      <c r="A172" s="49"/>
      <c r="B172" s="7" t="s">
        <v>48</v>
      </c>
      <c r="C172" s="17">
        <v>1.5</v>
      </c>
      <c r="D172" s="7">
        <v>28</v>
      </c>
      <c r="E172" s="1">
        <v>1.3616678913746501</v>
      </c>
      <c r="F172" s="1">
        <v>35.430335387092498</v>
      </c>
      <c r="G172" s="1">
        <v>0.97847348610970097</v>
      </c>
      <c r="H172" s="1">
        <v>16.670262962699798</v>
      </c>
      <c r="I172" s="1">
        <v>38.576914325998601</v>
      </c>
      <c r="J172" s="1">
        <v>0.98784121339251596</v>
      </c>
      <c r="K172" s="8">
        <v>19.151097635474802</v>
      </c>
      <c r="L172" s="7">
        <v>25</v>
      </c>
      <c r="M172" s="1">
        <v>1.4229905402481899</v>
      </c>
      <c r="N172" s="1">
        <v>36.776504059640402</v>
      </c>
      <c r="O172" s="1">
        <v>0.98470851439769203</v>
      </c>
      <c r="P172" s="1">
        <v>18.155503198497701</v>
      </c>
      <c r="Q172" s="1">
        <v>39.952675946171901</v>
      </c>
      <c r="R172" s="1">
        <v>0.99151400193149297</v>
      </c>
      <c r="S172" s="8">
        <v>20.712970714189101</v>
      </c>
      <c r="T172" s="13">
        <f>bdrate(E172:E175,F172:F175,M172:M175,N172:N175)</f>
        <v>-0.21049729896080849</v>
      </c>
      <c r="U172" s="12">
        <f>bdrate(E172:E175,H172:H175,M172:M175,P172:P175)</f>
        <v>-0.24290078950015259</v>
      </c>
      <c r="V172" s="12">
        <f>bdrate(E172:E175,I172:I175,M172:M175,Q172:Q175)</f>
        <v>-0.20051967766178369</v>
      </c>
      <c r="W172" s="14">
        <f>bdrate(E172:E175,K172:K175,M172:M175,S172:S175)</f>
        <v>-0.16406976424383901</v>
      </c>
      <c r="X172" s="13">
        <f>bdrate(E174:E177,F174:F177,M174:M177,N174:N177)</f>
        <v>-0.22725115121072292</v>
      </c>
      <c r="Y172" s="12">
        <f>bdrate(E174:E177,H174:H177,M174:M177,P174:P177)</f>
        <v>-0.25635635889243646</v>
      </c>
      <c r="Z172" s="12">
        <f>bdrate(E174:E177,I174:I177,M174:M177,Q174:Q177)</f>
        <v>-0.22626877048161331</v>
      </c>
      <c r="AA172" s="14">
        <f>bdrate(E174:E177,K174:K177,M174:M177,S174:S177)</f>
        <v>-0.17437806874242368</v>
      </c>
      <c r="AB172" s="7"/>
      <c r="AC172" s="1"/>
      <c r="AD172" s="1"/>
      <c r="AE172" s="1"/>
      <c r="AF172" s="1"/>
      <c r="AG172" s="1"/>
      <c r="AH172" s="1"/>
      <c r="AI172" s="1"/>
      <c r="AJ172" s="1"/>
      <c r="AK172" s="1"/>
      <c r="AL172" s="13" t="e">
        <f>bdrate(E172:E175,F172:F175,AC172:AC175,AD172:AD175)</f>
        <v>#VALUE!</v>
      </c>
      <c r="AM172" s="12" t="e">
        <f>bdrate(E172:E175,H172:H175,AC172:AC175,AF172:AF175)</f>
        <v>#VALUE!</v>
      </c>
      <c r="AN172" s="12" t="e">
        <f>bdrate(E172:E175,I172:I175,AC172:AC175,AG172:AG175)</f>
        <v>#VALUE!</v>
      </c>
      <c r="AO172" s="14" t="e">
        <f>bdrate(E172:E175,K172:K175,AC172:AC175,AI172:AI175)</f>
        <v>#VALUE!</v>
      </c>
      <c r="AP172" s="12">
        <f>bdrate(E174:E177,F174:F177,AC174:AC177,AD174:AD177)</f>
        <v>-0.19340414594682376</v>
      </c>
      <c r="AQ172" s="12">
        <f>bdrate(E174:E177,H174:H177,AC174:AC177,AF174:AF177)</f>
        <v>-0.32632438910773032</v>
      </c>
      <c r="AR172" s="12">
        <f>bdrate(E174:E177,I174:I177,AC174:AC177,AG174:AG177)</f>
        <v>-0.20037288992342162</v>
      </c>
      <c r="AS172" s="14">
        <f>bdrate(E174:E177,K174:K177,AC174:AC177,AI174:AI177)</f>
        <v>-0.232292843527929</v>
      </c>
      <c r="AT172" s="7"/>
      <c r="AU172" s="1"/>
      <c r="AV172" s="1"/>
      <c r="AW172" s="1"/>
      <c r="AX172" s="1"/>
      <c r="AY172" s="1"/>
      <c r="AZ172" s="1"/>
      <c r="BA172" s="1"/>
      <c r="BB172" s="1"/>
      <c r="BC172" s="1"/>
      <c r="BD172" s="13" t="e">
        <f>bdrate(E172:E175,F172:F175,AU172:AU175,AV172:AV175)</f>
        <v>#VALUE!</v>
      </c>
      <c r="BE172" s="12" t="e">
        <f>bdrate(E172:E175,H172:H175,AU172:AU175,AX172:AX175)</f>
        <v>#VALUE!</v>
      </c>
      <c r="BF172" s="12" t="e">
        <f>bdrate(E172:E175,I172:I175,AU172:AU175,AY172:AY175)</f>
        <v>#VALUE!</v>
      </c>
      <c r="BG172" s="14" t="e">
        <f>bdrate(E172:E175,K172:K175,AU172:AU175,BA172:BA175)</f>
        <v>#VALUE!</v>
      </c>
      <c r="BH172" s="12">
        <f>bdrate(E174:E177,F174:F177,AU174:AU177,AV174:AV177)</f>
        <v>0.28289620095728529</v>
      </c>
      <c r="BI172" s="12">
        <f>bdrate(E174:E177,H174:H177,AU174:AU177,AX174:AX177)</f>
        <v>-0.55832220331429316</v>
      </c>
      <c r="BJ172" s="12">
        <f>bdrate(E174:E177,I174:I177,AU174:AU177,AY174:AY177)</f>
        <v>0.32195254939336282</v>
      </c>
      <c r="BK172" s="14">
        <f>bdrate(E174:E177,K174:K177,AU174:AU177,BA174:BA177)</f>
        <v>-0.46982143227401918</v>
      </c>
    </row>
    <row r="173" spans="1:63">
      <c r="A173" s="49"/>
      <c r="B173" s="7" t="s">
        <v>18</v>
      </c>
      <c r="C173" s="17">
        <v>1</v>
      </c>
      <c r="D173" s="7">
        <v>30</v>
      </c>
      <c r="E173" s="1">
        <v>0.977453572839731</v>
      </c>
      <c r="F173" s="1">
        <v>33.934162835469998</v>
      </c>
      <c r="G173" s="1">
        <v>0.96968658162146004</v>
      </c>
      <c r="H173" s="1">
        <v>15.183650864226401</v>
      </c>
      <c r="I173" s="1">
        <v>37.012659864931699</v>
      </c>
      <c r="J173" s="1">
        <v>0.98109213330507306</v>
      </c>
      <c r="K173" s="8">
        <v>17.233574682403901</v>
      </c>
      <c r="L173" s="7">
        <v>28</v>
      </c>
      <c r="M173" s="1">
        <v>0.89918525630366997</v>
      </c>
      <c r="N173" s="1">
        <v>34.5660981570988</v>
      </c>
      <c r="O173" s="1">
        <v>0.97467247117080602</v>
      </c>
      <c r="P173" s="1">
        <v>15.964071816346101</v>
      </c>
      <c r="Q173" s="1">
        <v>37.603828436064397</v>
      </c>
      <c r="R173" s="1">
        <v>0.98326479490854202</v>
      </c>
      <c r="S173" s="8">
        <v>17.763689609552799</v>
      </c>
      <c r="T173" s="7"/>
      <c r="U173" s="1"/>
      <c r="V173" s="1"/>
      <c r="W173" s="8"/>
      <c r="X173" s="7"/>
      <c r="Y173" s="1"/>
      <c r="Z173" s="1"/>
      <c r="AA173" s="8"/>
      <c r="AB173" s="7">
        <v>64</v>
      </c>
      <c r="AC173" s="1">
        <v>1.00517810114836</v>
      </c>
      <c r="AD173" s="1">
        <v>34.981512873758</v>
      </c>
      <c r="AE173" s="1">
        <v>0.97962350783821095</v>
      </c>
      <c r="AF173" s="1">
        <v>16.908705782246599</v>
      </c>
      <c r="AG173" s="1">
        <v>38.118858228834597</v>
      </c>
      <c r="AH173" s="1">
        <v>0.98789418047921795</v>
      </c>
      <c r="AI173" s="1">
        <v>19.170058050404101</v>
      </c>
      <c r="AJ173" s="1">
        <v>443.33739280700598</v>
      </c>
      <c r="AK173" s="1">
        <v>193.886090993881</v>
      </c>
      <c r="AL173" s="7"/>
      <c r="AM173" s="1"/>
      <c r="AN173" s="1"/>
      <c r="AO173" s="8"/>
      <c r="AP173" s="1"/>
      <c r="AQ173" s="1"/>
      <c r="AR173" s="1"/>
      <c r="AS173" s="8"/>
      <c r="AT173" s="7">
        <v>0.64</v>
      </c>
      <c r="AU173" s="1">
        <v>0.72862723643300598</v>
      </c>
      <c r="AV173" s="1">
        <v>31.520711280778301</v>
      </c>
      <c r="AW173" s="1">
        <v>0.983274921136013</v>
      </c>
      <c r="AX173" s="1">
        <v>17.766318257207502</v>
      </c>
      <c r="AY173" s="1">
        <v>34.405538402545503</v>
      </c>
      <c r="AZ173" s="1">
        <v>0.98855238057508199</v>
      </c>
      <c r="BA173" s="1">
        <v>19.4128481708942</v>
      </c>
      <c r="BB173" s="1">
        <v>197.150276184082</v>
      </c>
      <c r="BC173" s="1">
        <v>133.87691116332999</v>
      </c>
      <c r="BD173" s="7"/>
      <c r="BE173" s="1"/>
      <c r="BF173" s="1"/>
      <c r="BG173" s="8"/>
      <c r="BH173" s="1"/>
      <c r="BI173" s="1"/>
      <c r="BJ173" s="1"/>
      <c r="BK173" s="8"/>
    </row>
    <row r="174" spans="1:63">
      <c r="A174" s="49"/>
      <c r="B174" s="7" t="s">
        <v>18</v>
      </c>
      <c r="C174" s="17">
        <v>0.5</v>
      </c>
      <c r="D174" s="7">
        <v>35</v>
      </c>
      <c r="E174" s="1">
        <v>0.42296586729886598</v>
      </c>
      <c r="F174" s="1">
        <v>31.090611362212599</v>
      </c>
      <c r="G174" s="1">
        <v>0.94224657122691002</v>
      </c>
      <c r="H174" s="1">
        <v>12.384222269677901</v>
      </c>
      <c r="I174" s="1">
        <v>34.078039306106596</v>
      </c>
      <c r="J174" s="1">
        <v>0.95829213588470197</v>
      </c>
      <c r="K174" s="8">
        <v>13.797820500652501</v>
      </c>
      <c r="L174" s="7">
        <v>32</v>
      </c>
      <c r="M174" s="1">
        <v>0.46522025970961001</v>
      </c>
      <c r="N174" s="1">
        <v>32.114077549286499</v>
      </c>
      <c r="O174" s="1">
        <v>0.955684943056053</v>
      </c>
      <c r="P174" s="1">
        <v>13.5344868829973</v>
      </c>
      <c r="Q174" s="1">
        <v>35.094572057307701</v>
      </c>
      <c r="R174" s="1">
        <v>0.96657619685654905</v>
      </c>
      <c r="S174" s="8">
        <v>14.7594413522532</v>
      </c>
      <c r="T174" s="7"/>
      <c r="U174" s="1"/>
      <c r="V174" s="1"/>
      <c r="W174" s="8"/>
      <c r="X174" s="7"/>
      <c r="Y174" s="1"/>
      <c r="Z174" s="1"/>
      <c r="AA174" s="8"/>
      <c r="AB174" s="7">
        <v>32</v>
      </c>
      <c r="AC174" s="1">
        <v>0.65669951029559204</v>
      </c>
      <c r="AD174" s="1">
        <v>33.288477453692003</v>
      </c>
      <c r="AE174" s="1">
        <v>0.96937731298206198</v>
      </c>
      <c r="AF174" s="1">
        <v>15.1395670436722</v>
      </c>
      <c r="AG174" s="1">
        <v>36.320883601101002</v>
      </c>
      <c r="AH174" s="1">
        <v>0.978721611517825</v>
      </c>
      <c r="AI174" s="1">
        <v>16.7206126640523</v>
      </c>
      <c r="AJ174" s="1">
        <v>506.07160735130299</v>
      </c>
      <c r="AK174" s="1">
        <v>275.54077458381602</v>
      </c>
      <c r="AL174" s="7"/>
      <c r="AM174" s="1"/>
      <c r="AN174" s="1"/>
      <c r="AO174" s="8"/>
      <c r="AP174" s="1"/>
      <c r="AQ174" s="1"/>
      <c r="AR174" s="1"/>
      <c r="AS174" s="8"/>
      <c r="AT174" s="7">
        <v>0.32</v>
      </c>
      <c r="AU174" s="1">
        <v>0.57338718472708605</v>
      </c>
      <c r="AV174" s="1">
        <v>31.045129888891601</v>
      </c>
      <c r="AW174" s="1">
        <v>0.97904273748801596</v>
      </c>
      <c r="AX174" s="1">
        <v>16.786654465730098</v>
      </c>
      <c r="AY174" s="1">
        <v>33.919652844413697</v>
      </c>
      <c r="AZ174" s="1">
        <v>0.98506490614354703</v>
      </c>
      <c r="BA174" s="1">
        <v>18.257920438190499</v>
      </c>
      <c r="BB174" s="1">
        <v>309.55645132064802</v>
      </c>
      <c r="BC174" s="1">
        <v>153.92456364631599</v>
      </c>
      <c r="BD174" s="7"/>
      <c r="BE174" s="1"/>
      <c r="BF174" s="1"/>
      <c r="BG174" s="8"/>
      <c r="BH174" s="1"/>
      <c r="BI174" s="1"/>
      <c r="BJ174" s="1"/>
      <c r="BK174" s="8"/>
    </row>
    <row r="175" spans="1:63">
      <c r="A175" s="49"/>
      <c r="B175" s="7" t="s">
        <v>18</v>
      </c>
      <c r="C175" s="17">
        <v>0.25</v>
      </c>
      <c r="D175" s="7">
        <v>39</v>
      </c>
      <c r="E175" s="1">
        <v>0.21976160209684301</v>
      </c>
      <c r="F175" s="1">
        <v>29.333726287885899</v>
      </c>
      <c r="G175" s="1">
        <v>0.91467667958546905</v>
      </c>
      <c r="H175" s="1">
        <v>10.689322520312199</v>
      </c>
      <c r="I175" s="1">
        <v>32.257539597707201</v>
      </c>
      <c r="J175" s="1">
        <v>0.93474999907728495</v>
      </c>
      <c r="K175" s="8">
        <v>11.854194778482199</v>
      </c>
      <c r="L175" s="7">
        <v>36</v>
      </c>
      <c r="M175" s="1">
        <v>0.240986059783628</v>
      </c>
      <c r="N175" s="1">
        <v>30.217522928118701</v>
      </c>
      <c r="O175" s="1">
        <v>0.93158755738189303</v>
      </c>
      <c r="P175" s="1">
        <v>11.6486490311986</v>
      </c>
      <c r="Q175" s="1">
        <v>33.154219555032498</v>
      </c>
      <c r="R175" s="1">
        <v>0.94536246368325705</v>
      </c>
      <c r="S175" s="8">
        <v>12.625088918332301</v>
      </c>
      <c r="T175" s="7"/>
      <c r="U175" s="1"/>
      <c r="V175" s="1"/>
      <c r="W175" s="8"/>
      <c r="X175" s="7"/>
      <c r="Y175" s="1"/>
      <c r="Z175" s="1"/>
      <c r="AA175" s="8"/>
      <c r="AB175" s="7">
        <v>16</v>
      </c>
      <c r="AC175" s="1">
        <v>0.39235353118178001</v>
      </c>
      <c r="AD175" s="1">
        <v>31.574206637741199</v>
      </c>
      <c r="AE175" s="1">
        <v>0.95414424462797498</v>
      </c>
      <c r="AF175" s="1">
        <v>13.3860614811944</v>
      </c>
      <c r="AG175" s="1">
        <v>34.572397553105098</v>
      </c>
      <c r="AH175" s="1">
        <v>0.96511582485128899</v>
      </c>
      <c r="AI175" s="1">
        <v>14.5737154164279</v>
      </c>
      <c r="AJ175" s="1">
        <v>202.521519660949</v>
      </c>
      <c r="AK175" s="1">
        <v>136.89308786392201</v>
      </c>
      <c r="AL175" s="7"/>
      <c r="AM175" s="1"/>
      <c r="AN175" s="1"/>
      <c r="AO175" s="8"/>
      <c r="AP175" s="1"/>
      <c r="AQ175" s="1"/>
      <c r="AR175" s="1"/>
      <c r="AS175" s="8"/>
      <c r="AT175" s="7">
        <v>0.16</v>
      </c>
      <c r="AU175" s="1">
        <v>0.40660662915663198</v>
      </c>
      <c r="AV175" s="1">
        <v>30.2578989237755</v>
      </c>
      <c r="AW175" s="1">
        <v>0.97036209367194903</v>
      </c>
      <c r="AX175" s="1">
        <v>15.281524789076199</v>
      </c>
      <c r="AY175" s="1">
        <v>33.119807940422099</v>
      </c>
      <c r="AZ175" s="1">
        <v>0.97745522203134405</v>
      </c>
      <c r="BA175" s="1">
        <v>16.469540374681799</v>
      </c>
      <c r="BB175" s="1">
        <v>196.42592716217001</v>
      </c>
      <c r="BC175" s="1">
        <v>143.90614891052201</v>
      </c>
      <c r="BD175" s="7"/>
      <c r="BE175" s="1"/>
      <c r="BF175" s="1"/>
      <c r="BG175" s="8"/>
      <c r="BH175" s="1"/>
      <c r="BI175" s="1"/>
      <c r="BJ175" s="1"/>
      <c r="BK175" s="8"/>
    </row>
    <row r="176" spans="1:63">
      <c r="A176" s="49"/>
      <c r="B176" s="7" t="s">
        <v>18</v>
      </c>
      <c r="C176" s="17">
        <v>0.12</v>
      </c>
      <c r="D176" s="7">
        <v>43</v>
      </c>
      <c r="E176" s="1">
        <v>0.108572419576018</v>
      </c>
      <c r="F176" s="1">
        <v>27.6803173498554</v>
      </c>
      <c r="G176" s="1">
        <v>0.87749563998990199</v>
      </c>
      <c r="H176" s="1">
        <v>9.1184845420042802</v>
      </c>
      <c r="I176" s="1">
        <v>30.5607736124471</v>
      </c>
      <c r="J176" s="1">
        <v>0.90117490453807803</v>
      </c>
      <c r="K176" s="8">
        <v>10.0513275747003</v>
      </c>
      <c r="L176" s="7">
        <v>41</v>
      </c>
      <c r="M176" s="1">
        <v>0.10348693138238201</v>
      </c>
      <c r="N176" s="1">
        <v>28.157190043917598</v>
      </c>
      <c r="O176" s="1">
        <v>0.891661815561414</v>
      </c>
      <c r="P176" s="1">
        <v>9.6521844671550294</v>
      </c>
      <c r="Q176" s="1">
        <v>31.0504118805197</v>
      </c>
      <c r="R176" s="1">
        <v>0.90918269852382605</v>
      </c>
      <c r="S176" s="8">
        <v>10.418314067669</v>
      </c>
      <c r="T176" s="7"/>
      <c r="U176" s="1"/>
      <c r="V176" s="1"/>
      <c r="W176" s="8"/>
      <c r="X176" s="7"/>
      <c r="Y176" s="1"/>
      <c r="Z176" s="1"/>
      <c r="AA176" s="8"/>
      <c r="AB176" s="7">
        <v>8</v>
      </c>
      <c r="AC176" s="1">
        <v>0.24235773273474601</v>
      </c>
      <c r="AD176" s="1">
        <v>30.151627223607701</v>
      </c>
      <c r="AE176" s="1">
        <v>0.93640636493291896</v>
      </c>
      <c r="AF176" s="1">
        <v>11.965863496593499</v>
      </c>
      <c r="AG176" s="1">
        <v>33.122622546900303</v>
      </c>
      <c r="AH176" s="1">
        <v>0.94889197955069904</v>
      </c>
      <c r="AI176" s="1">
        <v>12.9151094010903</v>
      </c>
      <c r="AJ176" s="1">
        <v>187.14514231681801</v>
      </c>
      <c r="AK176" s="1">
        <v>136.534229516983</v>
      </c>
      <c r="AL176" s="7"/>
      <c r="AM176" s="1"/>
      <c r="AN176" s="1"/>
      <c r="AO176" s="8"/>
      <c r="AP176" s="1"/>
      <c r="AQ176" s="1"/>
      <c r="AR176" s="1"/>
      <c r="AS176" s="8"/>
      <c r="AT176" s="7">
        <v>0.08</v>
      </c>
      <c r="AU176" s="1">
        <v>0.25564536747497302</v>
      </c>
      <c r="AV176" s="1">
        <v>29.120579229471002</v>
      </c>
      <c r="AW176" s="1">
        <v>0.95468654612079695</v>
      </c>
      <c r="AX176" s="1">
        <v>13.4377283379276</v>
      </c>
      <c r="AY176" s="1">
        <v>31.9729937855159</v>
      </c>
      <c r="AZ176" s="1">
        <v>0.96353903026918997</v>
      </c>
      <c r="BA176" s="1">
        <v>14.381717848544</v>
      </c>
      <c r="BB176" s="1">
        <v>180.17082858085601</v>
      </c>
      <c r="BC176" s="1">
        <v>135.24660897254901</v>
      </c>
      <c r="BD176" s="7"/>
      <c r="BE176" s="1"/>
      <c r="BF176" s="1"/>
      <c r="BG176" s="8"/>
      <c r="BH176" s="1"/>
      <c r="BI176" s="1"/>
      <c r="BJ176" s="1"/>
      <c r="BK176" s="8"/>
    </row>
    <row r="177" spans="1:63">
      <c r="A177" s="49"/>
      <c r="B177" s="7" t="s">
        <v>18</v>
      </c>
      <c r="C177" s="17">
        <v>0.06</v>
      </c>
      <c r="D177" s="7">
        <v>47</v>
      </c>
      <c r="E177" s="1">
        <v>5.1486366407600702E-2</v>
      </c>
      <c r="F177" s="1">
        <v>26.1494080870585</v>
      </c>
      <c r="G177" s="1">
        <v>0.82996318456316998</v>
      </c>
      <c r="H177" s="1">
        <v>7.6945703738618603</v>
      </c>
      <c r="I177" s="1">
        <v>29.017823597250199</v>
      </c>
      <c r="J177" s="1">
        <v>0.85451640943932206</v>
      </c>
      <c r="K177" s="8">
        <v>8.3718598902063697</v>
      </c>
      <c r="L177" s="7">
        <v>45</v>
      </c>
      <c r="M177" s="1">
        <v>4.9777138903340998E-2</v>
      </c>
      <c r="N177" s="1">
        <v>26.6242162472678</v>
      </c>
      <c r="O177" s="1">
        <v>0.84772953369580895</v>
      </c>
      <c r="P177" s="1">
        <v>8.1738432230353499</v>
      </c>
      <c r="Q177" s="1">
        <v>29.510707795468399</v>
      </c>
      <c r="R177" s="1">
        <v>0.86627288734232899</v>
      </c>
      <c r="S177" s="8">
        <v>8.7378053227519104</v>
      </c>
      <c r="T177" s="7"/>
      <c r="U177" s="1"/>
      <c r="V177" s="1"/>
      <c r="W177" s="8"/>
      <c r="X177" s="7"/>
      <c r="Y177" s="1"/>
      <c r="Z177" s="1"/>
      <c r="AA177" s="8"/>
      <c r="AB177" s="7">
        <v>4</v>
      </c>
      <c r="AC177" s="1">
        <v>0.154609282392632</v>
      </c>
      <c r="AD177" s="1">
        <v>28.941030795282401</v>
      </c>
      <c r="AE177" s="1">
        <v>0.91565342830754604</v>
      </c>
      <c r="AF177" s="1">
        <v>10.7393256482717</v>
      </c>
      <c r="AG177" s="1">
        <v>31.898162345127002</v>
      </c>
      <c r="AH177" s="1">
        <v>0.9296657863619</v>
      </c>
      <c r="AI177" s="1">
        <v>11.5283336374741</v>
      </c>
      <c r="AJ177" s="1">
        <v>178.697869062423</v>
      </c>
      <c r="AK177" s="1">
        <v>131.839484214782</v>
      </c>
      <c r="AL177" s="7"/>
      <c r="AM177" s="1"/>
      <c r="AN177" s="1"/>
      <c r="AO177" s="8"/>
      <c r="AP177" s="1"/>
      <c r="AQ177" s="1"/>
      <c r="AR177" s="1"/>
      <c r="AS177" s="8"/>
      <c r="AT177" s="7">
        <v>0.04</v>
      </c>
      <c r="AU177" s="1">
        <v>0.14823865536001901</v>
      </c>
      <c r="AV177" s="1">
        <v>27.871003974841202</v>
      </c>
      <c r="AW177" s="1">
        <v>0.93285385737211501</v>
      </c>
      <c r="AX177" s="1">
        <v>11.7297893137266</v>
      </c>
      <c r="AY177" s="1">
        <v>30.6786693755977</v>
      </c>
      <c r="AZ177" s="1">
        <v>0.94341814381144495</v>
      </c>
      <c r="BA177" s="1">
        <v>12.4732280945549</v>
      </c>
      <c r="BB177" s="1">
        <v>188.69640946388199</v>
      </c>
      <c r="BC177" s="1">
        <v>147.30516099929801</v>
      </c>
      <c r="BD177" s="7"/>
      <c r="BE177" s="1"/>
      <c r="BF177" s="1"/>
      <c r="BG177" s="8"/>
      <c r="BH177" s="1"/>
      <c r="BI177" s="1"/>
      <c r="BJ177" s="1"/>
      <c r="BK177" s="8"/>
    </row>
    <row r="178" spans="1:63">
      <c r="A178" s="49"/>
      <c r="B178" s="7" t="s">
        <v>49</v>
      </c>
      <c r="C178" s="17">
        <v>1.5</v>
      </c>
      <c r="D178" s="7">
        <v>20</v>
      </c>
      <c r="E178" s="1">
        <v>1.35605612408058</v>
      </c>
      <c r="F178" s="1">
        <v>44.196687835547301</v>
      </c>
      <c r="G178" s="1">
        <v>0.997357143143773</v>
      </c>
      <c r="H178" s="1">
        <v>25.779263587126</v>
      </c>
      <c r="I178" s="1">
        <v>47.385363305319899</v>
      </c>
      <c r="J178" s="1">
        <v>0.99829416379123703</v>
      </c>
      <c r="K178" s="8">
        <v>27.680626713195799</v>
      </c>
      <c r="L178" s="7">
        <v>17</v>
      </c>
      <c r="M178" s="1">
        <v>1.373923355719</v>
      </c>
      <c r="N178" s="1">
        <v>44.790264270304903</v>
      </c>
      <c r="O178" s="1">
        <v>0.99767884198548096</v>
      </c>
      <c r="P178" s="1">
        <v>26.342952936252299</v>
      </c>
      <c r="Q178" s="1">
        <v>48.093426090876903</v>
      </c>
      <c r="R178" s="1">
        <v>0.99849201258700904</v>
      </c>
      <c r="S178" s="8">
        <v>28.2160228346062</v>
      </c>
      <c r="T178" s="13">
        <f>bdrate(E178:E181,F178:F181,M178:M181,N178:N181)</f>
        <v>-0.18815160227646399</v>
      </c>
      <c r="U178" s="12">
        <f>bdrate(E178:E181,H178:H181,M178:M181,P178:P181)</f>
        <v>-0.18133526836139813</v>
      </c>
      <c r="V178" s="12">
        <f>bdrate(E178:E181,I178:I181,M178:M181,Q178:Q181)</f>
        <v>-0.19354862867147737</v>
      </c>
      <c r="W178" s="14">
        <f>bdrate(E178:E181,K178:K181,M178:M181,S178:S181)</f>
        <v>-0.15100529436222321</v>
      </c>
      <c r="X178" s="13">
        <f>bdrate(E180:E183,F180:F183,M180:M183,N180:N183)</f>
        <v>-0.28074820393810707</v>
      </c>
      <c r="Y178" s="12">
        <f>bdrate(E180:E183,H180:H183,M180:M183,P180:P183)</f>
        <v>-0.26468260196625881</v>
      </c>
      <c r="Z178" s="12">
        <f>bdrate(E180:E183,I180:I183,M180:M183,Q180:Q183)</f>
        <v>-0.31459753179754713</v>
      </c>
      <c r="AA178" s="14">
        <f>bdrate(E180:E183,K180:K183,M180:M183,S180:S183)</f>
        <v>-0.22710596221919255</v>
      </c>
      <c r="AB178" s="7"/>
      <c r="AC178" s="1"/>
      <c r="AD178" s="1"/>
      <c r="AE178" s="1"/>
      <c r="AF178" s="1"/>
      <c r="AG178" s="1"/>
      <c r="AH178" s="1"/>
      <c r="AI178" s="1"/>
      <c r="AJ178" s="1"/>
      <c r="AK178" s="1"/>
      <c r="AL178" s="13" t="e">
        <f>bdrate(E178:E181,F178:F181,AC178:AC181,AD178:AD181)</f>
        <v>#VALUE!</v>
      </c>
      <c r="AM178" s="12" t="e">
        <f>bdrate(E178:E181,H178:H181,AC178:AC181,AF178:AF181)</f>
        <v>#VALUE!</v>
      </c>
      <c r="AN178" s="12" t="e">
        <f>bdrate(E178:E181,I178:I181,AC178:AC181,AG178:AG181)</f>
        <v>#VALUE!</v>
      </c>
      <c r="AO178" s="14" t="e">
        <f>bdrate(E178:E181,K178:K181,AC178:AC181,AI178:AI181)</f>
        <v>#VALUE!</v>
      </c>
      <c r="AP178" s="12">
        <f>bdrate(E180:E183,F180:F183,AC180:AC183,AD180:AD183)</f>
        <v>-3.2600187635942079E-2</v>
      </c>
      <c r="AQ178" s="12">
        <f>bdrate(E180:E183,H180:H183,AC180:AC183,AF180:AF183)</f>
        <v>-0.13722043728398303</v>
      </c>
      <c r="AR178" s="12">
        <f>bdrate(E180:E183,I180:I183,AC180:AC183,AG180:AG183)</f>
        <v>-9.3187854565534023E-2</v>
      </c>
      <c r="AS178" s="14">
        <f>bdrate(E180:E183,K180:K183,AC180:AC183,AI180:AI183)</f>
        <v>-8.0678122523872742E-2</v>
      </c>
      <c r="AT178" s="7"/>
      <c r="AU178" s="1"/>
      <c r="AV178" s="1"/>
      <c r="AW178" s="1"/>
      <c r="AX178" s="1"/>
      <c r="AY178" s="1"/>
      <c r="AZ178" s="1"/>
      <c r="BA178" s="1"/>
      <c r="BB178" s="1"/>
      <c r="BC178" s="1"/>
      <c r="BD178" s="13" t="e">
        <f>bdrate(E178:E181,F178:F181,AU178:AU181,AV178:AV181)</f>
        <v>#VALUE!</v>
      </c>
      <c r="BE178" s="12" t="e">
        <f>bdrate(E178:E181,H178:H181,AU178:AU181,AX178:AX181)</f>
        <v>#VALUE!</v>
      </c>
      <c r="BF178" s="12" t="e">
        <f>bdrate(E178:E181,I178:I181,AU178:AU181,AY178:AY181)</f>
        <v>#VALUE!</v>
      </c>
      <c r="BG178" s="14" t="e">
        <f>bdrate(E178:E181,K178:K181,AU178:AU181,BA178:BA181)</f>
        <v>#VALUE!</v>
      </c>
      <c r="BH178" s="12">
        <f>bdrate(E180:E183,F180:F183,AU180:AU183,AV180:AV183)</f>
        <v>1.119023844118411</v>
      </c>
      <c r="BI178" s="12">
        <f>bdrate(E180:E183,H180:H183,AU180:AU183,AX180:AX183)</f>
        <v>-0.45089094712141209</v>
      </c>
      <c r="BJ178" s="12">
        <f>bdrate(E180:E183,I180:I183,AU180:AU183,AY180:AY183)</f>
        <v>0.98000019198988464</v>
      </c>
      <c r="BK178" s="14">
        <f>bdrate(E180:E183,K180:K183,AU180:AU183,BA180:BA183)</f>
        <v>-0.42445390367861424</v>
      </c>
    </row>
    <row r="179" spans="1:63">
      <c r="A179" s="49"/>
      <c r="B179" s="7" t="s">
        <v>18</v>
      </c>
      <c r="C179" s="17">
        <v>1</v>
      </c>
      <c r="D179" s="7">
        <v>23</v>
      </c>
      <c r="E179" s="1">
        <v>0.99452217247628105</v>
      </c>
      <c r="F179" s="1">
        <v>42.274246737721697</v>
      </c>
      <c r="G179" s="1">
        <v>0.99622863469979805</v>
      </c>
      <c r="H179" s="1">
        <v>24.235013991303301</v>
      </c>
      <c r="I179" s="1">
        <v>45.390188762111599</v>
      </c>
      <c r="J179" s="1">
        <v>0.99743573987780998</v>
      </c>
      <c r="K179" s="8">
        <v>25.9103792146926</v>
      </c>
      <c r="L179" s="7">
        <v>21</v>
      </c>
      <c r="M179" s="1">
        <v>0.90351108623814003</v>
      </c>
      <c r="N179" s="1">
        <v>42.624027198794302</v>
      </c>
      <c r="O179" s="1">
        <v>0.99644345077201202</v>
      </c>
      <c r="P179" s="1">
        <v>24.489711756360599</v>
      </c>
      <c r="Q179" s="1">
        <v>45.752488694031697</v>
      </c>
      <c r="R179" s="1">
        <v>0.99753242641006901</v>
      </c>
      <c r="S179" s="8">
        <v>26.077298865917999</v>
      </c>
      <c r="T179" s="7"/>
      <c r="U179" s="1"/>
      <c r="V179" s="1"/>
      <c r="W179" s="8"/>
      <c r="X179" s="7"/>
      <c r="Y179" s="1"/>
      <c r="Z179" s="1"/>
      <c r="AA179" s="8"/>
      <c r="AB179" s="7">
        <v>64</v>
      </c>
      <c r="AC179" s="1">
        <v>0.51243937213516599</v>
      </c>
      <c r="AD179" s="1">
        <v>38.711784917546602</v>
      </c>
      <c r="AE179" s="1">
        <v>0.99329861444388001</v>
      </c>
      <c r="AF179" s="1">
        <v>21.738353947370999</v>
      </c>
      <c r="AG179" s="1">
        <v>41.8944047582549</v>
      </c>
      <c r="AH179" s="1">
        <v>0.99471344247030602</v>
      </c>
      <c r="AI179" s="1">
        <v>22.7682703732589</v>
      </c>
      <c r="AJ179" s="1">
        <v>551.21509385108902</v>
      </c>
      <c r="AK179" s="1">
        <v>289.583189725875</v>
      </c>
      <c r="AL179" s="7"/>
      <c r="AM179" s="1"/>
      <c r="AN179" s="1"/>
      <c r="AO179" s="8"/>
      <c r="AP179" s="1"/>
      <c r="AQ179" s="1"/>
      <c r="AR179" s="1"/>
      <c r="AS179" s="8"/>
      <c r="AT179" s="7">
        <v>0.64</v>
      </c>
      <c r="AU179" s="1">
        <v>0.38620416266922503</v>
      </c>
      <c r="AV179" s="1">
        <v>33.015942802630597</v>
      </c>
      <c r="AW179" s="1">
        <v>0.99426452742398796</v>
      </c>
      <c r="AX179" s="1">
        <v>22.4143079246215</v>
      </c>
      <c r="AY179" s="1">
        <v>36.8279066154414</v>
      </c>
      <c r="AZ179" s="1">
        <v>0.99538339261687903</v>
      </c>
      <c r="BA179" s="1">
        <v>23.356770582179099</v>
      </c>
      <c r="BB179" s="1">
        <v>215.902820587158</v>
      </c>
      <c r="BC179" s="1">
        <v>143.98357295989899</v>
      </c>
      <c r="BD179" s="7"/>
      <c r="BE179" s="1"/>
      <c r="BF179" s="1"/>
      <c r="BG179" s="8"/>
      <c r="BH179" s="1"/>
      <c r="BI179" s="1"/>
      <c r="BJ179" s="1"/>
      <c r="BK179" s="8"/>
    </row>
    <row r="180" spans="1:63">
      <c r="A180" s="49"/>
      <c r="B180" s="7" t="s">
        <v>18</v>
      </c>
      <c r="C180" s="17">
        <v>0.5</v>
      </c>
      <c r="D180" s="7">
        <v>30</v>
      </c>
      <c r="E180" s="1">
        <v>0.45817010446647399</v>
      </c>
      <c r="F180" s="1">
        <v>37.847704772522597</v>
      </c>
      <c r="G180" s="1">
        <v>0.99061048538995</v>
      </c>
      <c r="H180" s="1">
        <v>20.273568579602401</v>
      </c>
      <c r="I180" s="1">
        <v>40.958045553823702</v>
      </c>
      <c r="J180" s="1">
        <v>0.99274658089359702</v>
      </c>
      <c r="K180" s="8">
        <v>21.394572280478101</v>
      </c>
      <c r="L180" s="7">
        <v>27</v>
      </c>
      <c r="M180" s="1">
        <v>0.463930417865899</v>
      </c>
      <c r="N180" s="1">
        <v>39.165898532914298</v>
      </c>
      <c r="O180" s="1">
        <v>0.99278531027628902</v>
      </c>
      <c r="P180" s="1">
        <v>21.417823415182198</v>
      </c>
      <c r="Q180" s="1">
        <v>42.302025331640998</v>
      </c>
      <c r="R180" s="1">
        <v>0.99431319641372595</v>
      </c>
      <c r="S180" s="8">
        <v>22.451317713734198</v>
      </c>
      <c r="T180" s="7"/>
      <c r="U180" s="1"/>
      <c r="V180" s="1"/>
      <c r="W180" s="8"/>
      <c r="X180" s="7"/>
      <c r="Y180" s="1"/>
      <c r="Z180" s="1"/>
      <c r="AA180" s="8"/>
      <c r="AB180" s="7">
        <v>32</v>
      </c>
      <c r="AC180" s="1">
        <v>0.36595978573712801</v>
      </c>
      <c r="AD180" s="1">
        <v>36.853475333225298</v>
      </c>
      <c r="AE180" s="1">
        <v>0.99003771293637899</v>
      </c>
      <c r="AF180" s="1">
        <v>20.016409482139501</v>
      </c>
      <c r="AG180" s="1">
        <v>40.1487776489273</v>
      </c>
      <c r="AH180" s="1">
        <v>0.99168687703446201</v>
      </c>
      <c r="AI180" s="1">
        <v>20.8023579548036</v>
      </c>
      <c r="AJ180" s="1">
        <v>539.650146484375</v>
      </c>
      <c r="AK180" s="1">
        <v>297.258229494094</v>
      </c>
      <c r="AL180" s="7"/>
      <c r="AM180" s="1"/>
      <c r="AN180" s="1"/>
      <c r="AO180" s="8"/>
      <c r="AP180" s="1"/>
      <c r="AQ180" s="1"/>
      <c r="AR180" s="1"/>
      <c r="AS180" s="8"/>
      <c r="AT180" s="7">
        <v>0.32</v>
      </c>
      <c r="AU180" s="1">
        <v>0.28140456774331002</v>
      </c>
      <c r="AV180" s="1">
        <v>31.732892516872699</v>
      </c>
      <c r="AW180" s="1">
        <v>0.99186257506404596</v>
      </c>
      <c r="AX180" s="1">
        <v>20.895130045744601</v>
      </c>
      <c r="AY180" s="1">
        <v>35.556801555241897</v>
      </c>
      <c r="AZ180" s="1">
        <v>0.99325554630187896</v>
      </c>
      <c r="BA180" s="1">
        <v>21.710532224932201</v>
      </c>
      <c r="BB180" s="1">
        <v>227.366099119186</v>
      </c>
      <c r="BC180" s="1">
        <v>160.228009700775</v>
      </c>
      <c r="BD180" s="7"/>
      <c r="BE180" s="1"/>
      <c r="BF180" s="1"/>
      <c r="BG180" s="8"/>
      <c r="BH180" s="1"/>
      <c r="BI180" s="1"/>
      <c r="BJ180" s="1"/>
      <c r="BK180" s="8"/>
    </row>
    <row r="181" spans="1:63">
      <c r="A181" s="49"/>
      <c r="B181" s="7" t="s">
        <v>18</v>
      </c>
      <c r="C181" s="17">
        <v>0.25</v>
      </c>
      <c r="D181" s="7">
        <v>36</v>
      </c>
      <c r="E181" s="1">
        <v>0.22219379597057801</v>
      </c>
      <c r="F181" s="1">
        <v>34.141243266005702</v>
      </c>
      <c r="G181" s="1">
        <v>0.97927405516850796</v>
      </c>
      <c r="H181" s="1">
        <v>16.8348566218902</v>
      </c>
      <c r="I181" s="1">
        <v>37.355288545417103</v>
      </c>
      <c r="J181" s="1">
        <v>0.98275005588258102</v>
      </c>
      <c r="K181" s="8">
        <v>17.632123075203399</v>
      </c>
      <c r="L181" s="7">
        <v>33</v>
      </c>
      <c r="M181" s="1">
        <v>0.22816464129623701</v>
      </c>
      <c r="N181" s="1">
        <v>35.728512025062798</v>
      </c>
      <c r="O181" s="1">
        <v>0.98497524743377196</v>
      </c>
      <c r="P181" s="1">
        <v>18.231926714055501</v>
      </c>
      <c r="Q181" s="1">
        <v>39.0487988540253</v>
      </c>
      <c r="R181" s="1">
        <v>0.98715349411636599</v>
      </c>
      <c r="S181" s="8">
        <v>18.912149798662998</v>
      </c>
      <c r="T181" s="7"/>
      <c r="U181" s="1"/>
      <c r="V181" s="1"/>
      <c r="W181" s="8"/>
      <c r="X181" s="7"/>
      <c r="Y181" s="1"/>
      <c r="Z181" s="1"/>
      <c r="AA181" s="8"/>
      <c r="AB181" s="7">
        <v>16</v>
      </c>
      <c r="AC181" s="1">
        <v>0.25028581707706998</v>
      </c>
      <c r="AD181" s="1">
        <v>34.890219635971597</v>
      </c>
      <c r="AE181" s="1">
        <v>0.98437132024613305</v>
      </c>
      <c r="AF181" s="1">
        <v>18.0607770783033</v>
      </c>
      <c r="AG181" s="1">
        <v>38.3173030197363</v>
      </c>
      <c r="AH181" s="1">
        <v>0.98641020710328298</v>
      </c>
      <c r="AI181" s="1">
        <v>18.667871617000699</v>
      </c>
      <c r="AJ181" s="1">
        <v>217.32710790634101</v>
      </c>
      <c r="AK181" s="1">
        <v>154.82346892356799</v>
      </c>
      <c r="AL181" s="7"/>
      <c r="AM181" s="1"/>
      <c r="AN181" s="1"/>
      <c r="AO181" s="8"/>
      <c r="AP181" s="1"/>
      <c r="AQ181" s="1"/>
      <c r="AR181" s="1"/>
      <c r="AS181" s="8"/>
      <c r="AT181" s="7">
        <v>0.16</v>
      </c>
      <c r="AU181" s="1">
        <v>0.19804458479906101</v>
      </c>
      <c r="AV181" s="1">
        <v>30.255814893167098</v>
      </c>
      <c r="AW181" s="1">
        <v>0.98783426436580402</v>
      </c>
      <c r="AX181" s="1">
        <v>19.1486162514563</v>
      </c>
      <c r="AY181" s="1">
        <v>34.008219846504097</v>
      </c>
      <c r="AZ181" s="1">
        <v>0.98968314487999198</v>
      </c>
      <c r="BA181" s="1">
        <v>19.8645266822958</v>
      </c>
      <c r="BB181" s="1">
        <v>290.59676098823502</v>
      </c>
      <c r="BC181" s="1">
        <v>167.469878196716</v>
      </c>
      <c r="BD181" s="7"/>
      <c r="BE181" s="1"/>
      <c r="BF181" s="1"/>
      <c r="BG181" s="8"/>
      <c r="BH181" s="1"/>
      <c r="BI181" s="1"/>
      <c r="BJ181" s="1"/>
      <c r="BK181" s="8"/>
    </row>
    <row r="182" spans="1:63">
      <c r="A182" s="49"/>
      <c r="B182" s="7" t="s">
        <v>18</v>
      </c>
      <c r="C182" s="17">
        <v>0.12</v>
      </c>
      <c r="D182" s="7">
        <v>41</v>
      </c>
      <c r="E182" s="1">
        <v>0.115428792239633</v>
      </c>
      <c r="F182" s="1">
        <v>31.1330796225059</v>
      </c>
      <c r="G182" s="1">
        <v>0.96204983606917605</v>
      </c>
      <c r="H182" s="1">
        <v>14.207863437711699</v>
      </c>
      <c r="I182" s="1">
        <v>34.462262364475698</v>
      </c>
      <c r="J182" s="1">
        <v>0.96712364071800005</v>
      </c>
      <c r="K182" s="8">
        <v>14.8311628210772</v>
      </c>
      <c r="L182" s="7">
        <v>38</v>
      </c>
      <c r="M182" s="1">
        <v>0.119717380876239</v>
      </c>
      <c r="N182" s="1">
        <v>32.857190467366202</v>
      </c>
      <c r="O182" s="1">
        <v>0.97242626039747704</v>
      </c>
      <c r="P182" s="1">
        <v>15.595043300638199</v>
      </c>
      <c r="Q182" s="1">
        <v>36.3523898121503</v>
      </c>
      <c r="R182" s="1">
        <v>0.97541219664082701</v>
      </c>
      <c r="S182" s="8">
        <v>16.092802688051101</v>
      </c>
      <c r="T182" s="7"/>
      <c r="U182" s="1"/>
      <c r="V182" s="1"/>
      <c r="W182" s="8"/>
      <c r="X182" s="7"/>
      <c r="Y182" s="1"/>
      <c r="Z182" s="1"/>
      <c r="AA182" s="8"/>
      <c r="AB182" s="7">
        <v>8</v>
      </c>
      <c r="AC182" s="1">
        <v>0.173289761219486</v>
      </c>
      <c r="AD182" s="1">
        <v>33.120030320899197</v>
      </c>
      <c r="AE182" s="1">
        <v>0.97688051235265105</v>
      </c>
      <c r="AF182" s="1">
        <v>16.360217945765498</v>
      </c>
      <c r="AG182" s="1">
        <v>36.7430433289395</v>
      </c>
      <c r="AH182" s="1">
        <v>0.97910388630916401</v>
      </c>
      <c r="AI182" s="1">
        <v>16.799344775045402</v>
      </c>
      <c r="AJ182" s="1">
        <v>201.48058724403299</v>
      </c>
      <c r="AK182" s="1">
        <v>150.738179206848</v>
      </c>
      <c r="AL182" s="7"/>
      <c r="AM182" s="1"/>
      <c r="AN182" s="1"/>
      <c r="AO182" s="8"/>
      <c r="AP182" s="1"/>
      <c r="AQ182" s="1"/>
      <c r="AR182" s="1"/>
      <c r="AS182" s="8"/>
      <c r="AT182" s="7">
        <v>0.08</v>
      </c>
      <c r="AU182" s="1">
        <v>0.140369496855345</v>
      </c>
      <c r="AV182" s="1">
        <v>28.871911054971299</v>
      </c>
      <c r="AW182" s="1">
        <v>0.98207271232736404</v>
      </c>
      <c r="AX182" s="1">
        <v>17.464854124965001</v>
      </c>
      <c r="AY182" s="1">
        <v>32.343194020764102</v>
      </c>
      <c r="AZ182" s="1">
        <v>0.98448196120596299</v>
      </c>
      <c r="BA182" s="1">
        <v>18.091631667600499</v>
      </c>
      <c r="BB182" s="1">
        <v>197.65956258773801</v>
      </c>
      <c r="BC182" s="1">
        <v>142.87369537353501</v>
      </c>
      <c r="BD182" s="7"/>
      <c r="BE182" s="1"/>
      <c r="BF182" s="1"/>
      <c r="BG182" s="8"/>
      <c r="BH182" s="1"/>
      <c r="BI182" s="1"/>
      <c r="BJ182" s="1"/>
      <c r="BK182" s="8"/>
    </row>
    <row r="183" spans="1:63">
      <c r="A183" s="49"/>
      <c r="B183" s="7" t="s">
        <v>18</v>
      </c>
      <c r="C183" s="17">
        <v>0.06</v>
      </c>
      <c r="D183" s="7">
        <v>46</v>
      </c>
      <c r="E183" s="1">
        <v>5.6304631702377102E-2</v>
      </c>
      <c r="F183" s="1">
        <v>28.260239721227101</v>
      </c>
      <c r="G183" s="1">
        <v>0.93346349346653501</v>
      </c>
      <c r="H183" s="1">
        <v>11.7694000528667</v>
      </c>
      <c r="I183" s="1">
        <v>31.7512128978553</v>
      </c>
      <c r="J183" s="1">
        <v>0.940135119231848</v>
      </c>
      <c r="K183" s="8">
        <v>12.2282787813624</v>
      </c>
      <c r="L183" s="7">
        <v>44</v>
      </c>
      <c r="M183" s="1">
        <v>5.33105479160004E-2</v>
      </c>
      <c r="N183" s="1">
        <v>29.549156633281001</v>
      </c>
      <c r="O183" s="1">
        <v>0.94711669099353402</v>
      </c>
      <c r="P183" s="1">
        <v>12.7668137806312</v>
      </c>
      <c r="Q183" s="1">
        <v>33.262640099557501</v>
      </c>
      <c r="R183" s="1">
        <v>0.95143147408087303</v>
      </c>
      <c r="S183" s="8">
        <v>13.136450773979499</v>
      </c>
      <c r="T183" s="7"/>
      <c r="U183" s="1"/>
      <c r="V183" s="1"/>
      <c r="W183" s="8"/>
      <c r="X183" s="7"/>
      <c r="Y183" s="1"/>
      <c r="Z183" s="1"/>
      <c r="AA183" s="8"/>
      <c r="AB183" s="7">
        <v>4</v>
      </c>
      <c r="AC183" s="1">
        <v>0.12019973883381301</v>
      </c>
      <c r="AD183" s="1">
        <v>31.382954841521698</v>
      </c>
      <c r="AE183" s="1">
        <v>0.96678028165265995</v>
      </c>
      <c r="AF183" s="1">
        <v>14.786040540253399</v>
      </c>
      <c r="AG183" s="1">
        <v>35.1339712553388</v>
      </c>
      <c r="AH183" s="1">
        <v>0.96950840733621602</v>
      </c>
      <c r="AI183" s="1">
        <v>15.1581989058941</v>
      </c>
      <c r="AJ183" s="1">
        <v>192.24998164176901</v>
      </c>
      <c r="AK183" s="1">
        <v>142.90504908561701</v>
      </c>
      <c r="AL183" s="7"/>
      <c r="AM183" s="1"/>
      <c r="AN183" s="1"/>
      <c r="AO183" s="8"/>
      <c r="AP183" s="1"/>
      <c r="AQ183" s="1"/>
      <c r="AR183" s="1"/>
      <c r="AS183" s="8"/>
      <c r="AT183" s="7">
        <v>0.04</v>
      </c>
      <c r="AU183" s="1">
        <v>9.8121868670717399E-2</v>
      </c>
      <c r="AV183" s="1">
        <v>27.563296101513998</v>
      </c>
      <c r="AW183" s="1">
        <v>0.97297579830603897</v>
      </c>
      <c r="AX183" s="1">
        <v>15.6824712642288</v>
      </c>
      <c r="AY183" s="1">
        <v>30.894872023087</v>
      </c>
      <c r="AZ183" s="1">
        <v>0.97637387477522197</v>
      </c>
      <c r="BA183" s="1">
        <v>16.2660749848961</v>
      </c>
      <c r="BB183" s="1">
        <v>292.12583231925902</v>
      </c>
      <c r="BC183" s="1">
        <v>181.57672977447501</v>
      </c>
      <c r="BD183" s="7"/>
      <c r="BE183" s="1"/>
      <c r="BF183" s="1"/>
      <c r="BG183" s="8"/>
      <c r="BH183" s="1"/>
      <c r="BI183" s="1"/>
      <c r="BJ183" s="1"/>
      <c r="BK183" s="8"/>
    </row>
    <row r="184" spans="1:63">
      <c r="A184" s="49"/>
      <c r="B184" s="7" t="s">
        <v>50</v>
      </c>
      <c r="C184" s="17">
        <v>1.5</v>
      </c>
      <c r="D184" s="7">
        <v>23</v>
      </c>
      <c r="E184" s="1">
        <v>1.4626110777182699</v>
      </c>
      <c r="F184" s="1">
        <v>41.368107686905397</v>
      </c>
      <c r="G184" s="1">
        <v>0.99223855713865705</v>
      </c>
      <c r="H184" s="1">
        <v>21.100575353822499</v>
      </c>
      <c r="I184" s="1">
        <v>44.596945050184402</v>
      </c>
      <c r="J184" s="1">
        <v>0.99427824556198197</v>
      </c>
      <c r="K184" s="8">
        <v>22.424707848569302</v>
      </c>
      <c r="L184" s="7">
        <v>21</v>
      </c>
      <c r="M184" s="1">
        <v>1.3957651369024799</v>
      </c>
      <c r="N184" s="1">
        <v>41.463976910929397</v>
      </c>
      <c r="O184" s="1">
        <v>0.99252384700321294</v>
      </c>
      <c r="P184" s="1">
        <v>21.2632181952164</v>
      </c>
      <c r="Q184" s="1">
        <v>44.617451446704401</v>
      </c>
      <c r="R184" s="1">
        <v>0.99448481763844299</v>
      </c>
      <c r="S184" s="8">
        <v>22.584401228777701</v>
      </c>
      <c r="T184" s="13">
        <f>bdrate(E184:E187,F184:F187,M184:M187,N184:N187)</f>
        <v>-8.6527712171827864E-2</v>
      </c>
      <c r="U184" s="12">
        <f>bdrate(E184:E187,H184:H187,M184:M187,P184:P187)</f>
        <v>-0.10527925784461578</v>
      </c>
      <c r="V184" s="12">
        <f>bdrate(E184:E187,I184:I187,M184:M187,Q184:Q187)</f>
        <v>-6.8242226922192617E-2</v>
      </c>
      <c r="W184" s="14">
        <f>bdrate(E184:E187,K184:K187,M184:M187,S184:S187)</f>
        <v>-9.4084239900436795E-2</v>
      </c>
      <c r="X184" s="13">
        <f>bdrate(E186:E189,F186:F189,M186:M189,N186:N189)</f>
        <v>-0.13543261848797228</v>
      </c>
      <c r="Y184" s="12">
        <f>bdrate(E186:E189,H186:H189,M186:M189,P186:P189)</f>
        <v>-0.16477491422585477</v>
      </c>
      <c r="Z184" s="12">
        <f>bdrate(E186:E189,I186:I189,M186:M189,Q186:Q189)</f>
        <v>-0.12773883227867955</v>
      </c>
      <c r="AA184" s="14">
        <f>bdrate(E186:E189,K186:K189,M186:M189,S186:S189)</f>
        <v>-0.14045673146588811</v>
      </c>
      <c r="AB184" s="7"/>
      <c r="AC184" s="1"/>
      <c r="AD184" s="1"/>
      <c r="AE184" s="1"/>
      <c r="AF184" s="1"/>
      <c r="AG184" s="1"/>
      <c r="AH184" s="1"/>
      <c r="AI184" s="1"/>
      <c r="AJ184" s="1"/>
      <c r="AK184" s="1"/>
      <c r="AL184" s="13" t="e">
        <f>bdrate(E184:E187,F184:F187,AC184:AC187,AD184:AD187)</f>
        <v>#VALUE!</v>
      </c>
      <c r="AM184" s="12" t="e">
        <f>bdrate(E184:E187,H184:H187,AC184:AC187,AF184:AF187)</f>
        <v>#VALUE!</v>
      </c>
      <c r="AN184" s="12" t="e">
        <f>bdrate(E184:E187,I184:I187,AC184:AC187,AG184:AG187)</f>
        <v>#VALUE!</v>
      </c>
      <c r="AO184" s="14" t="e">
        <f>bdrate(E184:E187,K184:K187,AC184:AC187,AI184:AI187)</f>
        <v>#VALUE!</v>
      </c>
      <c r="AP184" s="12">
        <f>bdrate(E186:E189,F186:F189,AC186:AC189,AD186:AD189)</f>
        <v>-6.6268290082514891E-2</v>
      </c>
      <c r="AQ184" s="12">
        <f>bdrate(E186:E189,H186:H189,AC186:AC189,AF186:AF189)</f>
        <v>-0.19362674870558161</v>
      </c>
      <c r="AR184" s="12">
        <f>bdrate(E186:E189,I186:I189,AC186:AC189,AG186:AG189)</f>
        <v>-0.24149217813211477</v>
      </c>
      <c r="AS184" s="14">
        <f>bdrate(E186:E189,K186:K189,AC186:AC189,AI186:AI189)</f>
        <v>-0.11748608458478316</v>
      </c>
      <c r="AT184" s="7"/>
      <c r="AU184" s="1"/>
      <c r="AV184" s="1"/>
      <c r="AW184" s="1"/>
      <c r="AX184" s="1"/>
      <c r="AY184" s="1"/>
      <c r="AZ184" s="1"/>
      <c r="BA184" s="1"/>
      <c r="BB184" s="1"/>
      <c r="BC184" s="1"/>
      <c r="BD184" s="13" t="e">
        <f>bdrate(E184:E187,F184:F187,AU184:AU187,AV184:AV187)</f>
        <v>#VALUE!</v>
      </c>
      <c r="BE184" s="12" t="e">
        <f>bdrate(E184:E187,H184:H187,AU184:AU187,AX184:AX187)</f>
        <v>#VALUE!</v>
      </c>
      <c r="BF184" s="12" t="e">
        <f>bdrate(E184:E187,I184:I187,AU184:AU187,AY184:AY187)</f>
        <v>#VALUE!</v>
      </c>
      <c r="BG184" s="14" t="e">
        <f>bdrate(E184:E187,K184:K187,AU184:AU187,BA184:BA187)</f>
        <v>#VALUE!</v>
      </c>
      <c r="BH184" s="12">
        <f>bdrate(E186:E189,F186:F189,AU186:AU189,AV186:AV189)</f>
        <v>0.76670064019195827</v>
      </c>
      <c r="BI184" s="12">
        <f>bdrate(E186:E189,H186:H189,AU186:AU189,AX186:AX189)</f>
        <v>-0.46229282683339734</v>
      </c>
      <c r="BJ184" s="12">
        <f>bdrate(E186:E189,I186:I189,AU186:AU189,AY186:AY189)</f>
        <v>1.1310338503386079</v>
      </c>
      <c r="BK184" s="14">
        <f>bdrate(E186:E189,K186:K189,AU186:AU189,BA186:BA189)</f>
        <v>-0.45383222525936606</v>
      </c>
    </row>
    <row r="185" spans="1:63">
      <c r="A185" s="49"/>
      <c r="B185" s="7" t="s">
        <v>18</v>
      </c>
      <c r="C185" s="17">
        <v>1</v>
      </c>
      <c r="D185" s="7">
        <v>26</v>
      </c>
      <c r="E185" s="1">
        <v>0.92187263297736799</v>
      </c>
      <c r="F185" s="1">
        <v>38.672099165877498</v>
      </c>
      <c r="G185" s="1">
        <v>0.985951004897618</v>
      </c>
      <c r="H185" s="1">
        <v>18.5235473889757</v>
      </c>
      <c r="I185" s="1">
        <v>42.180130649616402</v>
      </c>
      <c r="J185" s="1">
        <v>0.98838898954949495</v>
      </c>
      <c r="K185" s="8">
        <v>19.351299840526998</v>
      </c>
      <c r="L185" s="7">
        <v>24</v>
      </c>
      <c r="M185" s="1">
        <v>0.92851373492697398</v>
      </c>
      <c r="N185" s="1">
        <v>39.0926777317598</v>
      </c>
      <c r="O185" s="1">
        <v>0.98742900250649002</v>
      </c>
      <c r="P185" s="1">
        <v>19.006302602027301</v>
      </c>
      <c r="Q185" s="1">
        <v>42.467826652811802</v>
      </c>
      <c r="R185" s="1">
        <v>0.98965717524305996</v>
      </c>
      <c r="S185" s="8">
        <v>19.853608336973601</v>
      </c>
      <c r="T185" s="7"/>
      <c r="U185" s="1"/>
      <c r="V185" s="1"/>
      <c r="W185" s="8"/>
      <c r="X185" s="7"/>
      <c r="Y185" s="1"/>
      <c r="Z185" s="1"/>
      <c r="AA185" s="8"/>
      <c r="AB185" s="7">
        <v>64</v>
      </c>
      <c r="AC185" s="1">
        <v>0.53786223954460999</v>
      </c>
      <c r="AD185" s="1">
        <v>36.552698897061099</v>
      </c>
      <c r="AE185" s="1">
        <v>0.97768263368710495</v>
      </c>
      <c r="AF185" s="1">
        <v>16.513570580886</v>
      </c>
      <c r="AG185" s="1">
        <v>40.447153475307097</v>
      </c>
      <c r="AH185" s="1">
        <v>0.97981884578043299</v>
      </c>
      <c r="AI185" s="1">
        <v>16.9505399881002</v>
      </c>
      <c r="AJ185" s="1">
        <v>349.628525495529</v>
      </c>
      <c r="AK185" s="1">
        <v>191.72482728958099</v>
      </c>
      <c r="AL185" s="7"/>
      <c r="AM185" s="1"/>
      <c r="AN185" s="1"/>
      <c r="AO185" s="8"/>
      <c r="AP185" s="1"/>
      <c r="AQ185" s="1"/>
      <c r="AR185" s="1"/>
      <c r="AS185" s="8"/>
      <c r="AT185" s="7">
        <v>0.64</v>
      </c>
      <c r="AU185" s="1">
        <v>0.57658768970213803</v>
      </c>
      <c r="AV185" s="1">
        <v>35.191358717930498</v>
      </c>
      <c r="AW185" s="1">
        <v>0.98744757829091501</v>
      </c>
      <c r="AX185" s="1">
        <v>19.012724786903899</v>
      </c>
      <c r="AY185" s="1">
        <v>39.404632905901302</v>
      </c>
      <c r="AZ185" s="1">
        <v>0.98877044798284897</v>
      </c>
      <c r="BA185" s="1">
        <v>19.496375687928499</v>
      </c>
      <c r="BB185" s="1">
        <v>205.183984279632</v>
      </c>
      <c r="BC185" s="1">
        <v>140.28639483451801</v>
      </c>
      <c r="BD185" s="7"/>
      <c r="BE185" s="1"/>
      <c r="BF185" s="1"/>
      <c r="BG185" s="8"/>
      <c r="BH185" s="1"/>
      <c r="BI185" s="1"/>
      <c r="BJ185" s="1"/>
      <c r="BK185" s="8"/>
    </row>
    <row r="186" spans="1:63">
      <c r="A186" s="49"/>
      <c r="B186" s="7" t="s">
        <v>18</v>
      </c>
      <c r="C186" s="17">
        <v>0.5</v>
      </c>
      <c r="D186" s="7">
        <v>29</v>
      </c>
      <c r="E186" s="1">
        <v>0.47564824568935699</v>
      </c>
      <c r="F186" s="1">
        <v>36.107859867148903</v>
      </c>
      <c r="G186" s="1">
        <v>0.97334944380020505</v>
      </c>
      <c r="H186" s="1">
        <v>15.742937227732099</v>
      </c>
      <c r="I186" s="1">
        <v>39.922925641337102</v>
      </c>
      <c r="J186" s="1">
        <v>0.97621387503586698</v>
      </c>
      <c r="K186" s="8">
        <v>16.236763038126401</v>
      </c>
      <c r="L186" s="7">
        <v>28</v>
      </c>
      <c r="M186" s="1">
        <v>0.412074337338379</v>
      </c>
      <c r="N186" s="1">
        <v>36.007944021927401</v>
      </c>
      <c r="O186" s="1">
        <v>0.97320025753403405</v>
      </c>
      <c r="P186" s="1">
        <v>15.718693793349299</v>
      </c>
      <c r="Q186" s="1">
        <v>39.775428631354401</v>
      </c>
      <c r="R186" s="1">
        <v>0.97581583041373499</v>
      </c>
      <c r="S186" s="8">
        <v>16.164688204233201</v>
      </c>
      <c r="T186" s="7"/>
      <c r="U186" s="1"/>
      <c r="V186" s="1"/>
      <c r="W186" s="8"/>
      <c r="X186" s="7"/>
      <c r="Y186" s="1"/>
      <c r="Z186" s="1"/>
      <c r="AA186" s="8"/>
      <c r="AB186" s="7">
        <v>32</v>
      </c>
      <c r="AC186" s="1">
        <v>0.180025313398159</v>
      </c>
      <c r="AD186" s="1">
        <v>34.125801248425297</v>
      </c>
      <c r="AE186" s="1">
        <v>0.95669261600088895</v>
      </c>
      <c r="AF186" s="1">
        <v>13.634380492201499</v>
      </c>
      <c r="AG186" s="1">
        <v>38.3495657000569</v>
      </c>
      <c r="AH186" s="1">
        <v>0.959007633369104</v>
      </c>
      <c r="AI186" s="1">
        <v>13.872970076393701</v>
      </c>
      <c r="AJ186" s="1">
        <v>488.663615942001</v>
      </c>
      <c r="AK186" s="1">
        <v>273.30012798309298</v>
      </c>
      <c r="AL186" s="7"/>
      <c r="AM186" s="1"/>
      <c r="AN186" s="1"/>
      <c r="AO186" s="8"/>
      <c r="AP186" s="1"/>
      <c r="AQ186" s="1"/>
      <c r="AR186" s="1"/>
      <c r="AS186" s="8"/>
      <c r="AT186" s="7">
        <v>0.32</v>
      </c>
      <c r="AU186" s="1">
        <v>0.42800935185553601</v>
      </c>
      <c r="AV186" s="1">
        <v>34.816447075439598</v>
      </c>
      <c r="AW186" s="1">
        <v>0.98362408504862997</v>
      </c>
      <c r="AX186" s="1">
        <v>17.857944258564601</v>
      </c>
      <c r="AY186" s="1">
        <v>38.871366839095401</v>
      </c>
      <c r="AZ186" s="1">
        <v>0.98522356669661404</v>
      </c>
      <c r="BA186" s="1">
        <v>18.304303821516001</v>
      </c>
      <c r="BB186" s="1">
        <v>206.002513170242</v>
      </c>
      <c r="BC186" s="1">
        <v>142.36678028106601</v>
      </c>
      <c r="BD186" s="7"/>
      <c r="BE186" s="1"/>
      <c r="BF186" s="1"/>
      <c r="BG186" s="8"/>
      <c r="BH186" s="1"/>
      <c r="BI186" s="1"/>
      <c r="BJ186" s="1"/>
      <c r="BK186" s="8"/>
    </row>
    <row r="187" spans="1:63">
      <c r="A187" s="49"/>
      <c r="B187" s="7" t="s">
        <v>18</v>
      </c>
      <c r="C187" s="17">
        <v>0.25</v>
      </c>
      <c r="D187" s="7">
        <v>31</v>
      </c>
      <c r="E187" s="1">
        <v>0.242611398847982</v>
      </c>
      <c r="F187" s="1">
        <v>34.592173368814599</v>
      </c>
      <c r="G187" s="1">
        <v>0.95938144106121703</v>
      </c>
      <c r="H187" s="1">
        <v>13.9127548851458</v>
      </c>
      <c r="I187" s="1">
        <v>38.572323929444799</v>
      </c>
      <c r="J187" s="1">
        <v>0.96262983900949695</v>
      </c>
      <c r="K187" s="8">
        <v>14.274750312074501</v>
      </c>
      <c r="L187" s="7">
        <v>30</v>
      </c>
      <c r="M187" s="1">
        <v>0.21041116470253901</v>
      </c>
      <c r="N187" s="1">
        <v>34.575654843684802</v>
      </c>
      <c r="O187" s="1">
        <v>0.959730769752276</v>
      </c>
      <c r="P187" s="1">
        <v>13.950266719163</v>
      </c>
      <c r="Q187" s="1">
        <v>38.541709587281801</v>
      </c>
      <c r="R187" s="1">
        <v>0.96253958940025297</v>
      </c>
      <c r="S187" s="8">
        <v>14.2642746667709</v>
      </c>
      <c r="T187" s="7"/>
      <c r="U187" s="1"/>
      <c r="V187" s="1"/>
      <c r="W187" s="8"/>
      <c r="X187" s="7"/>
      <c r="Y187" s="1"/>
      <c r="Z187" s="1"/>
      <c r="AA187" s="8"/>
      <c r="AB187" s="7">
        <v>16</v>
      </c>
      <c r="AC187" s="1">
        <v>6.0033802392137001E-2</v>
      </c>
      <c r="AD187" s="1">
        <v>33.318543167634303</v>
      </c>
      <c r="AE187" s="1">
        <v>0.94333592868782901</v>
      </c>
      <c r="AF187" s="1">
        <v>12.4669222464637</v>
      </c>
      <c r="AG187" s="1">
        <v>37.565000395231102</v>
      </c>
      <c r="AH187" s="1">
        <v>0.94585410703990802</v>
      </c>
      <c r="AI187" s="1">
        <v>12.664344796187899</v>
      </c>
      <c r="AJ187" s="1">
        <v>219.31773400306699</v>
      </c>
      <c r="AK187" s="1">
        <v>156.819904088974</v>
      </c>
      <c r="AL187" s="7"/>
      <c r="AM187" s="1"/>
      <c r="AN187" s="1"/>
      <c r="AO187" s="8"/>
      <c r="AP187" s="1"/>
      <c r="AQ187" s="1"/>
      <c r="AR187" s="1"/>
      <c r="AS187" s="8"/>
      <c r="AT187" s="7">
        <v>0.16</v>
      </c>
      <c r="AU187" s="1">
        <v>0.28148205548143901</v>
      </c>
      <c r="AV187" s="1">
        <v>34.160608297017099</v>
      </c>
      <c r="AW187" s="1">
        <v>0.97592946743926201</v>
      </c>
      <c r="AX187" s="1">
        <v>16.1851430084957</v>
      </c>
      <c r="AY187" s="1">
        <v>37.912551659690003</v>
      </c>
      <c r="AZ187" s="1">
        <v>0.97805891812078505</v>
      </c>
      <c r="BA187" s="1">
        <v>16.587419618757501</v>
      </c>
      <c r="BB187" s="1">
        <v>301.85091972351</v>
      </c>
      <c r="BC187" s="1">
        <v>181.13680005073499</v>
      </c>
      <c r="BD187" s="7"/>
      <c r="BE187" s="1"/>
      <c r="BF187" s="1"/>
      <c r="BG187" s="8"/>
      <c r="BH187" s="1"/>
      <c r="BI187" s="1"/>
      <c r="BJ187" s="1"/>
      <c r="BK187" s="8"/>
    </row>
    <row r="188" spans="1:63">
      <c r="A188" s="49"/>
      <c r="B188" s="7" t="s">
        <v>18</v>
      </c>
      <c r="C188" s="17">
        <v>0.12</v>
      </c>
      <c r="D188" s="7">
        <v>33</v>
      </c>
      <c r="E188" s="1">
        <v>7.9451678007431997E-2</v>
      </c>
      <c r="F188" s="1">
        <v>33.435222618725902</v>
      </c>
      <c r="G188" s="1">
        <v>0.94358017242070003</v>
      </c>
      <c r="H188" s="1">
        <v>12.485682453957001</v>
      </c>
      <c r="I188" s="1">
        <v>37.532583721019499</v>
      </c>
      <c r="J188" s="1">
        <v>0.94717300354142997</v>
      </c>
      <c r="K188" s="8">
        <v>12.771440809381</v>
      </c>
      <c r="L188" s="7">
        <v>32</v>
      </c>
      <c r="M188" s="1">
        <v>6.04631388474096E-2</v>
      </c>
      <c r="N188" s="1">
        <v>33.408185987920596</v>
      </c>
      <c r="O188" s="1">
        <v>0.94380824764563698</v>
      </c>
      <c r="P188" s="1">
        <v>12.5032742410792</v>
      </c>
      <c r="Q188" s="1">
        <v>37.514500880371401</v>
      </c>
      <c r="R188" s="1">
        <v>0.94681124587106102</v>
      </c>
      <c r="S188" s="8">
        <v>12.741801822920101</v>
      </c>
      <c r="T188" s="7"/>
      <c r="U188" s="1"/>
      <c r="V188" s="1"/>
      <c r="W188" s="8"/>
      <c r="X188" s="7"/>
      <c r="Y188" s="1"/>
      <c r="Z188" s="1"/>
      <c r="AA188" s="8"/>
      <c r="AB188" s="7">
        <v>8</v>
      </c>
      <c r="AC188" s="1">
        <v>4.2273933413057199E-2</v>
      </c>
      <c r="AD188" s="1">
        <v>33.060426926464501</v>
      </c>
      <c r="AE188" s="1">
        <v>0.93977640783471905</v>
      </c>
      <c r="AF188" s="1">
        <v>12.2023334362511</v>
      </c>
      <c r="AG188" s="1">
        <v>37.176297080519397</v>
      </c>
      <c r="AH188" s="1">
        <v>0.94255114693808995</v>
      </c>
      <c r="AI188" s="1">
        <v>12.407186373648299</v>
      </c>
      <c r="AJ188" s="1">
        <v>195.336362600326</v>
      </c>
      <c r="AK188" s="1">
        <v>142.34064960479699</v>
      </c>
      <c r="AL188" s="7"/>
      <c r="AM188" s="1"/>
      <c r="AN188" s="1"/>
      <c r="AO188" s="8"/>
      <c r="AP188" s="1"/>
      <c r="AQ188" s="1"/>
      <c r="AR188" s="1"/>
      <c r="AS188" s="8"/>
      <c r="AT188" s="7">
        <v>0.08</v>
      </c>
      <c r="AU188" s="1">
        <v>0.144020390340139</v>
      </c>
      <c r="AV188" s="1">
        <v>33.179028598117497</v>
      </c>
      <c r="AW188" s="1">
        <v>0.96104917894527797</v>
      </c>
      <c r="AX188" s="1">
        <v>14.0948338328598</v>
      </c>
      <c r="AY188" s="1">
        <v>36.3814205646811</v>
      </c>
      <c r="AZ188" s="1">
        <v>0.96381513886674997</v>
      </c>
      <c r="BA188" s="1">
        <v>14.4147308972796</v>
      </c>
      <c r="BB188" s="1">
        <v>187.820210456848</v>
      </c>
      <c r="BC188" s="1">
        <v>139.10510230064301</v>
      </c>
      <c r="BD188" s="7"/>
      <c r="BE188" s="1"/>
      <c r="BF188" s="1"/>
      <c r="BG188" s="8"/>
      <c r="BH188" s="1"/>
      <c r="BI188" s="1"/>
      <c r="BJ188" s="1"/>
      <c r="BK188" s="8"/>
    </row>
    <row r="189" spans="1:63">
      <c r="A189" s="49"/>
      <c r="B189" s="7" t="s">
        <v>18</v>
      </c>
      <c r="C189" s="17">
        <v>0.06</v>
      </c>
      <c r="D189" s="7">
        <v>35</v>
      </c>
      <c r="E189" s="1">
        <v>5.4349806589162698E-2</v>
      </c>
      <c r="F189" s="1">
        <v>33.229008350118697</v>
      </c>
      <c r="G189" s="1">
        <v>0.94072344309227796</v>
      </c>
      <c r="H189" s="1">
        <v>12.2711703038979</v>
      </c>
      <c r="I189" s="1">
        <v>37.241881995441297</v>
      </c>
      <c r="J189" s="1">
        <v>0.94461206342425397</v>
      </c>
      <c r="K189" s="8">
        <v>12.5658481377477</v>
      </c>
      <c r="L189" s="7">
        <v>33</v>
      </c>
      <c r="M189" s="1">
        <v>4.6857012809584701E-2</v>
      </c>
      <c r="N189" s="1">
        <v>33.287918469921102</v>
      </c>
      <c r="O189" s="1">
        <v>0.942085794074491</v>
      </c>
      <c r="P189" s="1">
        <v>12.372148939871799</v>
      </c>
      <c r="Q189" s="1">
        <v>37.373608933325897</v>
      </c>
      <c r="R189" s="1">
        <v>0.94522584346134797</v>
      </c>
      <c r="S189" s="8">
        <v>12.614243013697999</v>
      </c>
      <c r="T189" s="7"/>
      <c r="U189" s="1"/>
      <c r="V189" s="1"/>
      <c r="W189" s="8"/>
      <c r="X189" s="7"/>
      <c r="Y189" s="1"/>
      <c r="Z189" s="1"/>
      <c r="AA189" s="8"/>
      <c r="AB189" s="7">
        <v>4</v>
      </c>
      <c r="AC189" s="1">
        <v>3.0591793181299301E-2</v>
      </c>
      <c r="AD189" s="1">
        <v>32.740492443419498</v>
      </c>
      <c r="AE189" s="1">
        <v>0.93481623633991895</v>
      </c>
      <c r="AF189" s="1">
        <v>11.8586056731955</v>
      </c>
      <c r="AG189" s="1">
        <v>36.757688682162097</v>
      </c>
      <c r="AH189" s="1">
        <v>0.93787075821890498</v>
      </c>
      <c r="AI189" s="1">
        <v>12.067039464399301</v>
      </c>
      <c r="AJ189" s="1">
        <v>180.644237279891</v>
      </c>
      <c r="AK189" s="1">
        <v>135.96955204010001</v>
      </c>
      <c r="AL189" s="7"/>
      <c r="AM189" s="1"/>
      <c r="AN189" s="1"/>
      <c r="AO189" s="8"/>
      <c r="AP189" s="1"/>
      <c r="AQ189" s="1"/>
      <c r="AR189" s="1"/>
      <c r="AS189" s="8"/>
      <c r="AT189" s="7">
        <v>0.04</v>
      </c>
      <c r="AU189" s="1">
        <v>4.7812722740102002E-2</v>
      </c>
      <c r="AV189" s="1">
        <v>32.030044237056401</v>
      </c>
      <c r="AW189" s="1">
        <v>0.94301269563621604</v>
      </c>
      <c r="AX189" s="1">
        <v>12.4422188571123</v>
      </c>
      <c r="AY189" s="1">
        <v>34.957838063614602</v>
      </c>
      <c r="AZ189" s="1">
        <v>0.94666965351361698</v>
      </c>
      <c r="BA189" s="1">
        <v>12.7302559470386</v>
      </c>
      <c r="BB189" s="1">
        <v>313.74983716011002</v>
      </c>
      <c r="BC189" s="1">
        <v>193.39128589630101</v>
      </c>
      <c r="BD189" s="7"/>
      <c r="BE189" s="1"/>
      <c r="BF189" s="1"/>
      <c r="BG189" s="8"/>
      <c r="BH189" s="1"/>
      <c r="BI189" s="1"/>
      <c r="BJ189" s="1"/>
      <c r="BK189" s="8"/>
    </row>
    <row r="190" spans="1:63">
      <c r="A190" s="49"/>
      <c r="B190" s="7" t="s">
        <v>51</v>
      </c>
      <c r="C190" s="17">
        <v>1.5</v>
      </c>
      <c r="D190" s="7">
        <v>22</v>
      </c>
      <c r="E190" s="1">
        <v>1.4791611094011801</v>
      </c>
      <c r="F190" s="1">
        <v>42.484768698364299</v>
      </c>
      <c r="G190" s="1">
        <v>0.99640357620564002</v>
      </c>
      <c r="H190" s="1">
        <v>24.441291376541901</v>
      </c>
      <c r="I190" s="1">
        <v>45.5904814107896</v>
      </c>
      <c r="J190" s="1">
        <v>0.99769768062153996</v>
      </c>
      <c r="K190" s="8">
        <v>26.378344310617202</v>
      </c>
      <c r="L190" s="7">
        <v>19</v>
      </c>
      <c r="M190" s="1">
        <v>1.4691588864949801</v>
      </c>
      <c r="N190" s="1">
        <v>43.348783150803797</v>
      </c>
      <c r="O190" s="1">
        <v>0.99703790394879699</v>
      </c>
      <c r="P190" s="1">
        <v>25.284008628198801</v>
      </c>
      <c r="Q190" s="1">
        <v>46.508209323368703</v>
      </c>
      <c r="R190" s="1">
        <v>0.99806959485455204</v>
      </c>
      <c r="S190" s="8">
        <v>27.143515334964501</v>
      </c>
      <c r="T190" s="13">
        <f>bdrate(E190:E193,F190:F193,M190:M193,N190:N193)</f>
        <v>-0.17757051752927466</v>
      </c>
      <c r="U190" s="12">
        <f>bdrate(E190:E193,H190:H193,M190:M193,P190:P193)</f>
        <v>-0.1738385792124586</v>
      </c>
      <c r="V190" s="12">
        <f>bdrate(E190:E193,I190:I193,M190:M193,Q190:Q193)</f>
        <v>-0.19608847948247332</v>
      </c>
      <c r="W190" s="14">
        <f>bdrate(E190:E193,K190:K193,M190:M193,S190:S193)</f>
        <v>-0.13887683078585622</v>
      </c>
      <c r="X190" s="13">
        <f>bdrate(E192:E195,F192:F195,M192:M195,N192:N195)</f>
        <v>-0.25566567788406436</v>
      </c>
      <c r="Y190" s="12">
        <f>bdrate(E192:E195,H192:H195,M192:M195,P192:P195)</f>
        <v>-0.2165977790012803</v>
      </c>
      <c r="Z190" s="12">
        <f>bdrate(E192:E195,I192:I195,M192:M195,Q192:Q195)</f>
        <v>-0.30768899431732655</v>
      </c>
      <c r="AA190" s="14">
        <f>bdrate(E192:E195,K192:K195,M192:M195,S192:S195)</f>
        <v>-0.19322838280138455</v>
      </c>
      <c r="AB190" s="7"/>
      <c r="AC190" s="1"/>
      <c r="AD190" s="1"/>
      <c r="AE190" s="1"/>
      <c r="AF190" s="1"/>
      <c r="AG190" s="1"/>
      <c r="AH190" s="1"/>
      <c r="AI190" s="1"/>
      <c r="AJ190" s="1"/>
      <c r="AK190" s="1"/>
      <c r="AL190" s="13" t="e">
        <f>bdrate(E190:E193,F190:F193,AC190:AC193,AD190:AD193)</f>
        <v>#VALUE!</v>
      </c>
      <c r="AM190" s="12" t="e">
        <f>bdrate(E190:E193,H190:H193,AC190:AC193,AF190:AF193)</f>
        <v>#VALUE!</v>
      </c>
      <c r="AN190" s="12" t="e">
        <f>bdrate(E190:E193,I190:I193,AC190:AC193,AG190:AG193)</f>
        <v>#VALUE!</v>
      </c>
      <c r="AO190" s="14" t="e">
        <f>bdrate(E190:E193,K190:K193,AC190:AC193,AI190:AI193)</f>
        <v>#VALUE!</v>
      </c>
      <c r="AP190" s="12">
        <f>bdrate(E192:E195,F192:F195,AC192:AC195,AD192:AD195)</f>
        <v>-0.10291952748404587</v>
      </c>
      <c r="AQ190" s="12">
        <f>bdrate(E192:E195,H192:H195,AC192:AC195,AF192:AF195)</f>
        <v>-0.16413129643612767</v>
      </c>
      <c r="AR190" s="12">
        <f>bdrate(E192:E195,I192:I195,AC192:AC195,AG192:AG195)</f>
        <v>-0.1991648159759124</v>
      </c>
      <c r="AS190" s="14">
        <f>bdrate(E192:E195,K192:K195,AC192:AC195,AI192:AI195)</f>
        <v>-0.13187078245877448</v>
      </c>
      <c r="AT190" s="7"/>
      <c r="AU190" s="1"/>
      <c r="AV190" s="1"/>
      <c r="AW190" s="1"/>
      <c r="AX190" s="1"/>
      <c r="AY190" s="1"/>
      <c r="AZ190" s="1"/>
      <c r="BA190" s="1"/>
      <c r="BB190" s="1"/>
      <c r="BC190" s="1"/>
      <c r="BD190" s="13" t="e">
        <f>bdrate(E190:E193,F190:F193,AU190:AU193,AV190:AV193)</f>
        <v>#VALUE!</v>
      </c>
      <c r="BE190" s="12" t="e">
        <f>bdrate(E190:E193,H190:H193,AU190:AU193,AX190:AX193)</f>
        <v>#VALUE!</v>
      </c>
      <c r="BF190" s="12" t="e">
        <f>bdrate(E190:E193,I190:I193,AU190:AU193,AY190:AY193)</f>
        <v>#VALUE!</v>
      </c>
      <c r="BG190" s="14" t="e">
        <f>bdrate(E190:E193,K190:K193,AU190:AU193,BA190:BA193)</f>
        <v>#VALUE!</v>
      </c>
      <c r="BH190" s="12">
        <f>bdrate(E192:E195,F192:F195,AU192:AU195,AV192:AV195)</f>
        <v>0.52827700370522912</v>
      </c>
      <c r="BI190" s="12">
        <f>bdrate(E192:E195,H192:H195,AU192:AU195,AX192:AX195)</f>
        <v>-0.48250868111161083</v>
      </c>
      <c r="BJ190" s="12">
        <f>bdrate(E192:E195,I192:I195,AU192:AU195,AY192:AY195)</f>
        <v>0.45326714487877462</v>
      </c>
      <c r="BK190" s="14">
        <f>bdrate(E192:E195,K192:K195,AU192:AU195,BA192:BA195)</f>
        <v>-0.46177739600105172</v>
      </c>
    </row>
    <row r="191" spans="1:63">
      <c r="A191" s="49"/>
      <c r="B191" s="7" t="s">
        <v>18</v>
      </c>
      <c r="C191" s="17">
        <v>1</v>
      </c>
      <c r="D191" s="7">
        <v>26</v>
      </c>
      <c r="E191" s="1">
        <v>0.98649242501966405</v>
      </c>
      <c r="F191" s="1">
        <v>39.745546514688897</v>
      </c>
      <c r="G191" s="1">
        <v>0.993750398822417</v>
      </c>
      <c r="H191" s="1">
        <v>22.041476965602101</v>
      </c>
      <c r="I191" s="1">
        <v>42.827922487361</v>
      </c>
      <c r="J191" s="1">
        <v>0.99539403175554797</v>
      </c>
      <c r="K191" s="8">
        <v>23.366790605765399</v>
      </c>
      <c r="L191" s="7">
        <v>23</v>
      </c>
      <c r="M191" s="1">
        <v>0.99848842378851599</v>
      </c>
      <c r="N191" s="1">
        <v>40.901837187571999</v>
      </c>
      <c r="O191" s="1">
        <v>0.99511553657358698</v>
      </c>
      <c r="P191" s="1">
        <v>23.111831379323199</v>
      </c>
      <c r="Q191" s="1">
        <v>44.011945631070503</v>
      </c>
      <c r="R191" s="1">
        <v>0.99635411470836899</v>
      </c>
      <c r="S191" s="8">
        <v>24.3819699942085</v>
      </c>
      <c r="T191" s="7"/>
      <c r="U191" s="1"/>
      <c r="V191" s="1"/>
      <c r="W191" s="8"/>
      <c r="X191" s="7"/>
      <c r="Y191" s="1"/>
      <c r="Z191" s="1"/>
      <c r="AA191" s="8"/>
      <c r="AB191" s="7">
        <v>64</v>
      </c>
      <c r="AC191" s="1">
        <v>0.67843182517697698</v>
      </c>
      <c r="AD191" s="1">
        <v>37.972339166237902</v>
      </c>
      <c r="AE191" s="1">
        <v>0.99187537955733296</v>
      </c>
      <c r="AF191" s="1">
        <v>20.9019691878058</v>
      </c>
      <c r="AG191" s="1">
        <v>41.266929998251001</v>
      </c>
      <c r="AH191" s="1">
        <v>0.99311883328663297</v>
      </c>
      <c r="AI191" s="1">
        <v>21.623379201629099</v>
      </c>
      <c r="AJ191" s="1">
        <v>236.94755554199199</v>
      </c>
      <c r="AK191" s="1">
        <v>107.163353443145</v>
      </c>
      <c r="AL191" s="7"/>
      <c r="AM191" s="1"/>
      <c r="AN191" s="1"/>
      <c r="AO191" s="8"/>
      <c r="AP191" s="1"/>
      <c r="AQ191" s="1"/>
      <c r="AR191" s="1"/>
      <c r="AS191" s="8"/>
      <c r="AT191" s="7">
        <v>0.64</v>
      </c>
      <c r="AU191" s="1">
        <v>0.47567029171368902</v>
      </c>
      <c r="AV191" s="1">
        <v>33.368492248796201</v>
      </c>
      <c r="AW191" s="1">
        <v>0.99302465715065902</v>
      </c>
      <c r="AX191" s="1">
        <v>21.564344412561599</v>
      </c>
      <c r="AY191" s="1">
        <v>37.142063829253502</v>
      </c>
      <c r="AZ191" s="1">
        <v>0.99396011536516204</v>
      </c>
      <c r="BA191" s="1">
        <v>22.189713565663101</v>
      </c>
      <c r="BB191" s="1">
        <v>165.65023565292299</v>
      </c>
      <c r="BC191" s="1">
        <v>105.582176446914</v>
      </c>
      <c r="BD191" s="7"/>
      <c r="BE191" s="1"/>
      <c r="BF191" s="1"/>
      <c r="BG191" s="8"/>
      <c r="BH191" s="1"/>
      <c r="BI191" s="1"/>
      <c r="BJ191" s="1"/>
      <c r="BK191" s="8"/>
    </row>
    <row r="192" spans="1:63">
      <c r="A192" s="49"/>
      <c r="B192" s="7" t="s">
        <v>18</v>
      </c>
      <c r="C192" s="17">
        <v>0.5</v>
      </c>
      <c r="D192" s="7">
        <v>32</v>
      </c>
      <c r="E192" s="1">
        <v>0.47062942443828798</v>
      </c>
      <c r="F192" s="1">
        <v>35.535353674654402</v>
      </c>
      <c r="G192" s="1">
        <v>0.98419776187031605</v>
      </c>
      <c r="H192" s="1">
        <v>18.012813979484999</v>
      </c>
      <c r="I192" s="1">
        <v>38.817436542113398</v>
      </c>
      <c r="J192" s="1">
        <v>0.98631659585043396</v>
      </c>
      <c r="K192" s="8">
        <v>18.638058456379198</v>
      </c>
      <c r="L192" s="7">
        <v>29</v>
      </c>
      <c r="M192" s="1">
        <v>0.498979173078896</v>
      </c>
      <c r="N192" s="1">
        <v>36.892857366127899</v>
      </c>
      <c r="O192" s="1">
        <v>0.98826466524914502</v>
      </c>
      <c r="P192" s="1">
        <v>19.305045176226699</v>
      </c>
      <c r="Q192" s="1">
        <v>40.245196327997199</v>
      </c>
      <c r="R192" s="1">
        <v>0.989702615434358</v>
      </c>
      <c r="S192" s="8">
        <v>19.872730678139501</v>
      </c>
      <c r="T192" s="7"/>
      <c r="U192" s="1"/>
      <c r="V192" s="1"/>
      <c r="W192" s="8"/>
      <c r="X192" s="7"/>
      <c r="Y192" s="1"/>
      <c r="Z192" s="1"/>
      <c r="AA192" s="8"/>
      <c r="AB192" s="7">
        <v>32</v>
      </c>
      <c r="AC192" s="1">
        <v>0.45362932184261801</v>
      </c>
      <c r="AD192" s="1">
        <v>35.776024655764701</v>
      </c>
      <c r="AE192" s="1">
        <v>0.986850653060935</v>
      </c>
      <c r="AF192" s="1">
        <v>18.810958158284699</v>
      </c>
      <c r="AG192" s="1">
        <v>39.288086203092902</v>
      </c>
      <c r="AH192" s="1">
        <v>0.98816038117299099</v>
      </c>
      <c r="AI192" s="1">
        <v>19.2666227936915</v>
      </c>
      <c r="AJ192" s="1">
        <v>320.27374553680397</v>
      </c>
      <c r="AK192" s="1">
        <v>194.221430063247</v>
      </c>
      <c r="AL192" s="7"/>
      <c r="AM192" s="1"/>
      <c r="AN192" s="1"/>
      <c r="AO192" s="8"/>
      <c r="AP192" s="1"/>
      <c r="AQ192" s="1"/>
      <c r="AR192" s="1"/>
      <c r="AS192" s="8"/>
      <c r="AT192" s="7">
        <v>0.32</v>
      </c>
      <c r="AU192" s="1">
        <v>0.35679952805991499</v>
      </c>
      <c r="AV192" s="1">
        <v>32.344699408756902</v>
      </c>
      <c r="AW192" s="1">
        <v>0.99025590282423304</v>
      </c>
      <c r="AX192" s="1">
        <v>20.112583935649699</v>
      </c>
      <c r="AY192" s="1">
        <v>36.126880970265198</v>
      </c>
      <c r="AZ192" s="1">
        <v>0.99135177883382097</v>
      </c>
      <c r="BA192" s="1">
        <v>20.6307321243785</v>
      </c>
      <c r="BB192" s="1">
        <v>212.498839378356</v>
      </c>
      <c r="BC192" s="1">
        <v>108.26083636283801</v>
      </c>
      <c r="BD192" s="7"/>
      <c r="BE192" s="1"/>
      <c r="BF192" s="1"/>
      <c r="BG192" s="8"/>
      <c r="BH192" s="1"/>
      <c r="BI192" s="1"/>
      <c r="BJ192" s="1"/>
      <c r="BK192" s="8"/>
    </row>
    <row r="193" spans="1:63">
      <c r="A193" s="49"/>
      <c r="B193" s="7" t="s">
        <v>18</v>
      </c>
      <c r="C193" s="17">
        <v>0.25</v>
      </c>
      <c r="D193" s="7">
        <v>37</v>
      </c>
      <c r="E193" s="1">
        <v>0.224563968400533</v>
      </c>
      <c r="F193" s="1">
        <v>32.3793743427347</v>
      </c>
      <c r="G193" s="1">
        <v>0.96640491427310504</v>
      </c>
      <c r="H193" s="1">
        <v>14.7372424635369</v>
      </c>
      <c r="I193" s="1">
        <v>35.857412938898499</v>
      </c>
      <c r="J193" s="1">
        <v>0.96901527354404804</v>
      </c>
      <c r="K193" s="8">
        <v>15.088523336015999</v>
      </c>
      <c r="L193" s="7">
        <v>34</v>
      </c>
      <c r="M193" s="1">
        <v>0.240014876372217</v>
      </c>
      <c r="N193" s="1">
        <v>33.671245387974999</v>
      </c>
      <c r="O193" s="1">
        <v>0.97472554609960504</v>
      </c>
      <c r="P193" s="1">
        <v>15.9731821934161</v>
      </c>
      <c r="Q193" s="1">
        <v>37.326792695701997</v>
      </c>
      <c r="R193" s="1">
        <v>0.97631371120914101</v>
      </c>
      <c r="S193" s="8">
        <v>16.255029799657599</v>
      </c>
      <c r="T193" s="7"/>
      <c r="U193" s="1"/>
      <c r="V193" s="1"/>
      <c r="W193" s="8"/>
      <c r="X193" s="7"/>
      <c r="Y193" s="1"/>
      <c r="Z193" s="1"/>
      <c r="AA193" s="8"/>
      <c r="AB193" s="7">
        <v>16</v>
      </c>
      <c r="AC193" s="1">
        <v>0.27961509524298001</v>
      </c>
      <c r="AD193" s="1">
        <v>33.634791006220901</v>
      </c>
      <c r="AE193" s="1">
        <v>0.97721101775894104</v>
      </c>
      <c r="AF193" s="1">
        <v>16.4227507003515</v>
      </c>
      <c r="AG193" s="1">
        <v>37.422497369207697</v>
      </c>
      <c r="AH193" s="1">
        <v>0.978647469425307</v>
      </c>
      <c r="AI193" s="1">
        <v>16.705506475945501</v>
      </c>
      <c r="AJ193" s="1">
        <v>185.09085154533301</v>
      </c>
      <c r="AK193" s="1">
        <v>121.254936933517</v>
      </c>
      <c r="AL193" s="7"/>
      <c r="AM193" s="1"/>
      <c r="AN193" s="1"/>
      <c r="AO193" s="8"/>
      <c r="AP193" s="1"/>
      <c r="AQ193" s="1"/>
      <c r="AR193" s="1"/>
      <c r="AS193" s="8"/>
      <c r="AT193" s="7">
        <v>0.16</v>
      </c>
      <c r="AU193" s="1">
        <v>0.25540080708594098</v>
      </c>
      <c r="AV193" s="1">
        <v>31.200799028791401</v>
      </c>
      <c r="AW193" s="1">
        <v>0.98547094620369302</v>
      </c>
      <c r="AX193" s="1">
        <v>18.377626681812298</v>
      </c>
      <c r="AY193" s="1">
        <v>34.980319949331196</v>
      </c>
      <c r="AZ193" s="1">
        <v>0.98672490399452795</v>
      </c>
      <c r="BA193" s="1">
        <v>18.769623294181802</v>
      </c>
      <c r="BB193" s="1">
        <v>205.19162225723201</v>
      </c>
      <c r="BC193" s="1">
        <v>139.85779142379701</v>
      </c>
      <c r="BD193" s="7"/>
      <c r="BE193" s="1"/>
      <c r="BF193" s="1"/>
      <c r="BG193" s="8"/>
      <c r="BH193" s="1"/>
      <c r="BI193" s="1"/>
      <c r="BJ193" s="1"/>
      <c r="BK193" s="8"/>
    </row>
    <row r="194" spans="1:63">
      <c r="A194" s="49"/>
      <c r="B194" s="7" t="s">
        <v>18</v>
      </c>
      <c r="C194" s="17">
        <v>0.12</v>
      </c>
      <c r="D194" s="7">
        <v>42</v>
      </c>
      <c r="E194" s="1">
        <v>0.109617489141958</v>
      </c>
      <c r="F194" s="1">
        <v>29.7882572782663</v>
      </c>
      <c r="G194" s="1">
        <v>0.93589107891845902</v>
      </c>
      <c r="H194" s="1">
        <v>11.9308153199594</v>
      </c>
      <c r="I194" s="1">
        <v>33.380287122905202</v>
      </c>
      <c r="J194" s="1">
        <v>0.93903411887721699</v>
      </c>
      <c r="K194" s="8">
        <v>12.149131450809501</v>
      </c>
      <c r="L194" s="7">
        <v>39</v>
      </c>
      <c r="M194" s="1">
        <v>0.11545603775520601</v>
      </c>
      <c r="N194" s="1">
        <v>31.109708830545099</v>
      </c>
      <c r="O194" s="1">
        <v>0.95113479225698105</v>
      </c>
      <c r="P194" s="1">
        <v>13.110002505526399</v>
      </c>
      <c r="Q194" s="1">
        <v>34.8915763234209</v>
      </c>
      <c r="R194" s="1">
        <v>0.95301974229898101</v>
      </c>
      <c r="S194" s="8">
        <v>13.280846053144099</v>
      </c>
      <c r="T194" s="7"/>
      <c r="U194" s="1"/>
      <c r="V194" s="1"/>
      <c r="W194" s="8"/>
      <c r="X194" s="7"/>
      <c r="Y194" s="1"/>
      <c r="Z194" s="1"/>
      <c r="AA194" s="8"/>
      <c r="AB194" s="7">
        <v>8</v>
      </c>
      <c r="AC194" s="1">
        <v>0.18040337197770201</v>
      </c>
      <c r="AD194" s="1">
        <v>32.056713595908498</v>
      </c>
      <c r="AE194" s="1">
        <v>0.96568724347309298</v>
      </c>
      <c r="AF194" s="1">
        <v>14.645443913481699</v>
      </c>
      <c r="AG194" s="1">
        <v>36.029450193120901</v>
      </c>
      <c r="AH194" s="1">
        <v>0.96711472453589697</v>
      </c>
      <c r="AI194" s="1">
        <v>14.8299851591393</v>
      </c>
      <c r="AJ194" s="1">
        <v>155.68286705016999</v>
      </c>
      <c r="AK194" s="1">
        <v>109.48236346244801</v>
      </c>
      <c r="AL194" s="7"/>
      <c r="AM194" s="1"/>
      <c r="AN194" s="1"/>
      <c r="AO194" s="8"/>
      <c r="AP194" s="1"/>
      <c r="AQ194" s="1"/>
      <c r="AR194" s="1"/>
      <c r="AS194" s="8"/>
      <c r="AT194" s="7">
        <v>0.08</v>
      </c>
      <c r="AU194" s="1">
        <v>0.18048373858623101</v>
      </c>
      <c r="AV194" s="1">
        <v>30.089721078986202</v>
      </c>
      <c r="AW194" s="1">
        <v>0.978340944666929</v>
      </c>
      <c r="AX194" s="1">
        <v>16.6436048919645</v>
      </c>
      <c r="AY194" s="1">
        <v>33.765578639276796</v>
      </c>
      <c r="AZ194" s="1">
        <v>0.97973871749748298</v>
      </c>
      <c r="BA194" s="1">
        <v>16.9333306805087</v>
      </c>
      <c r="BB194" s="1">
        <v>144.330317020416</v>
      </c>
      <c r="BC194" s="1">
        <v>100.296984910964</v>
      </c>
      <c r="BD194" s="7"/>
      <c r="BE194" s="1"/>
      <c r="BF194" s="1"/>
      <c r="BG194" s="8"/>
      <c r="BH194" s="1"/>
      <c r="BI194" s="1"/>
      <c r="BJ194" s="1"/>
      <c r="BK194" s="8"/>
    </row>
    <row r="195" spans="1:63">
      <c r="A195" s="49"/>
      <c r="B195" s="7" t="s">
        <v>18</v>
      </c>
      <c r="C195" s="17">
        <v>0.06</v>
      </c>
      <c r="D195" s="7">
        <v>46</v>
      </c>
      <c r="E195" s="1">
        <v>5.7329605690639801E-2</v>
      </c>
      <c r="F195" s="1">
        <v>27.686431726069301</v>
      </c>
      <c r="G195" s="1">
        <v>0.89360113631617399</v>
      </c>
      <c r="H195" s="1">
        <v>9.7306301018457297</v>
      </c>
      <c r="I195" s="1">
        <v>31.419943219105999</v>
      </c>
      <c r="J195" s="1">
        <v>0.89668332939314499</v>
      </c>
      <c r="K195" s="8">
        <v>9.8582959746938208</v>
      </c>
      <c r="L195" s="7">
        <v>44</v>
      </c>
      <c r="M195" s="1">
        <v>5.45355835983721E-2</v>
      </c>
      <c r="N195" s="1">
        <v>28.664536074793201</v>
      </c>
      <c r="O195" s="1">
        <v>0.90923158780056901</v>
      </c>
      <c r="P195" s="1">
        <v>10.420652615476101</v>
      </c>
      <c r="Q195" s="1">
        <v>32.594670705067202</v>
      </c>
      <c r="R195" s="1">
        <v>0.91107688241465201</v>
      </c>
      <c r="S195" s="8">
        <v>10.509853196305</v>
      </c>
      <c r="T195" s="7"/>
      <c r="U195" s="1"/>
      <c r="V195" s="1"/>
      <c r="W195" s="8"/>
      <c r="X195" s="7"/>
      <c r="Y195" s="1"/>
      <c r="Z195" s="1"/>
      <c r="AA195" s="8"/>
      <c r="AB195" s="7">
        <v>4</v>
      </c>
      <c r="AC195" s="1">
        <v>0.121527136554837</v>
      </c>
      <c r="AD195" s="1">
        <v>30.5686392298106</v>
      </c>
      <c r="AE195" s="1">
        <v>0.94771160346573402</v>
      </c>
      <c r="AF195" s="1">
        <v>12.8159467595572</v>
      </c>
      <c r="AG195" s="1">
        <v>34.624318063097697</v>
      </c>
      <c r="AH195" s="1">
        <v>0.94935032703655398</v>
      </c>
      <c r="AI195" s="1">
        <v>12.9542335446222</v>
      </c>
      <c r="AJ195" s="1">
        <v>146.220387697219</v>
      </c>
      <c r="AK195" s="1">
        <v>101.262976646423</v>
      </c>
      <c r="AL195" s="7"/>
      <c r="AM195" s="1"/>
      <c r="AN195" s="1"/>
      <c r="AO195" s="8"/>
      <c r="AP195" s="1"/>
      <c r="AQ195" s="1"/>
      <c r="AR195" s="1"/>
      <c r="AS195" s="8"/>
      <c r="AT195" s="7">
        <v>0.04</v>
      </c>
      <c r="AU195" s="1">
        <v>0.122696727198112</v>
      </c>
      <c r="AV195" s="1">
        <v>28.955590418183899</v>
      </c>
      <c r="AW195" s="1">
        <v>0.96740543124405898</v>
      </c>
      <c r="AX195" s="1">
        <v>14.8685476054047</v>
      </c>
      <c r="AY195" s="1">
        <v>32.651688512362099</v>
      </c>
      <c r="AZ195" s="1">
        <v>0.96903651766118504</v>
      </c>
      <c r="BA195" s="1">
        <v>15.0915020188179</v>
      </c>
      <c r="BB195" s="1">
        <v>166.888067245483</v>
      </c>
      <c r="BC195" s="1">
        <v>128.163655757904</v>
      </c>
      <c r="BD195" s="7"/>
      <c r="BE195" s="1"/>
      <c r="BF195" s="1"/>
      <c r="BG195" s="8"/>
      <c r="BH195" s="1"/>
      <c r="BI195" s="1"/>
      <c r="BJ195" s="1"/>
      <c r="BK195" s="8"/>
    </row>
    <row r="196" spans="1:63">
      <c r="A196" s="49"/>
      <c r="B196" s="7" t="s">
        <v>52</v>
      </c>
      <c r="C196" s="17">
        <v>1.5</v>
      </c>
      <c r="D196" s="7">
        <v>19</v>
      </c>
      <c r="E196" s="1">
        <v>1.4561002896972699</v>
      </c>
      <c r="F196" s="1">
        <v>46.749749303362101</v>
      </c>
      <c r="G196" s="1">
        <v>0.99826114285130296</v>
      </c>
      <c r="H196" s="1">
        <v>27.597360948695599</v>
      </c>
      <c r="I196" s="1">
        <v>50.008717603527899</v>
      </c>
      <c r="J196" s="1">
        <v>0.99872666307877001</v>
      </c>
      <c r="K196" s="8">
        <v>28.950566680894699</v>
      </c>
      <c r="L196" s="7">
        <v>16</v>
      </c>
      <c r="M196" s="1">
        <v>1.4505196974028201</v>
      </c>
      <c r="N196" s="1">
        <v>47.1529028886902</v>
      </c>
      <c r="O196" s="1">
        <v>0.99841993273217999</v>
      </c>
      <c r="P196" s="1">
        <v>28.013244235384999</v>
      </c>
      <c r="Q196" s="1">
        <v>50.312943194624303</v>
      </c>
      <c r="R196" s="1">
        <v>0.99886926946315202</v>
      </c>
      <c r="S196" s="8">
        <v>29.466408789856299</v>
      </c>
      <c r="T196" s="13">
        <f>bdrate(E196:E199,F196:F199,M196:M199,N196:N199)</f>
        <v>-9.5299579531338496E-2</v>
      </c>
      <c r="U196" s="12">
        <f>bdrate(E196:E199,H196:H199,M196:M199,P196:P199)</f>
        <v>-8.3312031116987595E-2</v>
      </c>
      <c r="V196" s="12">
        <f>bdrate(E196:E199,I196:I199,M196:M199,Q196:Q199)</f>
        <v>-0.1021818858821395</v>
      </c>
      <c r="W196" s="14">
        <f>bdrate(E196:E199,K196:K199,M196:M199,S196:S199)</f>
        <v>-7.7906387898677543E-2</v>
      </c>
      <c r="X196" s="13">
        <f>bdrate(E198:E201,F198:F201,M198:M201,N198:N201)</f>
        <v>-0.13585788471692828</v>
      </c>
      <c r="Y196" s="12">
        <f>bdrate(E198:E201,H198:H201,M198:M201,P198:P201)</f>
        <v>-0.12927834897991308</v>
      </c>
      <c r="Z196" s="12">
        <f>bdrate(E198:E201,I198:I201,M198:M201,Q198:Q201)</f>
        <v>-0.18831830417174944</v>
      </c>
      <c r="AA196" s="14">
        <f>bdrate(E198:E201,K198:K201,M198:M201,S198:S201)</f>
        <v>-0.12268870080979477</v>
      </c>
      <c r="AB196" s="7"/>
      <c r="AC196" s="1"/>
      <c r="AD196" s="1"/>
      <c r="AE196" s="1"/>
      <c r="AF196" s="1"/>
      <c r="AG196" s="1"/>
      <c r="AH196" s="1"/>
      <c r="AI196" s="1"/>
      <c r="AJ196" s="1"/>
      <c r="AK196" s="1"/>
      <c r="AL196" s="13" t="e">
        <f>bdrate(E196:E199,F196:F199,AC196:AC199,AD196:AD199)</f>
        <v>#VALUE!</v>
      </c>
      <c r="AM196" s="12" t="e">
        <f>bdrate(E196:E199,H196:H199,AC196:AC199,AF196:AF199)</f>
        <v>#VALUE!</v>
      </c>
      <c r="AN196" s="12" t="e">
        <f>bdrate(E196:E199,I196:I199,AC196:AC199,AG196:AG199)</f>
        <v>#VALUE!</v>
      </c>
      <c r="AO196" s="14" t="e">
        <f>bdrate(E196:E199,K196:K199,AC196:AC199,AI196:AI199)</f>
        <v>#VALUE!</v>
      </c>
      <c r="AP196" s="12">
        <f>bdrate(E198:E201,F198:F201,AC198:AC201,AD198:AD201)</f>
        <v>7.5357259293405754E-2</v>
      </c>
      <c r="AQ196" s="12">
        <f>bdrate(E198:E201,H198:H201,AC198:AC201,AF198:AF201)</f>
        <v>4.8496572831150164E-2</v>
      </c>
      <c r="AR196" s="12">
        <f>bdrate(E198:E201,I198:I201,AC198:AC201,AG198:AG201)</f>
        <v>6.1466097257056873E-3</v>
      </c>
      <c r="AS196" s="14">
        <f>bdrate(E198:E201,K198:K201,AC198:AC201,AI198:AI201)</f>
        <v>3.9847778230594377E-2</v>
      </c>
      <c r="AT196" s="7"/>
      <c r="AU196" s="1"/>
      <c r="AV196" s="1"/>
      <c r="AW196" s="1"/>
      <c r="AX196" s="1"/>
      <c r="AY196" s="1"/>
      <c r="AZ196" s="1"/>
      <c r="BA196" s="1"/>
      <c r="BB196" s="1"/>
      <c r="BC196" s="1"/>
      <c r="BD196" s="13" t="e">
        <f>bdrate(E196:E199,F196:F199,AU196:AU199,AV196:AV199)</f>
        <v>#VALUE!</v>
      </c>
      <c r="BE196" s="12" t="e">
        <f>bdrate(E196:E199,H196:H199,AU196:AU199,AX196:AX199)</f>
        <v>#VALUE!</v>
      </c>
      <c r="BF196" s="12" t="e">
        <f>bdrate(E196:E199,I196:I199,AU196:AU199,AY196:AY199)</f>
        <v>#VALUE!</v>
      </c>
      <c r="BG196" s="14" t="e">
        <f>bdrate(E196:E199,K196:K199,AU196:AU199,BA196:BA199)</f>
        <v>#VALUE!</v>
      </c>
      <c r="BH196" s="12">
        <f>bdrate(E198:E201,F198:F201,AU198:AU201,AV198:AV201)</f>
        <v>0.1423825198920321</v>
      </c>
      <c r="BI196" s="12">
        <f>bdrate(E198:E201,H198:H201,AU198:AU201,AX198:AX201)</f>
        <v>-0.13249557556769398</v>
      </c>
      <c r="BJ196" s="12">
        <f>bdrate(E198:E201,I198:I201,AU198:AU201,AY198:AY201)</f>
        <v>0.43247270646029934</v>
      </c>
      <c r="BK196" s="14">
        <f>bdrate(E198:E201,K198:K201,AU198:AU201,BA198:BA201)</f>
        <v>-0.12528326615140217</v>
      </c>
    </row>
    <row r="197" spans="1:63">
      <c r="A197" s="49"/>
      <c r="B197" s="7" t="s">
        <v>18</v>
      </c>
      <c r="C197" s="17">
        <v>1</v>
      </c>
      <c r="D197" s="7">
        <v>24</v>
      </c>
      <c r="E197" s="1">
        <v>0.99490394484603195</v>
      </c>
      <c r="F197" s="1">
        <v>43.223255372929401</v>
      </c>
      <c r="G197" s="1">
        <v>0.99565360652192203</v>
      </c>
      <c r="H197" s="1">
        <v>23.618709596485601</v>
      </c>
      <c r="I197" s="1">
        <v>46.705357724663799</v>
      </c>
      <c r="J197" s="1">
        <v>0.996473416841266</v>
      </c>
      <c r="K197" s="8">
        <v>24.526458708004199</v>
      </c>
      <c r="L197" s="7">
        <v>21</v>
      </c>
      <c r="M197" s="1">
        <v>0.99988370602452104</v>
      </c>
      <c r="N197" s="1">
        <v>43.979100613609901</v>
      </c>
      <c r="O197" s="1">
        <v>0.99621172094968002</v>
      </c>
      <c r="P197" s="1">
        <v>24.215580377071699</v>
      </c>
      <c r="Q197" s="1">
        <v>47.324393872057598</v>
      </c>
      <c r="R197" s="1">
        <v>0.99696615794628496</v>
      </c>
      <c r="S197" s="8">
        <v>25.180070329710201</v>
      </c>
      <c r="T197" s="7"/>
      <c r="U197" s="1"/>
      <c r="V197" s="1"/>
      <c r="W197" s="8"/>
      <c r="X197" s="7"/>
      <c r="Y197" s="1"/>
      <c r="Z197" s="1"/>
      <c r="AA197" s="8"/>
      <c r="AB197" s="7">
        <v>64</v>
      </c>
      <c r="AC197" s="1">
        <v>0.62211582399090304</v>
      </c>
      <c r="AD197" s="1">
        <v>39.3466724853361</v>
      </c>
      <c r="AE197" s="1">
        <v>0.98825782299768905</v>
      </c>
      <c r="AF197" s="1">
        <v>19.302513773268402</v>
      </c>
      <c r="AG197" s="1">
        <v>43.1230100495141</v>
      </c>
      <c r="AH197" s="1">
        <v>0.98990837048583502</v>
      </c>
      <c r="AI197" s="1">
        <v>19.960387017639899</v>
      </c>
      <c r="AJ197" s="1">
        <v>311.91684675216601</v>
      </c>
      <c r="AK197" s="1">
        <v>178.252862215042</v>
      </c>
      <c r="AL197" s="7"/>
      <c r="AM197" s="1"/>
      <c r="AN197" s="1"/>
      <c r="AO197" s="8"/>
      <c r="AP197" s="1"/>
      <c r="AQ197" s="1"/>
      <c r="AR197" s="1"/>
      <c r="AS197" s="8"/>
      <c r="AT197" s="7">
        <v>0.64</v>
      </c>
      <c r="AU197" s="1">
        <v>0.73467472549749802</v>
      </c>
      <c r="AV197" s="1">
        <v>39.452609731904602</v>
      </c>
      <c r="AW197" s="1">
        <v>0.99410186095178199</v>
      </c>
      <c r="AX197" s="1">
        <v>22.292849932013699</v>
      </c>
      <c r="AY197" s="1">
        <v>43.376563668892402</v>
      </c>
      <c r="AZ197" s="1">
        <v>0.99467186741922897</v>
      </c>
      <c r="BA197" s="1">
        <v>22.7342497708465</v>
      </c>
      <c r="BB197" s="1">
        <v>245.28974986076301</v>
      </c>
      <c r="BC197" s="1">
        <v>162.17166924476601</v>
      </c>
      <c r="BD197" s="7"/>
      <c r="BE197" s="1"/>
      <c r="BF197" s="1"/>
      <c r="BG197" s="8"/>
      <c r="BH197" s="1"/>
      <c r="BI197" s="1"/>
      <c r="BJ197" s="1"/>
      <c r="BK197" s="8"/>
    </row>
    <row r="198" spans="1:63">
      <c r="A198" s="49"/>
      <c r="B198" s="7" t="s">
        <v>18</v>
      </c>
      <c r="C198" s="17">
        <v>0.5</v>
      </c>
      <c r="D198" s="7">
        <v>31</v>
      </c>
      <c r="E198" s="1">
        <v>0.489808459140257</v>
      </c>
      <c r="F198" s="1">
        <v>37.727888193841103</v>
      </c>
      <c r="G198" s="1">
        <v>0.98201885185618198</v>
      </c>
      <c r="H198" s="1">
        <v>17.451825808672702</v>
      </c>
      <c r="I198" s="1">
        <v>41.698291927170402</v>
      </c>
      <c r="J198" s="1">
        <v>0.98347814562571001</v>
      </c>
      <c r="K198" s="8">
        <v>17.8194121008314</v>
      </c>
      <c r="L198" s="7">
        <v>28</v>
      </c>
      <c r="M198" s="1">
        <v>0.48715154041430703</v>
      </c>
      <c r="N198" s="1">
        <v>38.450911763159098</v>
      </c>
      <c r="O198" s="1">
        <v>0.98508424061181499</v>
      </c>
      <c r="P198" s="1">
        <v>18.263546310245101</v>
      </c>
      <c r="Q198" s="1">
        <v>42.4648161892327</v>
      </c>
      <c r="R198" s="1">
        <v>0.98621011417114901</v>
      </c>
      <c r="S198" s="8">
        <v>18.604393294808201</v>
      </c>
      <c r="T198" s="7"/>
      <c r="U198" s="1"/>
      <c r="V198" s="1"/>
      <c r="W198" s="8"/>
      <c r="X198" s="7"/>
      <c r="Y198" s="1"/>
      <c r="Z198" s="1"/>
      <c r="AA198" s="8"/>
      <c r="AB198" s="7">
        <v>32</v>
      </c>
      <c r="AC198" s="1">
        <v>0.42528162693120403</v>
      </c>
      <c r="AD198" s="1">
        <v>36.779818583135203</v>
      </c>
      <c r="AE198" s="1">
        <v>0.97717180434057405</v>
      </c>
      <c r="AF198" s="1">
        <v>16.415284137889</v>
      </c>
      <c r="AG198" s="1">
        <v>40.875919407380799</v>
      </c>
      <c r="AH198" s="1">
        <v>0.979128299075255</v>
      </c>
      <c r="AI198" s="1">
        <v>16.804421569656899</v>
      </c>
      <c r="AJ198" s="1">
        <v>409.01163315772999</v>
      </c>
      <c r="AK198" s="1">
        <v>258.06854057312</v>
      </c>
      <c r="AL198" s="7"/>
      <c r="AM198" s="1"/>
      <c r="AN198" s="1"/>
      <c r="AO198" s="8"/>
      <c r="AP198" s="1"/>
      <c r="AQ198" s="1"/>
      <c r="AR198" s="1"/>
      <c r="AS198" s="8"/>
      <c r="AT198" s="7">
        <v>0.32</v>
      </c>
      <c r="AU198" s="1">
        <v>0.59217600960317396</v>
      </c>
      <c r="AV198" s="1">
        <v>38.1896413691939</v>
      </c>
      <c r="AW198" s="1">
        <v>0.99055300067263397</v>
      </c>
      <c r="AX198" s="1">
        <v>20.2470611556592</v>
      </c>
      <c r="AY198" s="1">
        <v>42.126844749360103</v>
      </c>
      <c r="AZ198" s="1">
        <v>0.99127707306984103</v>
      </c>
      <c r="BA198" s="1">
        <v>20.593377654884002</v>
      </c>
      <c r="BB198" s="1">
        <v>428.67914080619801</v>
      </c>
      <c r="BC198" s="1">
        <v>213.58086252212499</v>
      </c>
      <c r="BD198" s="7"/>
      <c r="BE198" s="1"/>
      <c r="BF198" s="1"/>
      <c r="BG198" s="8"/>
      <c r="BH198" s="1"/>
      <c r="BI198" s="1"/>
      <c r="BJ198" s="1"/>
      <c r="BK198" s="8"/>
    </row>
    <row r="199" spans="1:63">
      <c r="A199" s="49"/>
      <c r="B199" s="7" t="s">
        <v>18</v>
      </c>
      <c r="C199" s="17">
        <v>0.25</v>
      </c>
      <c r="D199" s="7">
        <v>36</v>
      </c>
      <c r="E199" s="1">
        <v>0.217847594657158</v>
      </c>
      <c r="F199" s="1">
        <v>33.672206671822998</v>
      </c>
      <c r="G199" s="1">
        <v>0.94243974354508497</v>
      </c>
      <c r="H199" s="1">
        <v>12.3987727976833</v>
      </c>
      <c r="I199" s="1">
        <v>38.108501134687302</v>
      </c>
      <c r="J199" s="1">
        <v>0.94438660266187402</v>
      </c>
      <c r="K199" s="8">
        <v>12.5482057372126</v>
      </c>
      <c r="L199" s="7">
        <v>34</v>
      </c>
      <c r="M199" s="1">
        <v>0.22293770224110701</v>
      </c>
      <c r="N199" s="1">
        <v>34.307114220394702</v>
      </c>
      <c r="O199" s="1">
        <v>0.95143306482127898</v>
      </c>
      <c r="P199" s="1">
        <v>13.1365930185877</v>
      </c>
      <c r="Q199" s="1">
        <v>38.823996123951098</v>
      </c>
      <c r="R199" s="1">
        <v>0.952907159729386</v>
      </c>
      <c r="S199" s="8">
        <v>13.270451155318799</v>
      </c>
      <c r="T199" s="7"/>
      <c r="U199" s="1"/>
      <c r="V199" s="1"/>
      <c r="W199" s="8"/>
      <c r="X199" s="7"/>
      <c r="Y199" s="1"/>
      <c r="Z199" s="1"/>
      <c r="AA199" s="8"/>
      <c r="AB199" s="7">
        <v>16</v>
      </c>
      <c r="AC199" s="1">
        <v>0.25132507430982498</v>
      </c>
      <c r="AD199" s="1">
        <v>33.921342535506703</v>
      </c>
      <c r="AE199" s="1">
        <v>0.94821632318521798</v>
      </c>
      <c r="AF199" s="1">
        <v>12.858071164411299</v>
      </c>
      <c r="AG199" s="1">
        <v>38.222536046460903</v>
      </c>
      <c r="AH199" s="1">
        <v>0.95127681775959305</v>
      </c>
      <c r="AI199" s="1">
        <v>13.122643545230501</v>
      </c>
      <c r="AJ199" s="1">
        <v>286.393552064895</v>
      </c>
      <c r="AK199" s="1">
        <v>200.81908941268901</v>
      </c>
      <c r="AL199" s="7"/>
      <c r="AM199" s="1"/>
      <c r="AN199" s="1"/>
      <c r="AO199" s="8"/>
      <c r="AP199" s="1"/>
      <c r="AQ199" s="1"/>
      <c r="AR199" s="1"/>
      <c r="AS199" s="8"/>
      <c r="AT199" s="7">
        <v>0.16</v>
      </c>
      <c r="AU199" s="1">
        <v>0.44618164106617397</v>
      </c>
      <c r="AV199" s="1">
        <v>36.501787925837</v>
      </c>
      <c r="AW199" s="1">
        <v>0.98339811317613102</v>
      </c>
      <c r="AX199" s="1">
        <v>17.798425510787599</v>
      </c>
      <c r="AY199" s="1">
        <v>40.187326685197299</v>
      </c>
      <c r="AZ199" s="1">
        <v>0.98442501012809103</v>
      </c>
      <c r="BA199" s="1">
        <v>18.0757222708136</v>
      </c>
      <c r="BB199" s="1">
        <v>306.910726070404</v>
      </c>
      <c r="BC199" s="1">
        <v>226.899129867553</v>
      </c>
      <c r="BD199" s="7"/>
      <c r="BE199" s="1"/>
      <c r="BF199" s="1"/>
      <c r="BG199" s="8"/>
      <c r="BH199" s="1"/>
      <c r="BI199" s="1"/>
      <c r="BJ199" s="1"/>
      <c r="BK199" s="8"/>
    </row>
    <row r="200" spans="1:63">
      <c r="A200" s="49"/>
      <c r="B200" s="7" t="s">
        <v>18</v>
      </c>
      <c r="C200" s="17">
        <v>0.12</v>
      </c>
      <c r="D200" s="7">
        <v>39</v>
      </c>
      <c r="E200" s="1">
        <v>8.6204839120129106E-2</v>
      </c>
      <c r="F200" s="1">
        <v>31.2135890876689</v>
      </c>
      <c r="G200" s="1">
        <v>0.87158123904458196</v>
      </c>
      <c r="H200" s="1">
        <v>8.9137152467665803</v>
      </c>
      <c r="I200" s="1">
        <v>35.860700536349498</v>
      </c>
      <c r="J200" s="1">
        <v>0.87392796858863897</v>
      </c>
      <c r="K200" s="8">
        <v>8.99381249279031</v>
      </c>
      <c r="L200" s="7">
        <v>37</v>
      </c>
      <c r="M200" s="1">
        <v>0.111932255405866</v>
      </c>
      <c r="N200" s="1">
        <v>32.061434784763101</v>
      </c>
      <c r="O200" s="1">
        <v>0.90483748044424706</v>
      </c>
      <c r="P200" s="1">
        <v>10.215340679517601</v>
      </c>
      <c r="Q200" s="1">
        <v>36.861544385603899</v>
      </c>
      <c r="R200" s="1">
        <v>0.90653598756522202</v>
      </c>
      <c r="S200" s="8">
        <v>10.2935557853449</v>
      </c>
      <c r="T200" s="7"/>
      <c r="U200" s="1"/>
      <c r="V200" s="1"/>
      <c r="W200" s="8"/>
      <c r="X200" s="7"/>
      <c r="Y200" s="1"/>
      <c r="Z200" s="1"/>
      <c r="AA200" s="8"/>
      <c r="AB200" s="7">
        <v>8</v>
      </c>
      <c r="AC200" s="1">
        <v>0.106908456900427</v>
      </c>
      <c r="AD200" s="1">
        <v>31.382835735841301</v>
      </c>
      <c r="AE200" s="1">
        <v>0.88306602463194706</v>
      </c>
      <c r="AF200" s="1">
        <v>9.3205928549284796</v>
      </c>
      <c r="AG200" s="1">
        <v>36.425233325664301</v>
      </c>
      <c r="AH200" s="1">
        <v>0.88456888872292005</v>
      </c>
      <c r="AI200" s="1">
        <v>9.3767712328620902</v>
      </c>
      <c r="AJ200" s="1">
        <v>241.88778519630401</v>
      </c>
      <c r="AK200" s="1">
        <v>165.831590652465</v>
      </c>
      <c r="AL200" s="7"/>
      <c r="AM200" s="1"/>
      <c r="AN200" s="1"/>
      <c r="AO200" s="8"/>
      <c r="AP200" s="1"/>
      <c r="AQ200" s="1"/>
      <c r="AR200" s="1"/>
      <c r="AS200" s="8"/>
      <c r="AT200" s="7">
        <v>0.08</v>
      </c>
      <c r="AU200" s="1">
        <v>0.31368699103195002</v>
      </c>
      <c r="AV200" s="1">
        <v>34.495780455410099</v>
      </c>
      <c r="AW200" s="1">
        <v>0.96968765487048203</v>
      </c>
      <c r="AX200" s="1">
        <v>15.1838046292599</v>
      </c>
      <c r="AY200" s="1">
        <v>37.825413790139699</v>
      </c>
      <c r="AZ200" s="1">
        <v>0.97094200791451402</v>
      </c>
      <c r="BA200" s="1">
        <v>15.367343988584301</v>
      </c>
      <c r="BB200" s="1">
        <v>223.03087019920301</v>
      </c>
      <c r="BC200" s="1">
        <v>162.416161060333</v>
      </c>
      <c r="BD200" s="7"/>
      <c r="BE200" s="1"/>
      <c r="BF200" s="1"/>
      <c r="BG200" s="8"/>
      <c r="BH200" s="1"/>
      <c r="BI200" s="1"/>
      <c r="BJ200" s="1"/>
      <c r="BK200" s="8"/>
    </row>
    <row r="201" spans="1:63">
      <c r="A201" s="49"/>
      <c r="B201" s="7" t="s">
        <v>18</v>
      </c>
      <c r="C201" s="17">
        <v>0.06</v>
      </c>
      <c r="D201" s="7">
        <v>40</v>
      </c>
      <c r="E201" s="1">
        <v>5.1204781542589603E-2</v>
      </c>
      <c r="F201" s="1">
        <v>30.493389353045</v>
      </c>
      <c r="G201" s="1">
        <v>0.83304416197823905</v>
      </c>
      <c r="H201" s="1">
        <v>7.7739839016871901</v>
      </c>
      <c r="I201" s="1">
        <v>35.1629336128684</v>
      </c>
      <c r="J201" s="1">
        <v>0.83551803622920395</v>
      </c>
      <c r="K201" s="8">
        <v>7.8388171755757403</v>
      </c>
      <c r="L201" s="7">
        <v>39</v>
      </c>
      <c r="M201" s="1">
        <v>4.57401035914844E-2</v>
      </c>
      <c r="N201" s="1">
        <v>30.562949836069901</v>
      </c>
      <c r="O201" s="1">
        <v>0.838266057623963</v>
      </c>
      <c r="P201" s="1">
        <v>7.9119882709610501</v>
      </c>
      <c r="Q201" s="1">
        <v>35.521427007501998</v>
      </c>
      <c r="R201" s="1">
        <v>0.840120306073183</v>
      </c>
      <c r="S201" s="8">
        <v>7.9620669182312698</v>
      </c>
      <c r="T201" s="7"/>
      <c r="U201" s="1"/>
      <c r="V201" s="1"/>
      <c r="W201" s="8"/>
      <c r="X201" s="7"/>
      <c r="Y201" s="1"/>
      <c r="Z201" s="1"/>
      <c r="AA201" s="8"/>
      <c r="AB201" s="7">
        <v>4</v>
      </c>
      <c r="AC201" s="1">
        <v>4.0544205187622397E-2</v>
      </c>
      <c r="AD201" s="1">
        <v>30.1322745653464</v>
      </c>
      <c r="AE201" s="1">
        <v>0.80800939471884803</v>
      </c>
      <c r="AF201" s="1">
        <v>7.1672002220467403</v>
      </c>
      <c r="AG201" s="1">
        <v>35.207514609273503</v>
      </c>
      <c r="AH201" s="1">
        <v>0.81020769383938396</v>
      </c>
      <c r="AI201" s="1">
        <v>7.2172139707055498</v>
      </c>
      <c r="AJ201" s="1">
        <v>220.45880532264701</v>
      </c>
      <c r="AK201" s="1">
        <v>158.119151115417</v>
      </c>
      <c r="AL201" s="7"/>
      <c r="AM201" s="1"/>
      <c r="AN201" s="1"/>
      <c r="AO201" s="8"/>
      <c r="AP201" s="1"/>
      <c r="AQ201" s="1"/>
      <c r="AR201" s="1"/>
      <c r="AS201" s="8"/>
      <c r="AT201" s="7">
        <v>0.04</v>
      </c>
      <c r="AU201" s="1">
        <v>0.19865845598298301</v>
      </c>
      <c r="AV201" s="1">
        <v>32.530213824880498</v>
      </c>
      <c r="AW201" s="1">
        <v>0.94433712747026999</v>
      </c>
      <c r="AX201" s="1">
        <v>12.544343852887099</v>
      </c>
      <c r="AY201" s="1">
        <v>35.888202873551798</v>
      </c>
      <c r="AZ201" s="1">
        <v>0.94600628272015996</v>
      </c>
      <c r="BA201" s="1">
        <v>12.676567718332899</v>
      </c>
      <c r="BB201" s="1">
        <v>244.64552307128901</v>
      </c>
      <c r="BC201" s="1">
        <v>180.448602676391</v>
      </c>
      <c r="BD201" s="7"/>
      <c r="BE201" s="1"/>
      <c r="BF201" s="1"/>
      <c r="BG201" s="8"/>
      <c r="BH201" s="1"/>
      <c r="BI201" s="1"/>
      <c r="BJ201" s="1"/>
      <c r="BK201" s="8"/>
    </row>
    <row r="202" spans="1:63">
      <c r="A202" s="49"/>
      <c r="B202" s="7" t="s">
        <v>53</v>
      </c>
      <c r="C202" s="17">
        <v>1.5</v>
      </c>
      <c r="D202" s="7">
        <v>20</v>
      </c>
      <c r="E202" s="1">
        <v>1.3989952400447101</v>
      </c>
      <c r="F202" s="1">
        <v>43.494180634199601</v>
      </c>
      <c r="G202" s="1">
        <v>0.996367589977882</v>
      </c>
      <c r="H202" s="1">
        <v>24.3980513473998</v>
      </c>
      <c r="I202" s="1">
        <v>47.352123764785098</v>
      </c>
      <c r="J202" s="1">
        <v>0.99837413891386495</v>
      </c>
      <c r="K202" s="8">
        <v>27.889165633559401</v>
      </c>
      <c r="L202" s="7">
        <v>18</v>
      </c>
      <c r="M202" s="1">
        <v>1.3390203291698899</v>
      </c>
      <c r="N202" s="1">
        <v>43.736928863706801</v>
      </c>
      <c r="O202" s="1">
        <v>0.99647271218598699</v>
      </c>
      <c r="P202" s="1">
        <v>24.5255910201736</v>
      </c>
      <c r="Q202" s="1">
        <v>47.691852135053502</v>
      </c>
      <c r="R202" s="1">
        <v>0.99839132656734797</v>
      </c>
      <c r="S202" s="8">
        <v>27.935321105263402</v>
      </c>
      <c r="T202" s="13">
        <f>bdrate(E202:E205,F202:F205,M202:M205,N202:N205)</f>
        <v>-0.1549038016361779</v>
      </c>
      <c r="U202" s="12">
        <f>bdrate(E202:E205,H202:H205,M202:M205,P202:P205)</f>
        <v>-0.1300179678689749</v>
      </c>
      <c r="V202" s="12">
        <f>bdrate(E202:E205,I202:I205,M202:M205,Q202:Q205)</f>
        <v>-0.16434659186057288</v>
      </c>
      <c r="W202" s="14">
        <f>bdrate(E202:E205,K202:K205,M202:M205,S202:S205)</f>
        <v>-0.11922614471003234</v>
      </c>
      <c r="X202" s="13">
        <f>bdrate(E204:E207,F204:F207,M204:M207,N204:N207)</f>
        <v>-0.2460231156881173</v>
      </c>
      <c r="Y202" s="12">
        <f>bdrate(E204:E207,H204:H207,M204:M207,P204:P207)</f>
        <v>-0.21634152303003096</v>
      </c>
      <c r="Z202" s="12">
        <f>bdrate(E204:E207,I204:I207,M204:M207,Q204:Q207)</f>
        <v>-0.23981291813159822</v>
      </c>
      <c r="AA202" s="14">
        <f>bdrate(E204:E207,K204:K207,M204:M207,S204:S207)</f>
        <v>-0.18119388728846109</v>
      </c>
      <c r="AB202" s="7"/>
      <c r="AC202" s="1"/>
      <c r="AD202" s="1"/>
      <c r="AE202" s="1"/>
      <c r="AF202" s="1"/>
      <c r="AG202" s="1"/>
      <c r="AH202" s="1"/>
      <c r="AI202" s="1"/>
      <c r="AJ202" s="1"/>
      <c r="AK202" s="1"/>
      <c r="AL202" s="13" t="e">
        <f>bdrate(E202:E205,F202:F205,AC202:AC205,AD202:AD205)</f>
        <v>#VALUE!</v>
      </c>
      <c r="AM202" s="12" t="e">
        <f>bdrate(E202:E205,H202:H205,AC202:AC205,AF202:AF205)</f>
        <v>#VALUE!</v>
      </c>
      <c r="AN202" s="12" t="e">
        <f>bdrate(E202:E205,I202:I205,AC202:AC205,AG202:AG205)</f>
        <v>#VALUE!</v>
      </c>
      <c r="AO202" s="14" t="e">
        <f>bdrate(E202:E205,K202:K205,AC202:AC205,AI202:AI205)</f>
        <v>#VALUE!</v>
      </c>
      <c r="AP202" s="12">
        <f>bdrate(E204:E207,F204:F207,AC204:AC207,AD204:AD207)</f>
        <v>-0.11810417356381631</v>
      </c>
      <c r="AQ202" s="12">
        <f>bdrate(E204:E207,H204:H207,AC204:AC207,AF204:AF207)</f>
        <v>-0.1627132701630406</v>
      </c>
      <c r="AR202" s="12">
        <f>bdrate(E204:E207,I204:I207,AC204:AC207,AG204:AG207)</f>
        <v>-0.11011436467562907</v>
      </c>
      <c r="AS202" s="14">
        <f>bdrate(E204:E207,K204:K207,AC204:AC207,AI204:AI207)</f>
        <v>-0.12797648495815883</v>
      </c>
      <c r="AT202" s="7"/>
      <c r="AU202" s="1"/>
      <c r="AV202" s="1"/>
      <c r="AW202" s="1"/>
      <c r="AX202" s="1"/>
      <c r="AY202" s="1"/>
      <c r="AZ202" s="1"/>
      <c r="BA202" s="1"/>
      <c r="BB202" s="1"/>
      <c r="BC202" s="1"/>
      <c r="BD202" s="13" t="e">
        <f>bdrate(E202:E205,F202:F205,AU202:AU205,AV202:AV205)</f>
        <v>#VALUE!</v>
      </c>
      <c r="BE202" s="12" t="e">
        <f>bdrate(E202:E205,H202:H205,AU202:AU205,AX202:AX205)</f>
        <v>#VALUE!</v>
      </c>
      <c r="BF202" s="12" t="e">
        <f>bdrate(E202:E205,I202:I205,AU202:AU205,AY202:AY205)</f>
        <v>#VALUE!</v>
      </c>
      <c r="BG202" s="14" t="e">
        <f>bdrate(E202:E205,K202:K205,AU202:AU205,BA202:BA205)</f>
        <v>#VALUE!</v>
      </c>
      <c r="BH202" s="12">
        <f>bdrate(E204:E207,F204:F207,AU204:AU207,AV204:AV207)</f>
        <v>0.32646148010090803</v>
      </c>
      <c r="BI202" s="12">
        <f>bdrate(E204:E207,H204:H207,AU204:AU207,AX204:AX207)</f>
        <v>-0.39742212257460729</v>
      </c>
      <c r="BJ202" s="12">
        <f>bdrate(E204:E207,I204:I207,AU204:AU207,AY204:AY207)</f>
        <v>0.40457062874952565</v>
      </c>
      <c r="BK202" s="14">
        <f>bdrate(E204:E207,K204:K207,AU204:AU207,BA204:BA207)</f>
        <v>-0.37041326188978307</v>
      </c>
    </row>
    <row r="203" spans="1:63">
      <c r="A203" s="49"/>
      <c r="B203" s="7" t="s">
        <v>18</v>
      </c>
      <c r="C203" s="17">
        <v>1</v>
      </c>
      <c r="D203" s="7">
        <v>23</v>
      </c>
      <c r="E203" s="1">
        <v>0.99765782253893098</v>
      </c>
      <c r="F203" s="1">
        <v>41.861078794907698</v>
      </c>
      <c r="G203" s="1">
        <v>0.99435338123846795</v>
      </c>
      <c r="H203" s="1">
        <v>22.482115332038699</v>
      </c>
      <c r="I203" s="1">
        <v>45.594466864726201</v>
      </c>
      <c r="J203" s="1">
        <v>0.997340597940651</v>
      </c>
      <c r="K203" s="8">
        <v>25.752159992774299</v>
      </c>
      <c r="L203" s="7">
        <v>21</v>
      </c>
      <c r="M203" s="1">
        <v>0.92518280113144002</v>
      </c>
      <c r="N203" s="1">
        <v>42.0893354616531</v>
      </c>
      <c r="O203" s="1">
        <v>0.994501282558091</v>
      </c>
      <c r="P203" s="1">
        <v>22.597385964797201</v>
      </c>
      <c r="Q203" s="1">
        <v>45.943401446983202</v>
      </c>
      <c r="R203" s="1">
        <v>0.99741539786741795</v>
      </c>
      <c r="S203" s="8">
        <v>25.876063016699199</v>
      </c>
      <c r="T203" s="7"/>
      <c r="U203" s="1"/>
      <c r="V203" s="1"/>
      <c r="W203" s="8"/>
      <c r="X203" s="7"/>
      <c r="Y203" s="1"/>
      <c r="Z203" s="1"/>
      <c r="AA203" s="8"/>
      <c r="AB203" s="7">
        <v>64</v>
      </c>
      <c r="AC203" s="1">
        <v>0.42035716354112102</v>
      </c>
      <c r="AD203" s="1">
        <v>38.087768913177101</v>
      </c>
      <c r="AE203" s="1">
        <v>0.98594767406235395</v>
      </c>
      <c r="AF203" s="1">
        <v>18.522517854897998</v>
      </c>
      <c r="AG203" s="1">
        <v>42.0496937375896</v>
      </c>
      <c r="AH203" s="1">
        <v>0.99402333983515201</v>
      </c>
      <c r="AI203" s="1">
        <v>22.235414376123799</v>
      </c>
      <c r="AJ203" s="1">
        <v>373.38912248611399</v>
      </c>
      <c r="AK203" s="1">
        <v>171.31869602203301</v>
      </c>
      <c r="AL203" s="7"/>
      <c r="AM203" s="1"/>
      <c r="AN203" s="1"/>
      <c r="AO203" s="8"/>
      <c r="AP203" s="1"/>
      <c r="AQ203" s="1"/>
      <c r="AR203" s="1"/>
      <c r="AS203" s="8"/>
      <c r="AT203" s="7">
        <v>0.64</v>
      </c>
      <c r="AU203" s="1">
        <v>0.50294686090783003</v>
      </c>
      <c r="AV203" s="1">
        <v>36.947606529135001</v>
      </c>
      <c r="AW203" s="1">
        <v>0.99245405274873999</v>
      </c>
      <c r="AX203" s="1">
        <v>21.222862349906698</v>
      </c>
      <c r="AY203" s="1">
        <v>40.046783897146099</v>
      </c>
      <c r="AZ203" s="1">
        <v>0.99596156420832105</v>
      </c>
      <c r="BA203" s="1">
        <v>23.9378681770804</v>
      </c>
      <c r="BB203" s="1">
        <v>204.65086984634399</v>
      </c>
      <c r="BC203" s="1">
        <v>122.744116544723</v>
      </c>
      <c r="BD203" s="7"/>
      <c r="BE203" s="1"/>
      <c r="BF203" s="1"/>
      <c r="BG203" s="8"/>
      <c r="BH203" s="1"/>
      <c r="BI203" s="1"/>
      <c r="BJ203" s="1"/>
      <c r="BK203" s="8"/>
    </row>
    <row r="204" spans="1:63">
      <c r="A204" s="49"/>
      <c r="B204" s="7" t="s">
        <v>18</v>
      </c>
      <c r="C204" s="17">
        <v>0.5</v>
      </c>
      <c r="D204" s="7">
        <v>29</v>
      </c>
      <c r="E204" s="1">
        <v>0.48244410491992601</v>
      </c>
      <c r="F204" s="1">
        <v>38.4883386036757</v>
      </c>
      <c r="G204" s="1">
        <v>0.98634494824728203</v>
      </c>
      <c r="H204" s="1">
        <v>18.647066495427701</v>
      </c>
      <c r="I204" s="1">
        <v>42.012110418051797</v>
      </c>
      <c r="J204" s="1">
        <v>0.99301924585801804</v>
      </c>
      <c r="K204" s="8">
        <v>21.560976573182099</v>
      </c>
      <c r="L204" s="7">
        <v>27</v>
      </c>
      <c r="M204" s="1">
        <v>0.44135956705923801</v>
      </c>
      <c r="N204" s="1">
        <v>38.925740573066903</v>
      </c>
      <c r="O204" s="1">
        <v>0.98743227666531697</v>
      </c>
      <c r="P204" s="1">
        <v>19.007433884027702</v>
      </c>
      <c r="Q204" s="1">
        <v>42.501755677658302</v>
      </c>
      <c r="R204" s="1">
        <v>0.99348870616433205</v>
      </c>
      <c r="S204" s="8">
        <v>21.863327057697202</v>
      </c>
      <c r="T204" s="7"/>
      <c r="U204" s="1"/>
      <c r="V204" s="1"/>
      <c r="W204" s="8"/>
      <c r="X204" s="7"/>
      <c r="Y204" s="1"/>
      <c r="Z204" s="1"/>
      <c r="AA204" s="8"/>
      <c r="AB204" s="7">
        <v>32</v>
      </c>
      <c r="AC204" s="1">
        <v>0.31487290255781702</v>
      </c>
      <c r="AD204" s="1">
        <v>36.824578086708499</v>
      </c>
      <c r="AE204" s="1">
        <v>0.98156491965526105</v>
      </c>
      <c r="AF204" s="1">
        <v>17.343549652886399</v>
      </c>
      <c r="AG204" s="1">
        <v>40.501806516139403</v>
      </c>
      <c r="AH204" s="1">
        <v>0.99093820387001796</v>
      </c>
      <c r="AI204" s="1">
        <v>20.427857126953199</v>
      </c>
      <c r="AJ204" s="1">
        <v>361.63313412666298</v>
      </c>
      <c r="AK204" s="1">
        <v>203.57662916183401</v>
      </c>
      <c r="AL204" s="7"/>
      <c r="AM204" s="1"/>
      <c r="AN204" s="1"/>
      <c r="AO204" s="8"/>
      <c r="AP204" s="1"/>
      <c r="AQ204" s="1"/>
      <c r="AR204" s="1"/>
      <c r="AS204" s="8"/>
      <c r="AT204" s="7">
        <v>0.32</v>
      </c>
      <c r="AU204" s="1">
        <v>0.34032561054466598</v>
      </c>
      <c r="AV204" s="1">
        <v>35.470256550349497</v>
      </c>
      <c r="AW204" s="1">
        <v>0.98821161308686301</v>
      </c>
      <c r="AX204" s="1">
        <v>19.285456183699001</v>
      </c>
      <c r="AY204" s="1">
        <v>38.505835647316196</v>
      </c>
      <c r="AZ204" s="1">
        <v>0.99356657884459798</v>
      </c>
      <c r="BA204" s="1">
        <v>21.915580171555</v>
      </c>
      <c r="BB204" s="1">
        <v>299.71549296378998</v>
      </c>
      <c r="BC204" s="1">
        <v>171.385358572006</v>
      </c>
      <c r="BD204" s="7"/>
      <c r="BE204" s="1"/>
      <c r="BF204" s="1"/>
      <c r="BG204" s="8"/>
      <c r="BH204" s="1"/>
      <c r="BI204" s="1"/>
      <c r="BJ204" s="1"/>
      <c r="BK204" s="8"/>
    </row>
    <row r="205" spans="1:63">
      <c r="A205" s="49"/>
      <c r="B205" s="7" t="s">
        <v>18</v>
      </c>
      <c r="C205" s="17">
        <v>0.25</v>
      </c>
      <c r="D205" s="7">
        <v>35</v>
      </c>
      <c r="E205" s="1">
        <v>0.22838990574968199</v>
      </c>
      <c r="F205" s="1">
        <v>35.304865502558997</v>
      </c>
      <c r="G205" s="1">
        <v>0.97178449651052101</v>
      </c>
      <c r="H205" s="1">
        <v>15.495121955888299</v>
      </c>
      <c r="I205" s="1">
        <v>38.656884713718398</v>
      </c>
      <c r="J205" s="1">
        <v>0.98397334343569698</v>
      </c>
      <c r="K205" s="8">
        <v>17.951570694813601</v>
      </c>
      <c r="L205" s="7">
        <v>32</v>
      </c>
      <c r="M205" s="1">
        <v>0.233345593498336</v>
      </c>
      <c r="N205" s="1">
        <v>36.465580461584203</v>
      </c>
      <c r="O205" s="1">
        <v>0.97757409471296397</v>
      </c>
      <c r="P205" s="1">
        <v>16.492500163673199</v>
      </c>
      <c r="Q205" s="1">
        <v>39.864436286828699</v>
      </c>
      <c r="R205" s="1">
        <v>0.98724878416949302</v>
      </c>
      <c r="S205" s="8">
        <v>18.9444840320606</v>
      </c>
      <c r="T205" s="7"/>
      <c r="U205" s="1"/>
      <c r="V205" s="1"/>
      <c r="W205" s="8"/>
      <c r="X205" s="7"/>
      <c r="Y205" s="1"/>
      <c r="Z205" s="1"/>
      <c r="AA205" s="8"/>
      <c r="AB205" s="7">
        <v>16</v>
      </c>
      <c r="AC205" s="1">
        <v>0.21169313834652101</v>
      </c>
      <c r="AD205" s="1">
        <v>35.560985622117698</v>
      </c>
      <c r="AE205" s="1">
        <v>0.97459188028110499</v>
      </c>
      <c r="AF205" s="1">
        <v>15.9502747292377</v>
      </c>
      <c r="AG205" s="1">
        <v>38.923533658009902</v>
      </c>
      <c r="AH205" s="1">
        <v>0.98546048292493105</v>
      </c>
      <c r="AI205" s="1">
        <v>18.374500181754701</v>
      </c>
      <c r="AJ205" s="1">
        <v>244.799068450927</v>
      </c>
      <c r="AK205" s="1">
        <v>170.35366797447199</v>
      </c>
      <c r="AL205" s="7"/>
      <c r="AM205" s="1"/>
      <c r="AN205" s="1"/>
      <c r="AO205" s="8"/>
      <c r="AP205" s="1"/>
      <c r="AQ205" s="1"/>
      <c r="AR205" s="1"/>
      <c r="AS205" s="8"/>
      <c r="AT205" s="7">
        <v>0.16</v>
      </c>
      <c r="AU205" s="1">
        <v>0.221420969853138</v>
      </c>
      <c r="AV205" s="1">
        <v>33.9115271964058</v>
      </c>
      <c r="AW205" s="1">
        <v>0.98186305102373495</v>
      </c>
      <c r="AX205" s="1">
        <v>17.414357687762699</v>
      </c>
      <c r="AY205" s="1">
        <v>36.9210468604239</v>
      </c>
      <c r="AZ205" s="1">
        <v>0.98985607368938899</v>
      </c>
      <c r="BA205" s="1">
        <v>19.9379391433332</v>
      </c>
      <c r="BB205" s="1">
        <v>246.93042397498999</v>
      </c>
      <c r="BC205" s="1">
        <v>173.43307375907801</v>
      </c>
      <c r="BD205" s="7"/>
      <c r="BE205" s="1"/>
      <c r="BF205" s="1"/>
      <c r="BG205" s="8"/>
      <c r="BH205" s="1"/>
      <c r="BI205" s="1"/>
      <c r="BJ205" s="1"/>
      <c r="BK205" s="8"/>
    </row>
    <row r="206" spans="1:63">
      <c r="A206" s="49"/>
      <c r="B206" s="7" t="s">
        <v>18</v>
      </c>
      <c r="C206" s="17">
        <v>0.12</v>
      </c>
      <c r="D206" s="7">
        <v>41</v>
      </c>
      <c r="E206" s="1">
        <v>0.106921384938192</v>
      </c>
      <c r="F206" s="1">
        <v>32.084609491998201</v>
      </c>
      <c r="G206" s="1">
        <v>0.94512562366297803</v>
      </c>
      <c r="H206" s="1">
        <v>12.6063040260274</v>
      </c>
      <c r="I206" s="1">
        <v>35.271634548276801</v>
      </c>
      <c r="J206" s="1">
        <v>0.96337346656908995</v>
      </c>
      <c r="K206" s="8">
        <v>14.362041837943799</v>
      </c>
      <c r="L206" s="7">
        <v>38</v>
      </c>
      <c r="M206" s="1">
        <v>0.109970254561335</v>
      </c>
      <c r="N206" s="1">
        <v>33.523144207889501</v>
      </c>
      <c r="O206" s="1">
        <v>0.95744572911661097</v>
      </c>
      <c r="P206" s="1">
        <v>13.710568462020101</v>
      </c>
      <c r="Q206" s="1">
        <v>36.723924991340802</v>
      </c>
      <c r="R206" s="1">
        <v>0.97183889937448098</v>
      </c>
      <c r="S206" s="8">
        <v>15.5035037558645</v>
      </c>
      <c r="T206" s="7"/>
      <c r="U206" s="1"/>
      <c r="V206" s="1"/>
      <c r="W206" s="8"/>
      <c r="X206" s="7"/>
      <c r="Y206" s="1"/>
      <c r="Z206" s="1"/>
      <c r="AA206" s="8"/>
      <c r="AB206" s="7">
        <v>8</v>
      </c>
      <c r="AC206" s="1">
        <v>0.156441298704381</v>
      </c>
      <c r="AD206" s="1">
        <v>34.300915167425899</v>
      </c>
      <c r="AE206" s="1">
        <v>0.96661304540729898</v>
      </c>
      <c r="AF206" s="1">
        <v>14.7642319352138</v>
      </c>
      <c r="AG206" s="1">
        <v>37.475143011801997</v>
      </c>
      <c r="AH206" s="1">
        <v>0.97843306152199905</v>
      </c>
      <c r="AI206" s="1">
        <v>16.6621150053851</v>
      </c>
      <c r="AJ206" s="1">
        <v>188.41060924530001</v>
      </c>
      <c r="AK206" s="1">
        <v>128.37685775756799</v>
      </c>
      <c r="AL206" s="7"/>
      <c r="AM206" s="1"/>
      <c r="AN206" s="1"/>
      <c r="AO206" s="8"/>
      <c r="AP206" s="1"/>
      <c r="AQ206" s="1"/>
      <c r="AR206" s="1"/>
      <c r="AS206" s="8"/>
      <c r="AT206" s="7">
        <v>0.08</v>
      </c>
      <c r="AU206" s="1">
        <v>0.15104841936679</v>
      </c>
      <c r="AV206" s="1">
        <v>32.4459252460694</v>
      </c>
      <c r="AW206" s="1">
        <v>0.97426768517667295</v>
      </c>
      <c r="AX206" s="1">
        <v>15.8952114384103</v>
      </c>
      <c r="AY206" s="1">
        <v>35.419626399718901</v>
      </c>
      <c r="AZ206" s="1">
        <v>0.985102066943502</v>
      </c>
      <c r="BA206" s="1">
        <v>18.268739815491799</v>
      </c>
      <c r="BB206" s="1">
        <v>159.63757061958299</v>
      </c>
      <c r="BC206" s="1">
        <v>103.27774119377101</v>
      </c>
      <c r="BD206" s="7"/>
      <c r="BE206" s="1"/>
      <c r="BF206" s="1"/>
      <c r="BG206" s="8"/>
      <c r="BH206" s="1"/>
      <c r="BI206" s="1"/>
      <c r="BJ206" s="1"/>
      <c r="BK206" s="8"/>
    </row>
    <row r="207" spans="1:63">
      <c r="A207" s="49"/>
      <c r="B207" s="7" t="s">
        <v>18</v>
      </c>
      <c r="C207" s="17">
        <v>0.06</v>
      </c>
      <c r="D207" s="7">
        <v>46</v>
      </c>
      <c r="E207" s="1">
        <v>5.6326336754309703E-2</v>
      </c>
      <c r="F207" s="1">
        <v>29.378045744280801</v>
      </c>
      <c r="G207" s="1">
        <v>0.90837189523536899</v>
      </c>
      <c r="H207" s="1">
        <v>10.379712962874899</v>
      </c>
      <c r="I207" s="1">
        <v>32.463996605948999</v>
      </c>
      <c r="J207" s="1">
        <v>0.93084378793207501</v>
      </c>
      <c r="K207" s="8">
        <v>11.6016880260243</v>
      </c>
      <c r="L207" s="7">
        <v>43</v>
      </c>
      <c r="M207" s="1">
        <v>5.9092880030660697E-2</v>
      </c>
      <c r="N207" s="1">
        <v>30.989365945467799</v>
      </c>
      <c r="O207" s="1">
        <v>0.92909923378209602</v>
      </c>
      <c r="P207" s="1">
        <v>11.49349071412</v>
      </c>
      <c r="Q207" s="1">
        <v>34.059252263708103</v>
      </c>
      <c r="R207" s="1">
        <v>0.94671643816529705</v>
      </c>
      <c r="S207" s="8">
        <v>12.7340675167834</v>
      </c>
      <c r="T207" s="7"/>
      <c r="U207" s="1"/>
      <c r="V207" s="1"/>
      <c r="W207" s="8"/>
      <c r="X207" s="7"/>
      <c r="Y207" s="1"/>
      <c r="Z207" s="1"/>
      <c r="AA207" s="8"/>
      <c r="AB207" s="7">
        <v>4</v>
      </c>
      <c r="AC207" s="1">
        <v>0.11344356966294999</v>
      </c>
      <c r="AD207" s="1">
        <v>32.889065165757899</v>
      </c>
      <c r="AE207" s="1">
        <v>0.95419707935394005</v>
      </c>
      <c r="AF207" s="1">
        <v>13.391068281091</v>
      </c>
      <c r="AG207" s="1">
        <v>35.951027887877302</v>
      </c>
      <c r="AH207" s="1">
        <v>0.96754344786383695</v>
      </c>
      <c r="AI207" s="1">
        <v>14.886976172198899</v>
      </c>
      <c r="AJ207" s="1">
        <v>183.465023040771</v>
      </c>
      <c r="AK207" s="1">
        <v>130.24737715721099</v>
      </c>
      <c r="AL207" s="7"/>
      <c r="AM207" s="1"/>
      <c r="AN207" s="1"/>
      <c r="AO207" s="8"/>
      <c r="AP207" s="1"/>
      <c r="AQ207" s="1"/>
      <c r="AR207" s="1"/>
      <c r="AS207" s="8"/>
      <c r="AT207" s="7">
        <v>0.04</v>
      </c>
      <c r="AU207" s="1">
        <v>0.103329531009255</v>
      </c>
      <c r="AV207" s="1">
        <v>31.025511212246201</v>
      </c>
      <c r="AW207" s="1">
        <v>0.96418646941479902</v>
      </c>
      <c r="AX207" s="1">
        <v>14.4595286306826</v>
      </c>
      <c r="AY207" s="1">
        <v>33.951849048392603</v>
      </c>
      <c r="AZ207" s="1">
        <v>0.97782735697920098</v>
      </c>
      <c r="BA207" s="1">
        <v>16.5418253507979</v>
      </c>
      <c r="BB207" s="1">
        <v>215.547669649124</v>
      </c>
      <c r="BC207" s="1">
        <v>168.39793086051901</v>
      </c>
      <c r="BD207" s="7"/>
      <c r="BE207" s="1"/>
      <c r="BF207" s="1"/>
      <c r="BG207" s="8"/>
      <c r="BH207" s="1"/>
      <c r="BI207" s="1"/>
      <c r="BJ207" s="1"/>
      <c r="BK207" s="8"/>
    </row>
    <row r="208" spans="1:63">
      <c r="A208" s="49"/>
      <c r="B208" s="7" t="s">
        <v>54</v>
      </c>
      <c r="C208" s="17">
        <v>1.5</v>
      </c>
      <c r="D208" s="7">
        <v>22</v>
      </c>
      <c r="E208" s="1">
        <v>1.3688180512688599</v>
      </c>
      <c r="F208" s="1">
        <v>41.336371521631399</v>
      </c>
      <c r="G208" s="1">
        <v>0.99289961855758202</v>
      </c>
      <c r="H208" s="1">
        <v>21.487183197475201</v>
      </c>
      <c r="I208" s="1">
        <v>44.923489103978199</v>
      </c>
      <c r="J208" s="1">
        <v>0.99639167225048197</v>
      </c>
      <c r="K208" s="8">
        <v>24.426940217557899</v>
      </c>
      <c r="L208" s="7">
        <v>19</v>
      </c>
      <c r="M208" s="1">
        <v>1.46065672153635</v>
      </c>
      <c r="N208" s="1">
        <v>42.058449880132699</v>
      </c>
      <c r="O208" s="1">
        <v>0.99399670653848604</v>
      </c>
      <c r="P208" s="1">
        <v>22.216104263257801</v>
      </c>
      <c r="Q208" s="1">
        <v>45.827775304694697</v>
      </c>
      <c r="R208" s="1">
        <v>0.997136207794454</v>
      </c>
      <c r="S208" s="8">
        <v>25.430584972785699</v>
      </c>
      <c r="T208" s="13">
        <f>bdrate(E208:E211,F208:F211,M208:M211,N208:N211)</f>
        <v>-0.16613211268328021</v>
      </c>
      <c r="U208" s="12">
        <f>bdrate(E208:E211,H208:H211,M208:M211,P208:P211)</f>
        <v>-0.15025242484450418</v>
      </c>
      <c r="V208" s="12">
        <f>bdrate(E208:E211,I208:I211,M208:M211,Q208:Q211)</f>
        <v>-0.15856675726649361</v>
      </c>
      <c r="W208" s="14">
        <f>bdrate(E208:E211,K208:K211,M208:M211,S208:S211)</f>
        <v>-0.11712554460427449</v>
      </c>
      <c r="X208" s="13">
        <f>bdrate(E210:E213,F210:F213,M210:M213,N210:N213)</f>
        <v>-0.21964642604915818</v>
      </c>
      <c r="Y208" s="12">
        <f>bdrate(E210:E213,H210:H213,M210:M213,P210:P213)</f>
        <v>-0.2030887773963389</v>
      </c>
      <c r="Z208" s="12">
        <f>bdrate(E210:E213,I210:I213,M210:M213,Q210:Q213)</f>
        <v>-0.19791488963604409</v>
      </c>
      <c r="AA208" s="14">
        <f>bdrate(E210:E213,K210:K213,M210:M213,S210:S213)</f>
        <v>-0.12996160078030861</v>
      </c>
      <c r="AB208" s="7"/>
      <c r="AC208" s="1"/>
      <c r="AD208" s="1"/>
      <c r="AE208" s="1"/>
      <c r="AF208" s="1"/>
      <c r="AG208" s="1"/>
      <c r="AH208" s="1"/>
      <c r="AI208" s="1"/>
      <c r="AJ208" s="1"/>
      <c r="AK208" s="1"/>
      <c r="AL208" s="13" t="e">
        <f>bdrate(E208:E211,F208:F211,AC208:AC211,AD208:AD211)</f>
        <v>#VALUE!</v>
      </c>
      <c r="AM208" s="12" t="e">
        <f>bdrate(E208:E211,H208:H211,AC208:AC211,AF208:AF211)</f>
        <v>#VALUE!</v>
      </c>
      <c r="AN208" s="12" t="e">
        <f>bdrate(E208:E211,I208:I211,AC208:AC211,AG208:AG211)</f>
        <v>#VALUE!</v>
      </c>
      <c r="AO208" s="14" t="e">
        <f>bdrate(E208:E211,K208:K211,AC208:AC211,AI208:AI211)</f>
        <v>#VALUE!</v>
      </c>
      <c r="AP208" s="12">
        <f>bdrate(E210:E213,F210:F213,AC210:AC213,AD210:AD213)</f>
        <v>-0.19918957323476871</v>
      </c>
      <c r="AQ208" s="12">
        <f>bdrate(E210:E213,H210:H213,AC210:AC213,AF210:AF213)</f>
        <v>-0.23084412566982737</v>
      </c>
      <c r="AR208" s="12">
        <f>bdrate(E210:E213,I210:I213,AC210:AC213,AG210:AG213)</f>
        <v>-0.18638410476392286</v>
      </c>
      <c r="AS208" s="14">
        <f>bdrate(E210:E213,K210:K213,AC210:AC213,AI210:AI213)</f>
        <v>-0.14785635774992012</v>
      </c>
      <c r="AT208" s="7"/>
      <c r="AU208" s="1"/>
      <c r="AV208" s="1"/>
      <c r="AW208" s="1"/>
      <c r="AX208" s="1"/>
      <c r="AY208" s="1"/>
      <c r="AZ208" s="1"/>
      <c r="BA208" s="1"/>
      <c r="BB208" s="1"/>
      <c r="BC208" s="1"/>
      <c r="BD208" s="13" t="e">
        <f>bdrate(E208:E211,F208:F211,AU208:AU211,AV208:AV211)</f>
        <v>#VALUE!</v>
      </c>
      <c r="BE208" s="12" t="e">
        <f>bdrate(E208:E211,H208:H211,AU208:AU211,AX208:AX211)</f>
        <v>#VALUE!</v>
      </c>
      <c r="BF208" s="12" t="e">
        <f>bdrate(E208:E211,I208:I211,AU208:AU211,AY208:AY211)</f>
        <v>#VALUE!</v>
      </c>
      <c r="BG208" s="14" t="e">
        <f>bdrate(E208:E211,K208:K211,AU208:AU211,BA208:BA211)</f>
        <v>#VALUE!</v>
      </c>
      <c r="BH208" s="12">
        <f>bdrate(E210:E213,F210:F213,AU210:AU213,AV210:AV213)</f>
        <v>0.22914813667127931</v>
      </c>
      <c r="BI208" s="12">
        <f>bdrate(E210:E213,H210:H213,AU210:AU213,AX210:AX213)</f>
        <v>-0.43313587401356124</v>
      </c>
      <c r="BJ208" s="12">
        <f>bdrate(E210:E213,I210:I213,AU210:AU213,AY210:AY213)</f>
        <v>0.26676947496357117</v>
      </c>
      <c r="BK208" s="14">
        <f>bdrate(E210:E213,K210:K213,AU210:AU213,BA210:BA213)</f>
        <v>-0.37583772222699896</v>
      </c>
    </row>
    <row r="209" spans="1:63">
      <c r="A209" s="49"/>
      <c r="B209" s="7" t="s">
        <v>18</v>
      </c>
      <c r="C209" s="17">
        <v>1</v>
      </c>
      <c r="D209" s="7">
        <v>25</v>
      </c>
      <c r="E209" s="1">
        <v>0.93165455675582898</v>
      </c>
      <c r="F209" s="1">
        <v>39.553931242346302</v>
      </c>
      <c r="G209" s="1">
        <v>0.98892458234962299</v>
      </c>
      <c r="H209" s="1">
        <v>19.556398876932398</v>
      </c>
      <c r="I209" s="1">
        <v>43.0600111457032</v>
      </c>
      <c r="J209" s="1">
        <v>0.99387514996370696</v>
      </c>
      <c r="K209" s="8">
        <v>22.129045403034802</v>
      </c>
      <c r="L209" s="7">
        <v>22</v>
      </c>
      <c r="M209" s="1">
        <v>0.99435388803155</v>
      </c>
      <c r="N209" s="1">
        <v>40.397872977581798</v>
      </c>
      <c r="O209" s="1">
        <v>0.99090416625284605</v>
      </c>
      <c r="P209" s="1">
        <v>20.411574862440101</v>
      </c>
      <c r="Q209" s="1">
        <v>43.997542769052302</v>
      </c>
      <c r="R209" s="1">
        <v>0.99516073173761799</v>
      </c>
      <c r="S209" s="8">
        <v>23.152203023297702</v>
      </c>
      <c r="T209" s="7"/>
      <c r="U209" s="1"/>
      <c r="V209" s="1"/>
      <c r="W209" s="8"/>
      <c r="X209" s="7"/>
      <c r="Y209" s="1"/>
      <c r="Z209" s="1"/>
      <c r="AA209" s="8"/>
      <c r="AB209" s="7">
        <v>64</v>
      </c>
      <c r="AC209" s="1">
        <v>0.47018229166666597</v>
      </c>
      <c r="AD209" s="1">
        <v>37.589394029297402</v>
      </c>
      <c r="AE209" s="1">
        <v>0.983520465012519</v>
      </c>
      <c r="AF209" s="1">
        <v>17.8305504720324</v>
      </c>
      <c r="AG209" s="1">
        <v>41.178110209845201</v>
      </c>
      <c r="AH209" s="1">
        <v>0.99085845639242898</v>
      </c>
      <c r="AI209" s="1">
        <v>20.3898046469855</v>
      </c>
      <c r="AJ209" s="1">
        <v>318.87171983718798</v>
      </c>
      <c r="AK209" s="1">
        <v>192.71184325218201</v>
      </c>
      <c r="AL209" s="7"/>
      <c r="AM209" s="1"/>
      <c r="AN209" s="1"/>
      <c r="AO209" s="8"/>
      <c r="AP209" s="1"/>
      <c r="AQ209" s="1"/>
      <c r="AR209" s="1"/>
      <c r="AS209" s="8"/>
      <c r="AT209" s="7">
        <v>0.64</v>
      </c>
      <c r="AU209" s="1">
        <v>0.53577139060356604</v>
      </c>
      <c r="AV209" s="1">
        <v>36.198155920417101</v>
      </c>
      <c r="AW209" s="1">
        <v>0.98977814651167095</v>
      </c>
      <c r="AX209" s="1">
        <v>19.904703481573801</v>
      </c>
      <c r="AY209" s="1">
        <v>39.352187237063603</v>
      </c>
      <c r="AZ209" s="1">
        <v>0.99409746697861201</v>
      </c>
      <c r="BA209" s="1">
        <v>22.289615746064602</v>
      </c>
      <c r="BB209" s="1">
        <v>220.968497037887</v>
      </c>
      <c r="BC209" s="1">
        <v>139.25628495216301</v>
      </c>
      <c r="BD209" s="7"/>
      <c r="BE209" s="1"/>
      <c r="BF209" s="1"/>
      <c r="BG209" s="8"/>
      <c r="BH209" s="1"/>
      <c r="BI209" s="1"/>
      <c r="BJ209" s="1"/>
      <c r="BK209" s="8"/>
    </row>
    <row r="210" spans="1:63">
      <c r="A210" s="49"/>
      <c r="B210" s="7" t="s">
        <v>18</v>
      </c>
      <c r="C210" s="17">
        <v>0.5</v>
      </c>
      <c r="D210" s="7">
        <v>30</v>
      </c>
      <c r="E210" s="1">
        <v>0.48941079389574699</v>
      </c>
      <c r="F210" s="1">
        <v>36.8555600763641</v>
      </c>
      <c r="G210" s="1">
        <v>0.98012690353302201</v>
      </c>
      <c r="H210" s="1">
        <v>17.017344593245099</v>
      </c>
      <c r="I210" s="1">
        <v>40.252365194646202</v>
      </c>
      <c r="J210" s="1">
        <v>0.98845778361394798</v>
      </c>
      <c r="K210" s="8">
        <v>19.377107880773199</v>
      </c>
      <c r="L210" s="7">
        <v>28</v>
      </c>
      <c r="M210" s="1">
        <v>0.45317215363511598</v>
      </c>
      <c r="N210" s="1">
        <v>37.370985380886601</v>
      </c>
      <c r="O210" s="1">
        <v>0.98182209752504401</v>
      </c>
      <c r="P210" s="1">
        <v>17.404562309108901</v>
      </c>
      <c r="Q210" s="1">
        <v>40.713103816192799</v>
      </c>
      <c r="R210" s="1">
        <v>0.98889590582523001</v>
      </c>
      <c r="S210" s="8">
        <v>19.5451686358507</v>
      </c>
      <c r="T210" s="7"/>
      <c r="U210" s="1"/>
      <c r="V210" s="1"/>
      <c r="W210" s="8"/>
      <c r="X210" s="7"/>
      <c r="Y210" s="1"/>
      <c r="Z210" s="1"/>
      <c r="AA210" s="8"/>
      <c r="AB210" s="7">
        <v>32</v>
      </c>
      <c r="AC210" s="1">
        <v>0.331286972736625</v>
      </c>
      <c r="AD210" s="1">
        <v>36.256651438815098</v>
      </c>
      <c r="AE210" s="1">
        <v>0.97831381483719104</v>
      </c>
      <c r="AF210" s="1">
        <v>16.638168384170701</v>
      </c>
      <c r="AG210" s="1">
        <v>39.633523846414398</v>
      </c>
      <c r="AH210" s="1">
        <v>0.98671313563024599</v>
      </c>
      <c r="AI210" s="1">
        <v>18.765774981835101</v>
      </c>
      <c r="AJ210" s="1">
        <v>393.94804883003201</v>
      </c>
      <c r="AK210" s="1">
        <v>249.59037876129099</v>
      </c>
      <c r="AL210" s="7"/>
      <c r="AM210" s="1"/>
      <c r="AN210" s="1"/>
      <c r="AO210" s="8"/>
      <c r="AP210" s="1"/>
      <c r="AQ210" s="1"/>
      <c r="AR210" s="1"/>
      <c r="AS210" s="8"/>
      <c r="AT210" s="7">
        <v>0.32</v>
      </c>
      <c r="AU210" s="1">
        <v>0.38197177211934102</v>
      </c>
      <c r="AV210" s="1">
        <v>35.3021736966814</v>
      </c>
      <c r="AW210" s="1">
        <v>0.98564796540204902</v>
      </c>
      <c r="AX210" s="1">
        <v>18.4308652736011</v>
      </c>
      <c r="AY210" s="1">
        <v>38.395376634813303</v>
      </c>
      <c r="AZ210" s="1">
        <v>0.99117168430067404</v>
      </c>
      <c r="BA210" s="1">
        <v>20.541221449232101</v>
      </c>
      <c r="BB210" s="1">
        <v>227.24173355102499</v>
      </c>
      <c r="BC210" s="1">
        <v>151.89080190658501</v>
      </c>
      <c r="BD210" s="7"/>
      <c r="BE210" s="1"/>
      <c r="BF210" s="1"/>
      <c r="BG210" s="8"/>
      <c r="BH210" s="1"/>
      <c r="BI210" s="1"/>
      <c r="BJ210" s="1"/>
      <c r="BK210" s="8"/>
    </row>
    <row r="211" spans="1:63">
      <c r="A211" s="49"/>
      <c r="B211" s="7" t="s">
        <v>18</v>
      </c>
      <c r="C211" s="17">
        <v>0.25</v>
      </c>
      <c r="D211" s="7">
        <v>35</v>
      </c>
      <c r="E211" s="1">
        <v>0.243416709533607</v>
      </c>
      <c r="F211" s="1">
        <v>34.266913502914797</v>
      </c>
      <c r="G211" s="1">
        <v>0.96452111060239099</v>
      </c>
      <c r="H211" s="1">
        <v>14.5002998342992</v>
      </c>
      <c r="I211" s="1">
        <v>37.496701080886297</v>
      </c>
      <c r="J211" s="1">
        <v>0.97725209608136798</v>
      </c>
      <c r="K211" s="8">
        <v>16.430586147655902</v>
      </c>
      <c r="L211" s="7">
        <v>33</v>
      </c>
      <c r="M211" s="1">
        <v>0.22954603909464999</v>
      </c>
      <c r="N211" s="1">
        <v>34.962596717782198</v>
      </c>
      <c r="O211" s="1">
        <v>0.96907646496007604</v>
      </c>
      <c r="P211" s="1">
        <v>15.0971086531718</v>
      </c>
      <c r="Q211" s="1">
        <v>38.109298407449899</v>
      </c>
      <c r="R211" s="1">
        <v>0.97886151134864097</v>
      </c>
      <c r="S211" s="8">
        <v>16.749260668790601</v>
      </c>
      <c r="T211" s="7"/>
      <c r="U211" s="1"/>
      <c r="V211" s="1"/>
      <c r="W211" s="8"/>
      <c r="X211" s="7"/>
      <c r="Y211" s="1"/>
      <c r="Z211" s="1"/>
      <c r="AA211" s="8"/>
      <c r="AB211" s="7">
        <v>16</v>
      </c>
      <c r="AC211" s="1">
        <v>0.222364218964334</v>
      </c>
      <c r="AD211" s="1">
        <v>34.832788838831398</v>
      </c>
      <c r="AE211" s="1">
        <v>0.969690788280962</v>
      </c>
      <c r="AF211" s="1">
        <v>15.184253586018199</v>
      </c>
      <c r="AG211" s="1">
        <v>38.022080867196699</v>
      </c>
      <c r="AH211" s="1">
        <v>0.97921049755581202</v>
      </c>
      <c r="AI211" s="1">
        <v>16.821559045275698</v>
      </c>
      <c r="AJ211" s="1">
        <v>261.72650384902897</v>
      </c>
      <c r="AK211" s="1">
        <v>185.31062388420099</v>
      </c>
      <c r="AL211" s="7"/>
      <c r="AM211" s="1"/>
      <c r="AN211" s="1"/>
      <c r="AO211" s="8"/>
      <c r="AP211" s="1"/>
      <c r="AQ211" s="1"/>
      <c r="AR211" s="1"/>
      <c r="AS211" s="8"/>
      <c r="AT211" s="7">
        <v>0.16</v>
      </c>
      <c r="AU211" s="1">
        <v>0.25552394118655603</v>
      </c>
      <c r="AV211" s="1">
        <v>33.9247009123197</v>
      </c>
      <c r="AW211" s="1">
        <v>0.97873640904333103</v>
      </c>
      <c r="AX211" s="1">
        <v>16.723633907547299</v>
      </c>
      <c r="AY211" s="1">
        <v>36.977232204857799</v>
      </c>
      <c r="AZ211" s="1">
        <v>0.98610397503340297</v>
      </c>
      <c r="BA211" s="1">
        <v>18.571094142755999</v>
      </c>
      <c r="BB211" s="1">
        <v>256.63490605354298</v>
      </c>
      <c r="BC211" s="1">
        <v>189.45855498313901</v>
      </c>
      <c r="BD211" s="7"/>
      <c r="BE211" s="1"/>
      <c r="BF211" s="1"/>
      <c r="BG211" s="8"/>
      <c r="BH211" s="1"/>
      <c r="BI211" s="1"/>
      <c r="BJ211" s="1"/>
      <c r="BK211" s="8"/>
    </row>
    <row r="212" spans="1:63">
      <c r="A212" s="49"/>
      <c r="B212" s="7" t="s">
        <v>18</v>
      </c>
      <c r="C212" s="17">
        <v>0.12</v>
      </c>
      <c r="D212" s="7">
        <v>40</v>
      </c>
      <c r="E212" s="1">
        <v>0.113474151234567</v>
      </c>
      <c r="F212" s="1">
        <v>31.794082942666599</v>
      </c>
      <c r="G212" s="1">
        <v>0.93788979400294203</v>
      </c>
      <c r="H212" s="1">
        <v>12.068370303545599</v>
      </c>
      <c r="I212" s="1">
        <v>34.857313449934203</v>
      </c>
      <c r="J212" s="1">
        <v>0.95438351008897604</v>
      </c>
      <c r="K212" s="8">
        <v>13.408781357827801</v>
      </c>
      <c r="L212" s="7">
        <v>38</v>
      </c>
      <c r="M212" s="1">
        <v>0.109092614026063</v>
      </c>
      <c r="N212" s="1">
        <v>32.422424678909401</v>
      </c>
      <c r="O212" s="1">
        <v>0.94555820626590703</v>
      </c>
      <c r="P212" s="1">
        <v>12.640675742110799</v>
      </c>
      <c r="Q212" s="1">
        <v>35.4474672482161</v>
      </c>
      <c r="R212" s="1">
        <v>0.95835273090377904</v>
      </c>
      <c r="S212" s="8">
        <v>13.804134709756999</v>
      </c>
      <c r="T212" s="7"/>
      <c r="U212" s="1"/>
      <c r="V212" s="1"/>
      <c r="W212" s="8"/>
      <c r="X212" s="7"/>
      <c r="Y212" s="1"/>
      <c r="Z212" s="1"/>
      <c r="AA212" s="8"/>
      <c r="AB212" s="7">
        <v>8</v>
      </c>
      <c r="AC212" s="1">
        <v>0.151056670096021</v>
      </c>
      <c r="AD212" s="1">
        <v>33.352179230535697</v>
      </c>
      <c r="AE212" s="1">
        <v>0.95765609108456695</v>
      </c>
      <c r="AF212" s="1">
        <v>13.732090532121299</v>
      </c>
      <c r="AG212" s="1">
        <v>36.4414263720276</v>
      </c>
      <c r="AH212" s="1">
        <v>0.96841389301102598</v>
      </c>
      <c r="AI212" s="1">
        <v>15.005038979122901</v>
      </c>
      <c r="AJ212" s="1">
        <v>201.600990533828</v>
      </c>
      <c r="AK212" s="1">
        <v>138.36397314071601</v>
      </c>
      <c r="AL212" s="7"/>
      <c r="AM212" s="1"/>
      <c r="AN212" s="1"/>
      <c r="AO212" s="8"/>
      <c r="AP212" s="1"/>
      <c r="AQ212" s="1"/>
      <c r="AR212" s="1"/>
      <c r="AS212" s="8"/>
      <c r="AT212" s="7">
        <v>0.08</v>
      </c>
      <c r="AU212" s="1">
        <v>0.163365376371742</v>
      </c>
      <c r="AV212" s="1">
        <v>32.205333719153501</v>
      </c>
      <c r="AW212" s="1">
        <v>0.96883488598822598</v>
      </c>
      <c r="AX212" s="1">
        <v>15.0633127998347</v>
      </c>
      <c r="AY212" s="1">
        <v>35.237063661872099</v>
      </c>
      <c r="AZ212" s="1">
        <v>0.97878353590119005</v>
      </c>
      <c r="BA212" s="1">
        <v>16.733269932118102</v>
      </c>
      <c r="BB212" s="1">
        <v>190.16305947303701</v>
      </c>
      <c r="BC212" s="1">
        <v>134.109565019607</v>
      </c>
      <c r="BD212" s="7"/>
      <c r="BE212" s="1"/>
      <c r="BF212" s="1"/>
      <c r="BG212" s="8"/>
      <c r="BH212" s="1"/>
      <c r="BI212" s="1"/>
      <c r="BJ212" s="1"/>
      <c r="BK212" s="8"/>
    </row>
    <row r="213" spans="1:63">
      <c r="A213" s="49"/>
      <c r="B213" s="7" t="s">
        <v>18</v>
      </c>
      <c r="C213" s="17">
        <v>0.06</v>
      </c>
      <c r="D213" s="7">
        <v>44</v>
      </c>
      <c r="E213" s="1">
        <v>5.7391332304526699E-2</v>
      </c>
      <c r="F213" s="1">
        <v>29.9356474079189</v>
      </c>
      <c r="G213" s="1">
        <v>0.90527157069742403</v>
      </c>
      <c r="H213" s="1">
        <v>10.235196636963799</v>
      </c>
      <c r="I213" s="1">
        <v>32.903886397627303</v>
      </c>
      <c r="J213" s="1">
        <v>0.92329582526140797</v>
      </c>
      <c r="K213" s="8">
        <v>11.151809982857801</v>
      </c>
      <c r="L213" s="7">
        <v>42</v>
      </c>
      <c r="M213" s="1">
        <v>5.6322337962962897E-2</v>
      </c>
      <c r="N213" s="1">
        <v>30.539742852288601</v>
      </c>
      <c r="O213" s="1">
        <v>0.91640253872353095</v>
      </c>
      <c r="P213" s="1">
        <v>10.7780691120167</v>
      </c>
      <c r="Q213" s="1">
        <v>33.492253326533302</v>
      </c>
      <c r="R213" s="1">
        <v>0.93027879774891298</v>
      </c>
      <c r="S213" s="8">
        <v>11.5663513265626</v>
      </c>
      <c r="T213" s="7"/>
      <c r="U213" s="1"/>
      <c r="V213" s="1"/>
      <c r="W213" s="8"/>
      <c r="X213" s="7"/>
      <c r="Y213" s="1"/>
      <c r="Z213" s="1"/>
      <c r="AA213" s="8"/>
      <c r="AB213" s="7">
        <v>4</v>
      </c>
      <c r="AC213" s="1">
        <v>0.101124721364883</v>
      </c>
      <c r="AD213" s="1">
        <v>31.922865254725998</v>
      </c>
      <c r="AE213" s="1">
        <v>0.94118073582502104</v>
      </c>
      <c r="AF213" s="1">
        <v>12.304804127896</v>
      </c>
      <c r="AG213" s="1">
        <v>34.952620242625798</v>
      </c>
      <c r="AH213" s="1">
        <v>0.95253187302180298</v>
      </c>
      <c r="AI213" s="1">
        <v>13.235979045589101</v>
      </c>
      <c r="AJ213" s="1">
        <v>208.88136124610901</v>
      </c>
      <c r="AK213" s="1">
        <v>152.22759461402799</v>
      </c>
      <c r="AL213" s="7"/>
      <c r="AM213" s="1"/>
      <c r="AN213" s="1"/>
      <c r="AO213" s="8"/>
      <c r="AP213" s="1"/>
      <c r="AQ213" s="1"/>
      <c r="AR213" s="1"/>
      <c r="AS213" s="8"/>
      <c r="AT213" s="7">
        <v>0.04</v>
      </c>
      <c r="AU213" s="1">
        <v>0.104566936728395</v>
      </c>
      <c r="AV213" s="1">
        <v>30.599496037629201</v>
      </c>
      <c r="AW213" s="1">
        <v>0.95642717077721795</v>
      </c>
      <c r="AX213" s="1">
        <v>13.6078424001948</v>
      </c>
      <c r="AY213" s="1">
        <v>33.5620923011166</v>
      </c>
      <c r="AZ213" s="1">
        <v>0.96809809179185602</v>
      </c>
      <c r="BA213" s="1">
        <v>14.961833389026401</v>
      </c>
      <c r="BB213" s="1">
        <v>236.08768296241701</v>
      </c>
      <c r="BC213" s="1">
        <v>184.33869194984399</v>
      </c>
      <c r="BD213" s="7"/>
      <c r="BE213" s="1"/>
      <c r="BF213" s="1"/>
      <c r="BG213" s="8"/>
      <c r="BH213" s="1"/>
      <c r="BI213" s="1"/>
      <c r="BJ213" s="1"/>
      <c r="BK213" s="8"/>
    </row>
    <row r="214" spans="1:63">
      <c r="A214" s="49"/>
      <c r="B214" s="7" t="s">
        <v>55</v>
      </c>
      <c r="C214" s="17">
        <v>1.5</v>
      </c>
      <c r="D214" s="7">
        <v>22</v>
      </c>
      <c r="E214" s="1">
        <v>1.33389489026063</v>
      </c>
      <c r="F214" s="1">
        <v>41.3393323080657</v>
      </c>
      <c r="G214" s="1">
        <v>0.99257344330376596</v>
      </c>
      <c r="H214" s="1">
        <v>21.292124990849899</v>
      </c>
      <c r="I214" s="1">
        <v>44.704153097522997</v>
      </c>
      <c r="J214" s="1">
        <v>0.99648969702782797</v>
      </c>
      <c r="K214" s="8">
        <v>24.546553982168302</v>
      </c>
      <c r="L214" s="7">
        <v>19</v>
      </c>
      <c r="M214" s="1">
        <v>1.4068083419067201</v>
      </c>
      <c r="N214" s="1">
        <v>42.2063631586296</v>
      </c>
      <c r="O214" s="1">
        <v>0.993693726746262</v>
      </c>
      <c r="P214" s="1">
        <v>22.0022721499959</v>
      </c>
      <c r="Q214" s="1">
        <v>45.770269932507603</v>
      </c>
      <c r="R214" s="1">
        <v>0.99721220503505104</v>
      </c>
      <c r="S214" s="8">
        <v>25.547391706263902</v>
      </c>
      <c r="T214" s="13">
        <f>bdrate(E214:E217,F214:F217,M214:M217,N214:N217)</f>
        <v>-0.20054210764241454</v>
      </c>
      <c r="U214" s="12">
        <f>bdrate(E214:E217,H214:H217,M214:M217,P214:P217)</f>
        <v>-0.16837180793805739</v>
      </c>
      <c r="V214" s="12">
        <f>bdrate(E214:E217,I214:I217,M214:M217,Q214:Q217)</f>
        <v>-0.2006429737627603</v>
      </c>
      <c r="W214" s="14">
        <f>bdrate(E214:E217,K214:K217,M214:M217,S214:S217)</f>
        <v>-0.14876494742053525</v>
      </c>
      <c r="X214" s="13">
        <f>bdrate(E216:E219,F216:F219,M216:M219,N216:N219)</f>
        <v>-0.30095470673976343</v>
      </c>
      <c r="Y214" s="12">
        <f>bdrate(E216:E219,H216:H219,M216:M219,P216:P219)</f>
        <v>-0.27346470708458426</v>
      </c>
      <c r="Z214" s="12">
        <f>bdrate(E216:E219,I216:I219,M216:M219,Q216:Q219)</f>
        <v>-0.2789494118697855</v>
      </c>
      <c r="AA214" s="14">
        <f>bdrate(E216:E219,K216:K219,M216:M219,S216:S219)</f>
        <v>-0.20303758195255739</v>
      </c>
      <c r="AB214" s="7"/>
      <c r="AC214" s="1"/>
      <c r="AD214" s="1"/>
      <c r="AE214" s="1"/>
      <c r="AF214" s="1"/>
      <c r="AG214" s="1"/>
      <c r="AH214" s="1"/>
      <c r="AI214" s="1"/>
      <c r="AJ214" s="1"/>
      <c r="AK214" s="1"/>
      <c r="AL214" s="13" t="e">
        <f>bdrate(E214:E217,F214:F217,AC214:AC217,AD214:AD217)</f>
        <v>#VALUE!</v>
      </c>
      <c r="AM214" s="12" t="e">
        <f>bdrate(E214:E217,H214:H217,AC214:AC217,AF214:AF217)</f>
        <v>#VALUE!</v>
      </c>
      <c r="AN214" s="12" t="e">
        <f>bdrate(E214:E217,I214:I217,AC214:AC217,AG214:AG217)</f>
        <v>#VALUE!</v>
      </c>
      <c r="AO214" s="14" t="e">
        <f>bdrate(E214:E217,K214:K217,AC214:AC217,AI214:AI217)</f>
        <v>#VALUE!</v>
      </c>
      <c r="AP214" s="12">
        <f>bdrate(E216:E219,F216:F219,AC216:AC219,AD216:AD219)</f>
        <v>-0.24638131208620861</v>
      </c>
      <c r="AQ214" s="12">
        <f>bdrate(E216:E219,H216:H219,AC216:AC219,AF216:AF219)</f>
        <v>-0.27029016331611821</v>
      </c>
      <c r="AR214" s="12">
        <f>bdrate(E216:E219,I216:I219,AC216:AC219,AG216:AG219)</f>
        <v>-0.22975396677909699</v>
      </c>
      <c r="AS214" s="14">
        <f>bdrate(E216:E219,K216:K219,AC216:AC219,AI216:AI219)</f>
        <v>-0.19311623086459262</v>
      </c>
      <c r="AT214" s="7"/>
      <c r="AU214" s="1"/>
      <c r="AV214" s="1"/>
      <c r="AW214" s="1"/>
      <c r="AX214" s="1"/>
      <c r="AY214" s="1"/>
      <c r="AZ214" s="1"/>
      <c r="BA214" s="1"/>
      <c r="BB214" s="1"/>
      <c r="BC214" s="1"/>
      <c r="BD214" s="13" t="e">
        <f>bdrate(E214:E217,F214:F217,AU214:AU217,AV214:AV217)</f>
        <v>#VALUE!</v>
      </c>
      <c r="BE214" s="12" t="e">
        <f>bdrate(E214:E217,H214:H217,AU214:AU217,AX214:AX217)</f>
        <v>#VALUE!</v>
      </c>
      <c r="BF214" s="12" t="e">
        <f>bdrate(E214:E217,I214:I217,AU214:AU217,AY214:AY217)</f>
        <v>#VALUE!</v>
      </c>
      <c r="BG214" s="14" t="e">
        <f>bdrate(E214:E217,K214:K217,AU214:AU217,BA214:BA217)</f>
        <v>#VALUE!</v>
      </c>
      <c r="BH214" s="12">
        <f>bdrate(E216:E219,F216:F219,AU216:AU219,AV216:AV219)</f>
        <v>8.6496118885563078E-2</v>
      </c>
      <c r="BI214" s="12">
        <f>bdrate(E216:E219,H216:H219,AU216:AU219,AX216:AX219)</f>
        <v>-0.45324355179205178</v>
      </c>
      <c r="BJ214" s="12">
        <f>bdrate(E216:E219,I216:I219,AU216:AU219,AY216:AY219)</f>
        <v>0.19531799017128448</v>
      </c>
      <c r="BK214" s="14">
        <f>bdrate(E216:E219,K216:K219,AU216:AU219,BA216:BA219)</f>
        <v>-0.37623432566381043</v>
      </c>
    </row>
    <row r="215" spans="1:63">
      <c r="A215" s="49"/>
      <c r="B215" s="7" t="s">
        <v>18</v>
      </c>
      <c r="C215" s="17">
        <v>1</v>
      </c>
      <c r="D215" s="7">
        <v>25</v>
      </c>
      <c r="E215" s="1">
        <v>0.869285836762688</v>
      </c>
      <c r="F215" s="1">
        <v>39.474813010757501</v>
      </c>
      <c r="G215" s="1">
        <v>0.98830422728197098</v>
      </c>
      <c r="H215" s="1">
        <v>19.319710798753601</v>
      </c>
      <c r="I215" s="1">
        <v>42.680042576558698</v>
      </c>
      <c r="J215" s="1">
        <v>0.99406716390864402</v>
      </c>
      <c r="K215" s="8">
        <v>22.267376499101999</v>
      </c>
      <c r="L215" s="7">
        <v>22</v>
      </c>
      <c r="M215" s="1">
        <v>0.92907343106995799</v>
      </c>
      <c r="N215" s="1">
        <v>40.447109302233898</v>
      </c>
      <c r="O215" s="1">
        <v>0.99030920193809502</v>
      </c>
      <c r="P215" s="1">
        <v>20.136404562196599</v>
      </c>
      <c r="Q215" s="1">
        <v>43.786682183690701</v>
      </c>
      <c r="R215" s="1">
        <v>0.99525612502202299</v>
      </c>
      <c r="S215" s="8">
        <v>23.238667650675499</v>
      </c>
      <c r="T215" s="7"/>
      <c r="U215" s="1"/>
      <c r="V215" s="1"/>
      <c r="W215" s="8"/>
      <c r="X215" s="7"/>
      <c r="Y215" s="1"/>
      <c r="Z215" s="1"/>
      <c r="AA215" s="8"/>
      <c r="AB215" s="7">
        <v>64</v>
      </c>
      <c r="AC215" s="1">
        <v>0.4078484010631</v>
      </c>
      <c r="AD215" s="1">
        <v>37.585547828484998</v>
      </c>
      <c r="AE215" s="1">
        <v>0.98093222490034304</v>
      </c>
      <c r="AF215" s="1">
        <v>17.1969997912563</v>
      </c>
      <c r="AG215" s="1">
        <v>40.785056866242499</v>
      </c>
      <c r="AH215" s="1">
        <v>0.99028406185766404</v>
      </c>
      <c r="AI215" s="1">
        <v>20.125152588450501</v>
      </c>
      <c r="AJ215" s="1">
        <v>282.60551905632002</v>
      </c>
      <c r="AK215" s="1">
        <v>178.62118935584999</v>
      </c>
      <c r="AL215" s="7"/>
      <c r="AM215" s="1"/>
      <c r="AN215" s="1"/>
      <c r="AO215" s="8"/>
      <c r="AP215" s="1"/>
      <c r="AQ215" s="1"/>
      <c r="AR215" s="1"/>
      <c r="AS215" s="8"/>
      <c r="AT215" s="7">
        <v>0.64</v>
      </c>
      <c r="AU215" s="1">
        <v>0.52700885202331904</v>
      </c>
      <c r="AV215" s="1">
        <v>37.013214384333303</v>
      </c>
      <c r="AW215" s="1">
        <v>0.98915227394251704</v>
      </c>
      <c r="AX215" s="1">
        <v>19.646612907728901</v>
      </c>
      <c r="AY215" s="1">
        <v>39.677202879254899</v>
      </c>
      <c r="AZ215" s="1">
        <v>0.99363822462457696</v>
      </c>
      <c r="BA215" s="1">
        <v>21.964216692331899</v>
      </c>
      <c r="BB215" s="1">
        <v>199.12181830406101</v>
      </c>
      <c r="BC215" s="1">
        <v>123.148706436157</v>
      </c>
      <c r="BD215" s="7"/>
      <c r="BE215" s="1"/>
      <c r="BF215" s="1"/>
      <c r="BG215" s="8"/>
      <c r="BH215" s="1"/>
      <c r="BI215" s="1"/>
      <c r="BJ215" s="1"/>
      <c r="BK215" s="8"/>
    </row>
    <row r="216" spans="1:63">
      <c r="A216" s="49"/>
      <c r="B216" s="7" t="s">
        <v>18</v>
      </c>
      <c r="C216" s="17">
        <v>0.5</v>
      </c>
      <c r="D216" s="7">
        <v>29</v>
      </c>
      <c r="E216" s="1">
        <v>0.49025045010287999</v>
      </c>
      <c r="F216" s="1">
        <v>37.368267230922299</v>
      </c>
      <c r="G216" s="1">
        <v>0.97971270672273003</v>
      </c>
      <c r="H216" s="1">
        <v>16.927758925014299</v>
      </c>
      <c r="I216" s="1">
        <v>40.455763245826198</v>
      </c>
      <c r="J216" s="1">
        <v>0.98890007784518597</v>
      </c>
      <c r="K216" s="8">
        <v>19.546800669659099</v>
      </c>
      <c r="L216" s="7">
        <v>27</v>
      </c>
      <c r="M216" s="1">
        <v>0.43727655606995802</v>
      </c>
      <c r="N216" s="1">
        <v>37.839616667079603</v>
      </c>
      <c r="O216" s="1">
        <v>0.98161090603558998</v>
      </c>
      <c r="P216" s="1">
        <v>17.354396680403699</v>
      </c>
      <c r="Q216" s="1">
        <v>40.924982607652801</v>
      </c>
      <c r="R216" s="1">
        <v>0.989648339258974</v>
      </c>
      <c r="S216" s="8">
        <v>19.8498996974288</v>
      </c>
      <c r="T216" s="7"/>
      <c r="U216" s="1"/>
      <c r="V216" s="1"/>
      <c r="W216" s="8"/>
      <c r="X216" s="7"/>
      <c r="Y216" s="1"/>
      <c r="Z216" s="1"/>
      <c r="AA216" s="8"/>
      <c r="AB216" s="7">
        <v>32</v>
      </c>
      <c r="AC216" s="1">
        <v>0.277172818072702</v>
      </c>
      <c r="AD216" s="1">
        <v>36.361752369058401</v>
      </c>
      <c r="AE216" s="1">
        <v>0.97438097687467895</v>
      </c>
      <c r="AF216" s="1">
        <v>15.914374342857499</v>
      </c>
      <c r="AG216" s="1">
        <v>39.425877240018302</v>
      </c>
      <c r="AH216" s="1">
        <v>0.985357616586642</v>
      </c>
      <c r="AI216" s="1">
        <v>18.343882252571198</v>
      </c>
      <c r="AJ216" s="1">
        <v>398.27582311630198</v>
      </c>
      <c r="AK216" s="1">
        <v>253.81216907501201</v>
      </c>
      <c r="AL216" s="7"/>
      <c r="AM216" s="1"/>
      <c r="AN216" s="1"/>
      <c r="AO216" s="8"/>
      <c r="AP216" s="1"/>
      <c r="AQ216" s="1"/>
      <c r="AR216" s="1"/>
      <c r="AS216" s="8"/>
      <c r="AT216" s="7">
        <v>0.32</v>
      </c>
      <c r="AU216" s="1">
        <v>0.37846096965020498</v>
      </c>
      <c r="AV216" s="1">
        <v>36.154967583327597</v>
      </c>
      <c r="AW216" s="1">
        <v>0.98513925302162397</v>
      </c>
      <c r="AX216" s="1">
        <v>18.2795936012906</v>
      </c>
      <c r="AY216" s="1">
        <v>38.780530665131501</v>
      </c>
      <c r="AZ216" s="1">
        <v>0.99090810593183098</v>
      </c>
      <c r="BA216" s="1">
        <v>20.4134563298642</v>
      </c>
      <c r="BB216" s="1">
        <v>211.428018569946</v>
      </c>
      <c r="BC216" s="1">
        <v>142.182059526443</v>
      </c>
      <c r="BD216" s="7"/>
      <c r="BE216" s="1"/>
      <c r="BF216" s="1"/>
      <c r="BG216" s="8"/>
      <c r="BH216" s="1"/>
      <c r="BI216" s="1"/>
      <c r="BJ216" s="1"/>
      <c r="BK216" s="8"/>
    </row>
    <row r="217" spans="1:63">
      <c r="A217" s="49"/>
      <c r="B217" s="7" t="s">
        <v>18</v>
      </c>
      <c r="C217" s="17">
        <v>0.25</v>
      </c>
      <c r="D217" s="7">
        <v>34</v>
      </c>
      <c r="E217" s="1">
        <v>0.24348154578189299</v>
      </c>
      <c r="F217" s="1">
        <v>35.103602189115001</v>
      </c>
      <c r="G217" s="1">
        <v>0.96314996772942296</v>
      </c>
      <c r="H217" s="1">
        <v>14.3356212748125</v>
      </c>
      <c r="I217" s="1">
        <v>38.0662065269984</v>
      </c>
      <c r="J217" s="1">
        <v>0.97785414871974097</v>
      </c>
      <c r="K217" s="8">
        <v>16.547076209013099</v>
      </c>
      <c r="L217" s="7">
        <v>31</v>
      </c>
      <c r="M217" s="1">
        <v>0.24317933384773599</v>
      </c>
      <c r="N217" s="1">
        <v>36.117141940128</v>
      </c>
      <c r="O217" s="1">
        <v>0.97105723048080395</v>
      </c>
      <c r="P217" s="1">
        <v>15.3845991380595</v>
      </c>
      <c r="Q217" s="1">
        <v>39.0658362565161</v>
      </c>
      <c r="R217" s="1">
        <v>0.98202247807142096</v>
      </c>
      <c r="S217" s="8">
        <v>17.452701728316299</v>
      </c>
      <c r="T217" s="7"/>
      <c r="U217" s="1"/>
      <c r="V217" s="1"/>
      <c r="W217" s="8"/>
      <c r="X217" s="7"/>
      <c r="Y217" s="1"/>
      <c r="Z217" s="1"/>
      <c r="AA217" s="8"/>
      <c r="AB217" s="7">
        <v>16</v>
      </c>
      <c r="AC217" s="1">
        <v>0.183565350651577</v>
      </c>
      <c r="AD217" s="1">
        <v>35.162928763647898</v>
      </c>
      <c r="AE217" s="1">
        <v>0.96468911973911298</v>
      </c>
      <c r="AF217" s="1">
        <v>14.5209145582459</v>
      </c>
      <c r="AG217" s="1">
        <v>38.069102126263502</v>
      </c>
      <c r="AH217" s="1">
        <v>0.97711151556683695</v>
      </c>
      <c r="AI217" s="1">
        <v>16.4038296329337</v>
      </c>
      <c r="AJ217" s="1">
        <v>257.99813890457102</v>
      </c>
      <c r="AK217" s="1">
        <v>182.16537237167299</v>
      </c>
      <c r="AL217" s="7"/>
      <c r="AM217" s="1"/>
      <c r="AN217" s="1"/>
      <c r="AO217" s="8"/>
      <c r="AP217" s="1"/>
      <c r="AQ217" s="1"/>
      <c r="AR217" s="1"/>
      <c r="AS217" s="8"/>
      <c r="AT217" s="7">
        <v>0.16</v>
      </c>
      <c r="AU217" s="1">
        <v>0.24794185099451299</v>
      </c>
      <c r="AV217" s="1">
        <v>34.945818181575603</v>
      </c>
      <c r="AW217" s="1">
        <v>0.97803319008052703</v>
      </c>
      <c r="AX217" s="1">
        <v>16.582330079389799</v>
      </c>
      <c r="AY217" s="1">
        <v>37.544291247200199</v>
      </c>
      <c r="AZ217" s="1">
        <v>0.986040504820615</v>
      </c>
      <c r="BA217" s="1">
        <v>18.551302869257299</v>
      </c>
      <c r="BB217" s="1">
        <v>254.597787618637</v>
      </c>
      <c r="BC217" s="1">
        <v>189.51650333404501</v>
      </c>
      <c r="BD217" s="7"/>
      <c r="BE217" s="1"/>
      <c r="BF217" s="1"/>
      <c r="BG217" s="8"/>
      <c r="BH217" s="1"/>
      <c r="BI217" s="1"/>
      <c r="BJ217" s="1"/>
      <c r="BK217" s="8"/>
    </row>
    <row r="218" spans="1:63">
      <c r="A218" s="49"/>
      <c r="B218" s="7" t="s">
        <v>18</v>
      </c>
      <c r="C218" s="17">
        <v>0.12</v>
      </c>
      <c r="D218" s="7">
        <v>39</v>
      </c>
      <c r="E218" s="1">
        <v>0.116479659636488</v>
      </c>
      <c r="F218" s="1">
        <v>32.915842777281597</v>
      </c>
      <c r="G218" s="1">
        <v>0.93702491564127599</v>
      </c>
      <c r="H218" s="1">
        <v>12.0083124206718</v>
      </c>
      <c r="I218" s="1">
        <v>35.738910917847299</v>
      </c>
      <c r="J218" s="1">
        <v>0.95696128990061602</v>
      </c>
      <c r="K218" s="8">
        <v>13.661407532597501</v>
      </c>
      <c r="L218" s="7">
        <v>36</v>
      </c>
      <c r="M218" s="1">
        <v>0.117817644032921</v>
      </c>
      <c r="N218" s="1">
        <v>34.072319656466902</v>
      </c>
      <c r="O218" s="1">
        <v>0.95094243715047599</v>
      </c>
      <c r="P218" s="1">
        <v>13.0929403108467</v>
      </c>
      <c r="Q218" s="1">
        <v>36.856341823738099</v>
      </c>
      <c r="R218" s="1">
        <v>0.965329129662716</v>
      </c>
      <c r="S218" s="8">
        <v>14.600352561822101</v>
      </c>
      <c r="T218" s="7"/>
      <c r="U218" s="1"/>
      <c r="V218" s="1"/>
      <c r="W218" s="8"/>
      <c r="X218" s="7"/>
      <c r="Y218" s="1"/>
      <c r="Z218" s="1"/>
      <c r="AA218" s="8"/>
      <c r="AB218" s="7">
        <v>8</v>
      </c>
      <c r="AC218" s="1">
        <v>0.12611400462962899</v>
      </c>
      <c r="AD218" s="1">
        <v>33.9472332067878</v>
      </c>
      <c r="AE218" s="1">
        <v>0.95210342302210005</v>
      </c>
      <c r="AF218" s="1">
        <v>13.196955231768699</v>
      </c>
      <c r="AG218" s="1">
        <v>36.747845273527403</v>
      </c>
      <c r="AH218" s="1">
        <v>0.96594449745830602</v>
      </c>
      <c r="AI218" s="1">
        <v>14.678127066462499</v>
      </c>
      <c r="AJ218" s="1">
        <v>188.93168282508799</v>
      </c>
      <c r="AK218" s="1">
        <v>121.504918336868</v>
      </c>
      <c r="AL218" s="7"/>
      <c r="AM218" s="1"/>
      <c r="AN218" s="1"/>
      <c r="AO218" s="8"/>
      <c r="AP218" s="1"/>
      <c r="AQ218" s="1"/>
      <c r="AR218" s="1"/>
      <c r="AS218" s="8"/>
      <c r="AT218" s="7">
        <v>0.08</v>
      </c>
      <c r="AU218" s="1">
        <v>0.158698238168724</v>
      </c>
      <c r="AV218" s="1">
        <v>33.564110660262997</v>
      </c>
      <c r="AW218" s="1">
        <v>0.96807083448564102</v>
      </c>
      <c r="AX218" s="1">
        <v>14.9581243182839</v>
      </c>
      <c r="AY218" s="1">
        <v>36.179428789156503</v>
      </c>
      <c r="AZ218" s="1">
        <v>0.97901705614104495</v>
      </c>
      <c r="BA218" s="1">
        <v>16.7813358134695</v>
      </c>
      <c r="BB218" s="1">
        <v>181.707866668701</v>
      </c>
      <c r="BC218" s="1">
        <v>119.69267463684</v>
      </c>
      <c r="BD218" s="7"/>
      <c r="BE218" s="1"/>
      <c r="BF218" s="1"/>
      <c r="BG218" s="8"/>
      <c r="BH218" s="1"/>
      <c r="BI218" s="1"/>
      <c r="BJ218" s="1"/>
      <c r="BK218" s="8"/>
    </row>
    <row r="219" spans="1:63">
      <c r="A219" s="49"/>
      <c r="B219" s="7" t="s">
        <v>18</v>
      </c>
      <c r="C219" s="17">
        <v>0.06</v>
      </c>
      <c r="D219" s="7">
        <v>44</v>
      </c>
      <c r="E219" s="1">
        <v>5.1739326131687198E-2</v>
      </c>
      <c r="F219" s="1">
        <v>30.764676292265602</v>
      </c>
      <c r="G219" s="1">
        <v>0.89635189356650302</v>
      </c>
      <c r="H219" s="1">
        <v>9.8443862770417994</v>
      </c>
      <c r="I219" s="1">
        <v>33.438377569569703</v>
      </c>
      <c r="J219" s="1">
        <v>0.91933805229484</v>
      </c>
      <c r="K219" s="8">
        <v>10.9333129550233</v>
      </c>
      <c r="L219" s="7">
        <v>41</v>
      </c>
      <c r="M219" s="1">
        <v>5.4877722050754398E-2</v>
      </c>
      <c r="N219" s="1">
        <v>31.905345944151001</v>
      </c>
      <c r="O219" s="1">
        <v>0.91743378566477396</v>
      </c>
      <c r="P219" s="1">
        <v>10.831976273698301</v>
      </c>
      <c r="Q219" s="1">
        <v>34.543434489738502</v>
      </c>
      <c r="R219" s="1">
        <v>0.93502854659039403</v>
      </c>
      <c r="S219" s="8">
        <v>11.8727741797048</v>
      </c>
      <c r="T219" s="7"/>
      <c r="U219" s="1"/>
      <c r="V219" s="1"/>
      <c r="W219" s="8"/>
      <c r="X219" s="7"/>
      <c r="Y219" s="1"/>
      <c r="Z219" s="1"/>
      <c r="AA219" s="8"/>
      <c r="AB219" s="7">
        <v>4</v>
      </c>
      <c r="AC219" s="1">
        <v>8.5648683984910795E-2</v>
      </c>
      <c r="AD219" s="1">
        <v>32.774688882688302</v>
      </c>
      <c r="AE219" s="1">
        <v>0.93506380160545699</v>
      </c>
      <c r="AF219" s="1">
        <v>11.8751314017259</v>
      </c>
      <c r="AG219" s="1">
        <v>35.454407576403398</v>
      </c>
      <c r="AH219" s="1">
        <v>0.94847395439051996</v>
      </c>
      <c r="AI219" s="1">
        <v>12.879731863935801</v>
      </c>
      <c r="AJ219" s="1">
        <v>187.44062805175699</v>
      </c>
      <c r="AK219" s="1">
        <v>128.56139039993201</v>
      </c>
      <c r="AL219" s="7"/>
      <c r="AM219" s="1"/>
      <c r="AN219" s="1"/>
      <c r="AO219" s="8"/>
      <c r="AP219" s="1"/>
      <c r="AQ219" s="1"/>
      <c r="AR219" s="1"/>
      <c r="AS219" s="8"/>
      <c r="AT219" s="7">
        <v>0.04</v>
      </c>
      <c r="AU219" s="1">
        <v>0.103676376028806</v>
      </c>
      <c r="AV219" s="1">
        <v>32.3090237971455</v>
      </c>
      <c r="AW219" s="1">
        <v>0.95548450073816005</v>
      </c>
      <c r="AX219" s="1">
        <v>13.5148875144776</v>
      </c>
      <c r="AY219" s="1">
        <v>34.869686727915301</v>
      </c>
      <c r="AZ219" s="1">
        <v>0.96851670113261901</v>
      </c>
      <c r="BA219" s="1">
        <v>15.0191976790006</v>
      </c>
      <c r="BB219" s="1">
        <v>211.82765316963099</v>
      </c>
      <c r="BC219" s="1">
        <v>145.240212202072</v>
      </c>
      <c r="BD219" s="7"/>
      <c r="BE219" s="1"/>
      <c r="BF219" s="1"/>
      <c r="BG219" s="8"/>
      <c r="BH219" s="1"/>
      <c r="BI219" s="1"/>
      <c r="BJ219" s="1"/>
      <c r="BK219" s="8"/>
    </row>
    <row r="220" spans="1:63">
      <c r="A220" s="49"/>
      <c r="B220" s="7" t="s">
        <v>56</v>
      </c>
      <c r="C220" s="17">
        <v>1.5</v>
      </c>
      <c r="D220" s="7">
        <v>24</v>
      </c>
      <c r="E220" s="1">
        <v>1.3721437792177</v>
      </c>
      <c r="F220" s="1">
        <v>39.968959615666499</v>
      </c>
      <c r="G220" s="1">
        <v>0.991412787972204</v>
      </c>
      <c r="H220" s="1">
        <v>20.661478137561001</v>
      </c>
      <c r="I220" s="1">
        <v>43.083900575091</v>
      </c>
      <c r="J220" s="1">
        <v>0.99323690610895898</v>
      </c>
      <c r="K220" s="8">
        <v>21.698545832862301</v>
      </c>
      <c r="L220" s="7">
        <v>21</v>
      </c>
      <c r="M220" s="1">
        <v>1.4017184858281699</v>
      </c>
      <c r="N220" s="1">
        <v>41.133893374223298</v>
      </c>
      <c r="O220" s="1">
        <v>0.99371298909059202</v>
      </c>
      <c r="P220" s="1">
        <v>22.015557860484801</v>
      </c>
      <c r="Q220" s="1">
        <v>44.300166210799397</v>
      </c>
      <c r="R220" s="1">
        <v>0.99525759705578898</v>
      </c>
      <c r="S220" s="8">
        <v>23.240015484150899</v>
      </c>
      <c r="T220" s="13">
        <f>bdrate(E220:E223,F220:F223,M220:M223,N220:N223)</f>
        <v>-0.19379785576339015</v>
      </c>
      <c r="U220" s="12">
        <f>bdrate(E220:E223,H220:H223,M220:M223,P220:P223)</f>
        <v>-0.19380438031468172</v>
      </c>
      <c r="V220" s="12">
        <f>bdrate(E220:E223,I220:I223,M220:M223,Q220:Q223)</f>
        <v>-0.22542433699629094</v>
      </c>
      <c r="W220" s="14">
        <f>bdrate(E220:E223,K220:K223,M220:M223,S220:S223)</f>
        <v>-0.16504057121448401</v>
      </c>
      <c r="X220" s="13">
        <f>bdrate(E222:E225,F222:F225,M222:M225,N222:N225)</f>
        <v>-0.2155406750356571</v>
      </c>
      <c r="Y220" s="12">
        <f>bdrate(E222:E225,H222:H225,M222:M225,P222:P225)</f>
        <v>-0.21493458762256612</v>
      </c>
      <c r="Z220" s="12">
        <f>bdrate(E222:E225,I222:I225,M222:M225,Q222:Q225)</f>
        <v>-0.29161884921224379</v>
      </c>
      <c r="AA220" s="14">
        <f>bdrate(E222:E225,K222:K225,M222:M225,S222:S225)</f>
        <v>-0.15028042968705169</v>
      </c>
      <c r="AB220" s="7"/>
      <c r="AC220" s="1"/>
      <c r="AD220" s="1"/>
      <c r="AE220" s="1"/>
      <c r="AF220" s="1"/>
      <c r="AG220" s="1"/>
      <c r="AH220" s="1"/>
      <c r="AI220" s="1"/>
      <c r="AJ220" s="1"/>
      <c r="AK220" s="1"/>
      <c r="AL220" s="13" t="e">
        <f>bdrate(E220:E223,F220:F223,AC220:AC223,AD220:AD223)</f>
        <v>#VALUE!</v>
      </c>
      <c r="AM220" s="12" t="e">
        <f>bdrate(E220:E223,H220:H223,AC220:AC223,AF220:AF223)</f>
        <v>#VALUE!</v>
      </c>
      <c r="AN220" s="12" t="e">
        <f>bdrate(E220:E223,I220:I223,AC220:AC223,AG220:AG223)</f>
        <v>#VALUE!</v>
      </c>
      <c r="AO220" s="14" t="e">
        <f>bdrate(E220:E223,K220:K223,AC220:AC223,AI220:AI223)</f>
        <v>#VALUE!</v>
      </c>
      <c r="AP220" s="12">
        <f>bdrate(E222:E225,F222:F225,AC222:AC225,AD222:AD225)</f>
        <v>-0.18014680146834539</v>
      </c>
      <c r="AQ220" s="12">
        <f>bdrate(E222:E225,H222:H225,AC222:AC225,AF222:AF225)</f>
        <v>-0.23489888954584504</v>
      </c>
      <c r="AR220" s="12">
        <f>bdrate(E222:E225,I222:I225,AC222:AC225,AG222:AG225)</f>
        <v>-0.27033493360188332</v>
      </c>
      <c r="AS220" s="14">
        <f>bdrate(E222:E225,K222:K225,AC222:AC225,AI222:AI225)</f>
        <v>-0.15002393839476325</v>
      </c>
      <c r="AT220" s="7"/>
      <c r="AU220" s="1"/>
      <c r="AV220" s="1"/>
      <c r="AW220" s="1"/>
      <c r="AX220" s="1"/>
      <c r="AY220" s="1"/>
      <c r="AZ220" s="1"/>
      <c r="BA220" s="1"/>
      <c r="BB220" s="1"/>
      <c r="BC220" s="1"/>
      <c r="BD220" s="13" t="e">
        <f>bdrate(E220:E223,F220:F223,AU220:AU223,AV220:AV223)</f>
        <v>#VALUE!</v>
      </c>
      <c r="BE220" s="12" t="e">
        <f>bdrate(E220:E223,H220:H223,AU220:AU223,AX220:AX223)</f>
        <v>#VALUE!</v>
      </c>
      <c r="BF220" s="12" t="e">
        <f>bdrate(E220:E223,I220:I223,AU220:AU223,AY220:AY223)</f>
        <v>#VALUE!</v>
      </c>
      <c r="BG220" s="14" t="e">
        <f>bdrate(E220:E223,K220:K223,AU220:AU223,BA220:BA223)</f>
        <v>#VALUE!</v>
      </c>
      <c r="BH220" s="12">
        <f>bdrate(E222:E225,F222:F225,AU222:AU225,AV222:AV225)</f>
        <v>0.36148770134438735</v>
      </c>
      <c r="BI220" s="12">
        <f>bdrate(E222:E225,H222:H225,AU222:AU225,AX222:AX225)</f>
        <v>-0.46251168525233066</v>
      </c>
      <c r="BJ220" s="12">
        <f>bdrate(E222:E225,I222:I225,AU222:AU225,AY222:AY225)</f>
        <v>0.35967579742871481</v>
      </c>
      <c r="BK220" s="14">
        <f>bdrate(E222:E225,K222:K225,AU222:AU225,BA222:BA225)</f>
        <v>-0.41989746473390732</v>
      </c>
    </row>
    <row r="221" spans="1:63">
      <c r="A221" s="49"/>
      <c r="B221" s="7" t="s">
        <v>18</v>
      </c>
      <c r="C221" s="17">
        <v>1</v>
      </c>
      <c r="D221" s="7">
        <v>27</v>
      </c>
      <c r="E221" s="1">
        <v>0.908345760197104</v>
      </c>
      <c r="F221" s="1">
        <v>37.730025250990202</v>
      </c>
      <c r="G221" s="1">
        <v>0.98404386415720002</v>
      </c>
      <c r="H221" s="1">
        <v>17.970722749739402</v>
      </c>
      <c r="I221" s="1">
        <v>40.859745955461797</v>
      </c>
      <c r="J221" s="1">
        <v>0.98603323838973</v>
      </c>
      <c r="K221" s="8">
        <v>18.549042794854</v>
      </c>
      <c r="L221" s="7">
        <v>24</v>
      </c>
      <c r="M221" s="1">
        <v>0.97887879170356795</v>
      </c>
      <c r="N221" s="1">
        <v>39.080776326630598</v>
      </c>
      <c r="O221" s="1">
        <v>0.98910071967327295</v>
      </c>
      <c r="P221" s="1">
        <v>19.6260217733</v>
      </c>
      <c r="Q221" s="1">
        <v>42.2583050316494</v>
      </c>
      <c r="R221" s="1">
        <v>0.99074766636045397</v>
      </c>
      <c r="S221" s="8">
        <v>20.337487149415299</v>
      </c>
      <c r="T221" s="7"/>
      <c r="U221" s="1"/>
      <c r="V221" s="1"/>
      <c r="W221" s="8"/>
      <c r="X221" s="7"/>
      <c r="Y221" s="1"/>
      <c r="Z221" s="1"/>
      <c r="AA221" s="8"/>
      <c r="AB221" s="7">
        <v>64</v>
      </c>
      <c r="AC221" s="1">
        <v>0.63797204259430895</v>
      </c>
      <c r="AD221" s="1">
        <v>36.980721000712698</v>
      </c>
      <c r="AE221" s="1">
        <v>0.98158118236258796</v>
      </c>
      <c r="AF221" s="1">
        <v>17.347382519909001</v>
      </c>
      <c r="AG221" s="1">
        <v>40.327931537594701</v>
      </c>
      <c r="AH221" s="1">
        <v>0.98283813192522496</v>
      </c>
      <c r="AI221" s="1">
        <v>17.654354408223998</v>
      </c>
      <c r="AJ221" s="1">
        <v>318.28176164627001</v>
      </c>
      <c r="AK221" s="1">
        <v>183.65385770797701</v>
      </c>
      <c r="AL221" s="7"/>
      <c r="AM221" s="1"/>
      <c r="AN221" s="1"/>
      <c r="AO221" s="8"/>
      <c r="AP221" s="1"/>
      <c r="AQ221" s="1"/>
      <c r="AR221" s="1"/>
      <c r="AS221" s="8"/>
      <c r="AT221" s="7">
        <v>0.64</v>
      </c>
      <c r="AU221" s="1">
        <v>0.60367846405719705</v>
      </c>
      <c r="AV221" s="1">
        <v>33.245338506895898</v>
      </c>
      <c r="AW221" s="1">
        <v>0.99160474781325803</v>
      </c>
      <c r="AX221" s="1">
        <v>20.759662534669499</v>
      </c>
      <c r="AY221" s="1">
        <v>37.027094681282698</v>
      </c>
      <c r="AZ221" s="1">
        <v>0.99270103615962402</v>
      </c>
      <c r="BA221" s="1">
        <v>21.367387878722301</v>
      </c>
      <c r="BB221" s="1">
        <v>206.850040674209</v>
      </c>
      <c r="BC221" s="1">
        <v>130.06151103973301</v>
      </c>
      <c r="BD221" s="7"/>
      <c r="BE221" s="1"/>
      <c r="BF221" s="1"/>
      <c r="BG221" s="8"/>
      <c r="BH221" s="1"/>
      <c r="BI221" s="1"/>
      <c r="BJ221" s="1"/>
      <c r="BK221" s="8"/>
    </row>
    <row r="222" spans="1:63">
      <c r="A222" s="49"/>
      <c r="B222" s="7" t="s">
        <v>18</v>
      </c>
      <c r="C222" s="17">
        <v>0.5</v>
      </c>
      <c r="D222" s="7">
        <v>32</v>
      </c>
      <c r="E222" s="1">
        <v>0.48842459676872702</v>
      </c>
      <c r="F222" s="1">
        <v>34.963927279008701</v>
      </c>
      <c r="G222" s="1">
        <v>0.97555995987487099</v>
      </c>
      <c r="H222" s="1">
        <v>16.118980854136201</v>
      </c>
      <c r="I222" s="1">
        <v>38.194963958799597</v>
      </c>
      <c r="J222" s="1">
        <v>0.97830969863945505</v>
      </c>
      <c r="K222" s="8">
        <v>16.637344139465</v>
      </c>
      <c r="L222" s="7">
        <v>29</v>
      </c>
      <c r="M222" s="1">
        <v>0.49599794230662098</v>
      </c>
      <c r="N222" s="1">
        <v>36.016521183042201</v>
      </c>
      <c r="O222" s="1">
        <v>0.97801112753310404</v>
      </c>
      <c r="P222" s="1">
        <v>16.577970395778198</v>
      </c>
      <c r="Q222" s="1">
        <v>39.387029312096097</v>
      </c>
      <c r="R222" s="1">
        <v>0.97968333749181902</v>
      </c>
      <c r="S222" s="8">
        <v>16.921476336581801</v>
      </c>
      <c r="T222" s="7"/>
      <c r="U222" s="1"/>
      <c r="V222" s="1"/>
      <c r="W222" s="8"/>
      <c r="X222" s="7"/>
      <c r="Y222" s="1"/>
      <c r="Z222" s="1"/>
      <c r="AA222" s="8"/>
      <c r="AB222" s="7">
        <v>32</v>
      </c>
      <c r="AC222" s="1">
        <v>0.44189330547973898</v>
      </c>
      <c r="AD222" s="1">
        <v>35.3331551885598</v>
      </c>
      <c r="AE222" s="1">
        <v>0.97771830262632997</v>
      </c>
      <c r="AF222" s="1">
        <v>16.5205172858178</v>
      </c>
      <c r="AG222" s="1">
        <v>38.810870840318202</v>
      </c>
      <c r="AH222" s="1">
        <v>0.97907900274993298</v>
      </c>
      <c r="AI222" s="1">
        <v>16.794176176117102</v>
      </c>
      <c r="AJ222" s="1">
        <v>415.30733156204201</v>
      </c>
      <c r="AK222" s="1">
        <v>252.73552584648101</v>
      </c>
      <c r="AL222" s="7"/>
      <c r="AM222" s="1"/>
      <c r="AN222" s="1"/>
      <c r="AO222" s="8"/>
      <c r="AP222" s="1"/>
      <c r="AQ222" s="1"/>
      <c r="AR222" s="1"/>
      <c r="AS222" s="8"/>
      <c r="AT222" s="7">
        <v>0.32</v>
      </c>
      <c r="AU222" s="1">
        <v>0.44611208262015301</v>
      </c>
      <c r="AV222" s="1">
        <v>32.332307627722201</v>
      </c>
      <c r="AW222" s="1">
        <v>0.98771203918505701</v>
      </c>
      <c r="AX222" s="1">
        <v>19.1052018223129</v>
      </c>
      <c r="AY222" s="1">
        <v>36.110955578493602</v>
      </c>
      <c r="AZ222" s="1">
        <v>0.98899919779372503</v>
      </c>
      <c r="BA222" s="1">
        <v>19.5857564383676</v>
      </c>
      <c r="BB222" s="1">
        <v>217.897269248962</v>
      </c>
      <c r="BC222" s="1">
        <v>142.62246918678201</v>
      </c>
      <c r="BD222" s="7"/>
      <c r="BE222" s="1"/>
      <c r="BF222" s="1"/>
      <c r="BG222" s="8"/>
      <c r="BH222" s="1"/>
      <c r="BI222" s="1"/>
      <c r="BJ222" s="1"/>
      <c r="BK222" s="8"/>
    </row>
    <row r="223" spans="1:63">
      <c r="A223" s="49"/>
      <c r="B223" s="7" t="s">
        <v>18</v>
      </c>
      <c r="C223" s="17">
        <v>0.25</v>
      </c>
      <c r="D223" s="7">
        <v>38</v>
      </c>
      <c r="E223" s="1">
        <v>0.22129756194660699</v>
      </c>
      <c r="F223" s="1">
        <v>31.673805065032202</v>
      </c>
      <c r="G223" s="1">
        <v>0.96248971018487095</v>
      </c>
      <c r="H223" s="1">
        <v>14.258495803540701</v>
      </c>
      <c r="I223" s="1">
        <v>35.098577001603402</v>
      </c>
      <c r="J223" s="1">
        <v>0.96659970330018996</v>
      </c>
      <c r="K223" s="8">
        <v>14.762496752687399</v>
      </c>
      <c r="L223" s="7">
        <v>35</v>
      </c>
      <c r="M223" s="1">
        <v>0.233622931762136</v>
      </c>
      <c r="N223" s="1">
        <v>32.8340675681482</v>
      </c>
      <c r="O223" s="1">
        <v>0.96849280634571899</v>
      </c>
      <c r="P223" s="1">
        <v>15.015902777126</v>
      </c>
      <c r="Q223" s="1">
        <v>36.503922662327597</v>
      </c>
      <c r="R223" s="1">
        <v>0.97066906384004004</v>
      </c>
      <c r="S223" s="8">
        <v>15.326740753550601</v>
      </c>
      <c r="T223" s="7"/>
      <c r="U223" s="1"/>
      <c r="V223" s="1"/>
      <c r="W223" s="8"/>
      <c r="X223" s="7"/>
      <c r="Y223" s="1"/>
      <c r="Z223" s="1"/>
      <c r="AA223" s="8"/>
      <c r="AB223" s="7">
        <v>16</v>
      </c>
      <c r="AC223" s="1">
        <v>0.29089727048687097</v>
      </c>
      <c r="AD223" s="1">
        <v>33.580796825701498</v>
      </c>
      <c r="AE223" s="1">
        <v>0.97270171268769301</v>
      </c>
      <c r="AF223" s="1">
        <v>15.638645996312899</v>
      </c>
      <c r="AG223" s="1">
        <v>37.2472571177615</v>
      </c>
      <c r="AH223" s="1">
        <v>0.97432340010880703</v>
      </c>
      <c r="AI223" s="1">
        <v>15.9046248629858</v>
      </c>
      <c r="AJ223" s="1">
        <v>248.83413386344901</v>
      </c>
      <c r="AK223" s="1">
        <v>176.481757879257</v>
      </c>
      <c r="AL223" s="7"/>
      <c r="AM223" s="1"/>
      <c r="AN223" s="1"/>
      <c r="AO223" s="8"/>
      <c r="AP223" s="1"/>
      <c r="AQ223" s="1"/>
      <c r="AR223" s="1"/>
      <c r="AS223" s="8"/>
      <c r="AT223" s="7">
        <v>0.16</v>
      </c>
      <c r="AU223" s="1">
        <v>0.26556887432526699</v>
      </c>
      <c r="AV223" s="1">
        <v>31.066728278370501</v>
      </c>
      <c r="AW223" s="1">
        <v>0.97843861802883803</v>
      </c>
      <c r="AX223" s="1">
        <v>16.663234066014901</v>
      </c>
      <c r="AY223" s="1">
        <v>34.820772194601503</v>
      </c>
      <c r="AZ223" s="1">
        <v>0.98001428500302301</v>
      </c>
      <c r="BA223" s="1">
        <v>16.9928031006651</v>
      </c>
      <c r="BB223" s="1">
        <v>247.44043350219701</v>
      </c>
      <c r="BC223" s="1">
        <v>185.19723153114299</v>
      </c>
      <c r="BD223" s="7"/>
      <c r="BE223" s="1"/>
      <c r="BF223" s="1"/>
      <c r="BG223" s="8"/>
      <c r="BH223" s="1"/>
      <c r="BI223" s="1"/>
      <c r="BJ223" s="1"/>
      <c r="BK223" s="8"/>
    </row>
    <row r="224" spans="1:63">
      <c r="A224" s="49"/>
      <c r="B224" s="7" t="s">
        <v>18</v>
      </c>
      <c r="C224" s="17">
        <v>0.12</v>
      </c>
      <c r="D224" s="7">
        <v>43</v>
      </c>
      <c r="E224" s="1">
        <v>0.10519016209603201</v>
      </c>
      <c r="F224" s="1">
        <v>29.036311489919701</v>
      </c>
      <c r="G224" s="1">
        <v>0.93840620927124796</v>
      </c>
      <c r="H224" s="1">
        <v>12.1046306686414</v>
      </c>
      <c r="I224" s="1">
        <v>32.641556711858399</v>
      </c>
      <c r="J224" s="1">
        <v>0.94434095267182205</v>
      </c>
      <c r="K224" s="8">
        <v>12.544642314129799</v>
      </c>
      <c r="L224" s="7">
        <v>40</v>
      </c>
      <c r="M224" s="1">
        <v>0.115132495969566</v>
      </c>
      <c r="N224" s="1">
        <v>30.176881383671098</v>
      </c>
      <c r="O224" s="1">
        <v>0.95081023086939997</v>
      </c>
      <c r="P224" s="1">
        <v>13.0812521577248</v>
      </c>
      <c r="Q224" s="1">
        <v>34.070025445728298</v>
      </c>
      <c r="R224" s="1">
        <v>0.95346780888120197</v>
      </c>
      <c r="S224" s="8">
        <v>13.3224649682417</v>
      </c>
      <c r="T224" s="7"/>
      <c r="U224" s="1"/>
      <c r="V224" s="1"/>
      <c r="W224" s="8"/>
      <c r="X224" s="7"/>
      <c r="Y224" s="1"/>
      <c r="Z224" s="1"/>
      <c r="AA224" s="8"/>
      <c r="AB224" s="7">
        <v>8</v>
      </c>
      <c r="AC224" s="1">
        <v>0.19027595188161001</v>
      </c>
      <c r="AD224" s="1">
        <v>31.878935469154399</v>
      </c>
      <c r="AE224" s="1">
        <v>0.96504933224300504</v>
      </c>
      <c r="AF224" s="1">
        <v>14.565445223386799</v>
      </c>
      <c r="AG224" s="1">
        <v>35.782251073176901</v>
      </c>
      <c r="AH224" s="1">
        <v>0.966710501916203</v>
      </c>
      <c r="AI224" s="1">
        <v>14.776927527880799</v>
      </c>
      <c r="AJ224" s="1">
        <v>188.73508286476101</v>
      </c>
      <c r="AK224" s="1">
        <v>125.28354763984601</v>
      </c>
      <c r="AL224" s="7"/>
      <c r="AM224" s="1"/>
      <c r="AN224" s="1"/>
      <c r="AO224" s="8"/>
      <c r="AP224" s="1"/>
      <c r="AQ224" s="1"/>
      <c r="AR224" s="1"/>
      <c r="AS224" s="8"/>
      <c r="AT224" s="7">
        <v>0.08</v>
      </c>
      <c r="AU224" s="1">
        <v>0.15796308584049701</v>
      </c>
      <c r="AV224" s="1">
        <v>29.612615220297702</v>
      </c>
      <c r="AW224" s="1">
        <v>0.96780737060567201</v>
      </c>
      <c r="AX224" s="1">
        <v>14.9224355003662</v>
      </c>
      <c r="AY224" s="1">
        <v>33.087035326767001</v>
      </c>
      <c r="AZ224" s="1">
        <v>0.96991417027978699</v>
      </c>
      <c r="BA224" s="1">
        <v>15.2163800684338</v>
      </c>
      <c r="BB224" s="1">
        <v>175.77593684196401</v>
      </c>
      <c r="BC224" s="1">
        <v>122.115602493286</v>
      </c>
      <c r="BD224" s="7"/>
      <c r="BE224" s="1"/>
      <c r="BF224" s="1"/>
      <c r="BG224" s="8"/>
      <c r="BH224" s="1"/>
      <c r="BI224" s="1"/>
      <c r="BJ224" s="1"/>
      <c r="BK224" s="8"/>
    </row>
    <row r="225" spans="1:63">
      <c r="A225" s="49"/>
      <c r="B225" s="7" t="s">
        <v>18</v>
      </c>
      <c r="C225" s="17">
        <v>0.06</v>
      </c>
      <c r="D225" s="7">
        <v>47</v>
      </c>
      <c r="E225" s="1">
        <v>5.4056874965276003E-2</v>
      </c>
      <c r="F225" s="1">
        <v>27.0542988020721</v>
      </c>
      <c r="G225" s="1">
        <v>0.90451218581302495</v>
      </c>
      <c r="H225" s="1">
        <v>10.2005204798722</v>
      </c>
      <c r="I225" s="1">
        <v>30.790430526801501</v>
      </c>
      <c r="J225" s="1">
        <v>0.91190216721934403</v>
      </c>
      <c r="K225" s="8">
        <v>10.550347751632</v>
      </c>
      <c r="L225" s="7">
        <v>45</v>
      </c>
      <c r="M225" s="1">
        <v>5.2242486128515501E-2</v>
      </c>
      <c r="N225" s="1">
        <v>27.652443901528901</v>
      </c>
      <c r="O225" s="1">
        <v>0.91614757771604804</v>
      </c>
      <c r="P225" s="1">
        <v>10.7648438720984</v>
      </c>
      <c r="Q225" s="1">
        <v>31.756021946110401</v>
      </c>
      <c r="R225" s="1">
        <v>0.91939493598322397</v>
      </c>
      <c r="S225" s="8">
        <v>10.936376727674199</v>
      </c>
      <c r="T225" s="7"/>
      <c r="U225" s="1"/>
      <c r="V225" s="1"/>
      <c r="W225" s="8"/>
      <c r="X225" s="7"/>
      <c r="Y225" s="1"/>
      <c r="Z225" s="1"/>
      <c r="AA225" s="8"/>
      <c r="AB225" s="7">
        <v>4</v>
      </c>
      <c r="AC225" s="1">
        <v>0.12513158217277201</v>
      </c>
      <c r="AD225" s="1">
        <v>30.227218677837499</v>
      </c>
      <c r="AE225" s="1">
        <v>0.95242282377562404</v>
      </c>
      <c r="AF225" s="1">
        <v>13.226013375522999</v>
      </c>
      <c r="AG225" s="1">
        <v>34.233120969286198</v>
      </c>
      <c r="AH225" s="1">
        <v>0.95471385290264699</v>
      </c>
      <c r="AI225" s="1">
        <v>13.4403462710989</v>
      </c>
      <c r="AJ225" s="1">
        <v>185.747526407241</v>
      </c>
      <c r="AK225" s="1">
        <v>125.563627243041</v>
      </c>
      <c r="AL225" s="7"/>
      <c r="AM225" s="1"/>
      <c r="AN225" s="1"/>
      <c r="AO225" s="8"/>
      <c r="AP225" s="1"/>
      <c r="AQ225" s="1"/>
      <c r="AR225" s="1"/>
      <c r="AS225" s="8"/>
      <c r="AT225" s="7">
        <v>0.04</v>
      </c>
      <c r="AU225" s="1">
        <v>0.100749994679469</v>
      </c>
      <c r="AV225" s="1">
        <v>28.0563742534897</v>
      </c>
      <c r="AW225" s="1">
        <v>0.95701595557817398</v>
      </c>
      <c r="AX225" s="1">
        <v>13.6669272361785</v>
      </c>
      <c r="AY225" s="1">
        <v>31.181432399963001</v>
      </c>
      <c r="AZ225" s="1">
        <v>0.95956845326528295</v>
      </c>
      <c r="BA225" s="1">
        <v>13.932796441349501</v>
      </c>
      <c r="BB225" s="1">
        <v>211.71148681640599</v>
      </c>
      <c r="BC225" s="1">
        <v>153.13721036910999</v>
      </c>
      <c r="BD225" s="7"/>
      <c r="BE225" s="1"/>
      <c r="BF225" s="1"/>
      <c r="BG225" s="8"/>
      <c r="BH225" s="1"/>
      <c r="BI225" s="1"/>
      <c r="BJ225" s="1"/>
      <c r="BK225" s="8"/>
    </row>
    <row r="226" spans="1:63">
      <c r="A226" s="49"/>
      <c r="B226" s="7" t="s">
        <v>57</v>
      </c>
      <c r="C226" s="17">
        <v>1.5</v>
      </c>
      <c r="D226" s="7">
        <v>24</v>
      </c>
      <c r="E226" s="1">
        <v>1.2873145522705001</v>
      </c>
      <c r="F226" s="1">
        <v>38.094711980636298</v>
      </c>
      <c r="G226" s="1">
        <v>0.98418597432189103</v>
      </c>
      <c r="H226" s="1">
        <v>18.009575603499599</v>
      </c>
      <c r="I226" s="1">
        <v>41.806646680307999</v>
      </c>
      <c r="J226" s="1">
        <v>0.99203142084483098</v>
      </c>
      <c r="K226" s="8">
        <v>20.9861910897779</v>
      </c>
      <c r="L226" s="7">
        <v>21</v>
      </c>
      <c r="M226" s="1">
        <v>1.4422815513359599</v>
      </c>
      <c r="N226" s="1">
        <v>39.393597522122903</v>
      </c>
      <c r="O226" s="1">
        <v>0.98868588586120698</v>
      </c>
      <c r="P226" s="1">
        <v>19.4637944433365</v>
      </c>
      <c r="Q226" s="1">
        <v>43.1467820914513</v>
      </c>
      <c r="R226" s="1">
        <v>0.99415736530881205</v>
      </c>
      <c r="S226" s="8">
        <v>22.3339126696048</v>
      </c>
      <c r="T226" s="13">
        <f>bdrate(E226:E229,F226:F229,M226:M229,N226:N229)</f>
        <v>-0.22323810539614863</v>
      </c>
      <c r="U226" s="12">
        <f>bdrate(E226:E229,H226:H229,M226:M229,P226:P229)</f>
        <v>-0.23669763879739858</v>
      </c>
      <c r="V226" s="12">
        <f>bdrate(E226:E229,I226:I229,M226:M229,Q226:Q229)</f>
        <v>-0.2080468601959129</v>
      </c>
      <c r="W226" s="14">
        <f>bdrate(E226:E229,K226:K229,M226:M229,S226:S229)</f>
        <v>-0.14972528306370436</v>
      </c>
      <c r="X226" s="13">
        <f>bdrate(E228:E231,F228:F231,M228:M231,N228:N231)</f>
        <v>-0.35360974767052689</v>
      </c>
      <c r="Y226" s="12">
        <f>bdrate(E228:E231,H228:H231,M228:M231,P228:P231)</f>
        <v>-0.35132514785371349</v>
      </c>
      <c r="Z226" s="12">
        <f>bdrate(E228:E231,I228:I231,M228:M231,Q228:Q231)</f>
        <v>-0.36510227613361879</v>
      </c>
      <c r="AA226" s="14">
        <f>bdrate(E228:E231,K228:K231,M228:M231,S228:S231)</f>
        <v>-0.30222759338904392</v>
      </c>
      <c r="AB226" s="7"/>
      <c r="AC226" s="1"/>
      <c r="AD226" s="1"/>
      <c r="AE226" s="1"/>
      <c r="AF226" s="1"/>
      <c r="AG226" s="1"/>
      <c r="AH226" s="1"/>
      <c r="AI226" s="1"/>
      <c r="AJ226" s="1"/>
      <c r="AK226" s="1"/>
      <c r="AL226" s="13" t="e">
        <f>bdrate(E226:E229,F226:F229,AC226:AC229,AD226:AD229)</f>
        <v>#VALUE!</v>
      </c>
      <c r="AM226" s="12" t="e">
        <f>bdrate(E226:E229,H226:H229,AC226:AC229,AF226:AF229)</f>
        <v>#VALUE!</v>
      </c>
      <c r="AN226" s="12" t="e">
        <f>bdrate(E226:E229,I226:I229,AC226:AC229,AG226:AG229)</f>
        <v>#VALUE!</v>
      </c>
      <c r="AO226" s="14" t="e">
        <f>bdrate(E226:E229,K226:K229,AC226:AC229,AI226:AI229)</f>
        <v>#VALUE!</v>
      </c>
      <c r="AP226" s="12">
        <f>bdrate(E228:E231,F228:F231,AC228:AC231,AD228:AD231)</f>
        <v>9.3243083928973736E-2</v>
      </c>
      <c r="AQ226" s="12">
        <f>bdrate(E228:E231,H228:H231,AC228:AC231,AF228:AF231)</f>
        <v>-0.14838173292920398</v>
      </c>
      <c r="AR226" s="12">
        <f>bdrate(E228:E231,I228:I231,AC228:AC231,AG228:AG231)</f>
        <v>6.7840091755345888E-2</v>
      </c>
      <c r="AS226" s="14">
        <f>bdrate(E228:E231,K228:K231,AC228:AC231,AI228:AI231)</f>
        <v>-7.4183768277652828E-2</v>
      </c>
      <c r="AT226" s="7"/>
      <c r="AU226" s="1"/>
      <c r="AV226" s="1"/>
      <c r="AW226" s="1"/>
      <c r="AX226" s="1"/>
      <c r="AY226" s="1"/>
      <c r="AZ226" s="1"/>
      <c r="BA226" s="1"/>
      <c r="BB226" s="1"/>
      <c r="BC226" s="1"/>
      <c r="BD226" s="13" t="e">
        <f>bdrate(E226:E229,F226:F229,AU226:AU229,AV226:AV229)</f>
        <v>#VALUE!</v>
      </c>
      <c r="BE226" s="12" t="e">
        <f>bdrate(E226:E229,H226:H229,AU226:AU229,AX226:AX229)</f>
        <v>#VALUE!</v>
      </c>
      <c r="BF226" s="12" t="e">
        <f>bdrate(E226:E229,I226:I229,AU226:AU229,AY226:AY229)</f>
        <v>#VALUE!</v>
      </c>
      <c r="BG226" s="14" t="e">
        <f>bdrate(E226:E229,K226:K229,AU226:AU229,BA226:BA229)</f>
        <v>#VALUE!</v>
      </c>
      <c r="BH226" s="12">
        <f>bdrate(E228:E231,F228:F231,AU228:AU231,AV228:AV231)</f>
        <v>1.5199734022734752</v>
      </c>
      <c r="BI226" s="12">
        <f>bdrate(E228:E231,H228:H231,AU228:AU231,AX228:AX231)</f>
        <v>-0.46543771961311464</v>
      </c>
      <c r="BJ226" s="12">
        <f>bdrate(E228:E231,I228:I231,AU228:AU231,AY228:AY231)</f>
        <v>1.6539149633943842</v>
      </c>
      <c r="BK226" s="14">
        <f>bdrate(E228:E231,K228:K231,AU228:AU231,BA228:BA231)</f>
        <v>-0.42105006629331065</v>
      </c>
    </row>
    <row r="227" spans="1:63">
      <c r="A227" s="49"/>
      <c r="B227" s="7" t="s">
        <v>18</v>
      </c>
      <c r="C227" s="17">
        <v>1</v>
      </c>
      <c r="D227" s="7">
        <v>26</v>
      </c>
      <c r="E227" s="1">
        <v>0.89184096363790799</v>
      </c>
      <c r="F227" s="1">
        <v>36.803363488364703</v>
      </c>
      <c r="G227" s="1">
        <v>0.97809698949734603</v>
      </c>
      <c r="H227" s="1">
        <v>16.5949618859213</v>
      </c>
      <c r="I227" s="1">
        <v>40.258929662993303</v>
      </c>
      <c r="J227" s="1">
        <v>0.98722777708004394</v>
      </c>
      <c r="K227" s="8">
        <v>18.937335101089499</v>
      </c>
      <c r="L227" s="7">
        <v>23</v>
      </c>
      <c r="M227" s="1">
        <v>0.689155356611868</v>
      </c>
      <c r="N227" s="1">
        <v>36.715371643099502</v>
      </c>
      <c r="O227" s="1">
        <v>0.97794207724369897</v>
      </c>
      <c r="P227" s="1">
        <v>16.564353884485399</v>
      </c>
      <c r="Q227" s="1">
        <v>40.084454533803203</v>
      </c>
      <c r="R227" s="1">
        <v>0.98540883078027797</v>
      </c>
      <c r="S227" s="8">
        <v>18.359099058222501</v>
      </c>
      <c r="T227" s="7"/>
      <c r="U227" s="1"/>
      <c r="V227" s="1"/>
      <c r="W227" s="8"/>
      <c r="X227" s="7"/>
      <c r="Y227" s="1"/>
      <c r="Z227" s="1"/>
      <c r="AA227" s="8"/>
      <c r="AB227" s="7">
        <v>64</v>
      </c>
      <c r="AC227" s="1">
        <v>0.57087833460770498</v>
      </c>
      <c r="AD227" s="1">
        <v>35.467423951721699</v>
      </c>
      <c r="AE227" s="1">
        <v>0.97237810837729699</v>
      </c>
      <c r="AF227" s="1">
        <v>15.5874658306474</v>
      </c>
      <c r="AG227" s="1">
        <v>38.7759438348617</v>
      </c>
      <c r="AH227" s="1">
        <v>0.98080870297838496</v>
      </c>
      <c r="AI227" s="1">
        <v>17.1689567298233</v>
      </c>
      <c r="AJ227" s="1">
        <v>234.88430714607199</v>
      </c>
      <c r="AK227" s="1">
        <v>155.44451594352699</v>
      </c>
      <c r="AL227" s="7"/>
      <c r="AM227" s="1"/>
      <c r="AN227" s="1"/>
      <c r="AO227" s="8"/>
      <c r="AP227" s="1"/>
      <c r="AQ227" s="1"/>
      <c r="AR227" s="1"/>
      <c r="AS227" s="8"/>
      <c r="AT227" s="7">
        <v>0.64</v>
      </c>
      <c r="AU227" s="1">
        <v>0.648356192387749</v>
      </c>
      <c r="AV227" s="1">
        <v>34.350543788889503</v>
      </c>
      <c r="AW227" s="1">
        <v>0.98445265116438896</v>
      </c>
      <c r="AX227" s="1">
        <v>18.083436570697899</v>
      </c>
      <c r="AY227" s="1">
        <v>37.592233078517097</v>
      </c>
      <c r="AZ227" s="1">
        <v>0.98950838031571797</v>
      </c>
      <c r="BA227" s="1">
        <v>19.791574607438498</v>
      </c>
      <c r="BB227" s="1">
        <v>155.97418737411499</v>
      </c>
      <c r="BC227" s="1">
        <v>101.43501782417199</v>
      </c>
      <c r="BD227" s="7"/>
      <c r="BE227" s="1"/>
      <c r="BF227" s="1"/>
      <c r="BG227" s="8"/>
      <c r="BH227" s="1"/>
      <c r="BI227" s="1"/>
      <c r="BJ227" s="1"/>
      <c r="BK227" s="8"/>
    </row>
    <row r="228" spans="1:63">
      <c r="A228" s="49"/>
      <c r="B228" s="7" t="s">
        <v>18</v>
      </c>
      <c r="C228" s="17">
        <v>0.5</v>
      </c>
      <c r="D228" s="7">
        <v>29</v>
      </c>
      <c r="E228" s="1">
        <v>0.449100770995284</v>
      </c>
      <c r="F228" s="1">
        <v>34.920855946783497</v>
      </c>
      <c r="G228" s="1">
        <v>0.96385870899298298</v>
      </c>
      <c r="H228" s="1">
        <v>14.4199633801722</v>
      </c>
      <c r="I228" s="1">
        <v>38.2292289597885</v>
      </c>
      <c r="J228" s="1">
        <v>0.97475076954694695</v>
      </c>
      <c r="K228" s="8">
        <v>15.9775185378634</v>
      </c>
      <c r="L228" s="7">
        <v>25</v>
      </c>
      <c r="M228" s="1">
        <v>0.43025200713648498</v>
      </c>
      <c r="N228" s="1">
        <v>35.458422351346499</v>
      </c>
      <c r="O228" s="1">
        <v>0.96915982509234999</v>
      </c>
      <c r="P228" s="1">
        <v>15.1088316754677</v>
      </c>
      <c r="Q228" s="1">
        <v>38.780972467296799</v>
      </c>
      <c r="R228" s="1">
        <v>0.977753418738602</v>
      </c>
      <c r="S228" s="8">
        <v>16.527367196667601</v>
      </c>
      <c r="T228" s="7"/>
      <c r="U228" s="1"/>
      <c r="V228" s="1"/>
      <c r="W228" s="8"/>
      <c r="X228" s="7"/>
      <c r="Y228" s="1"/>
      <c r="Z228" s="1"/>
      <c r="AA228" s="8"/>
      <c r="AB228" s="7">
        <v>32</v>
      </c>
      <c r="AC228" s="1">
        <v>0.25688758442716902</v>
      </c>
      <c r="AD228" s="1">
        <v>33.754180898885501</v>
      </c>
      <c r="AE228" s="1">
        <v>0.95383512241845103</v>
      </c>
      <c r="AF228" s="1">
        <v>13.3568831174916</v>
      </c>
      <c r="AG228" s="1">
        <v>37.088166667948997</v>
      </c>
      <c r="AH228" s="1">
        <v>0.964295036403511</v>
      </c>
      <c r="AI228" s="1">
        <v>14.4727140538019</v>
      </c>
      <c r="AJ228" s="1">
        <v>326.06515383720398</v>
      </c>
      <c r="AK228" s="1">
        <v>220.99385952949501</v>
      </c>
      <c r="AL228" s="7"/>
      <c r="AM228" s="1"/>
      <c r="AN228" s="1"/>
      <c r="AO228" s="8"/>
      <c r="AP228" s="1"/>
      <c r="AQ228" s="1"/>
      <c r="AR228" s="1"/>
      <c r="AS228" s="8"/>
      <c r="AT228" s="7">
        <v>0.32</v>
      </c>
      <c r="AU228" s="1">
        <v>0.49301418270251901</v>
      </c>
      <c r="AV228" s="1">
        <v>33.849500609755601</v>
      </c>
      <c r="AW228" s="1">
        <v>0.98051174004348596</v>
      </c>
      <c r="AX228" s="1">
        <v>17.102269358962399</v>
      </c>
      <c r="AY228" s="1">
        <v>37.108437412809501</v>
      </c>
      <c r="AZ228" s="1">
        <v>0.98644414626010701</v>
      </c>
      <c r="BA228" s="1">
        <v>18.678731256048199</v>
      </c>
      <c r="BB228" s="1">
        <v>165.86385703086799</v>
      </c>
      <c r="BC228" s="1">
        <v>107.589300394058</v>
      </c>
      <c r="BD228" s="7"/>
      <c r="BE228" s="1"/>
      <c r="BF228" s="1"/>
      <c r="BG228" s="8"/>
      <c r="BH228" s="1"/>
      <c r="BI228" s="1"/>
      <c r="BJ228" s="1"/>
      <c r="BK228" s="8"/>
    </row>
    <row r="229" spans="1:63">
      <c r="A229" s="49"/>
      <c r="B229" s="7" t="s">
        <v>18</v>
      </c>
      <c r="C229" s="17">
        <v>0.25</v>
      </c>
      <c r="D229" s="7">
        <v>32</v>
      </c>
      <c r="E229" s="1">
        <v>0.19730072002038901</v>
      </c>
      <c r="F229" s="1">
        <v>33.501959934924301</v>
      </c>
      <c r="G229" s="1">
        <v>0.94412134743891796</v>
      </c>
      <c r="H229" s="1">
        <v>12.5275407486176</v>
      </c>
      <c r="I229" s="1">
        <v>36.829615905098898</v>
      </c>
      <c r="J229" s="1">
        <v>0.95689258599581895</v>
      </c>
      <c r="K229" s="8">
        <v>13.6544802950984</v>
      </c>
      <c r="L229" s="7">
        <v>27</v>
      </c>
      <c r="M229" s="1">
        <v>0.243065954080115</v>
      </c>
      <c r="N229" s="1">
        <v>34.3693942572719</v>
      </c>
      <c r="O229" s="1">
        <v>0.95751115278210397</v>
      </c>
      <c r="P229" s="1">
        <v>13.7172505176994</v>
      </c>
      <c r="Q229" s="1">
        <v>37.701904870678703</v>
      </c>
      <c r="R229" s="1">
        <v>0.96761423631622401</v>
      </c>
      <c r="S229" s="8">
        <v>14.896458574571099</v>
      </c>
      <c r="T229" s="7"/>
      <c r="U229" s="1"/>
      <c r="V229" s="1"/>
      <c r="W229" s="8"/>
      <c r="X229" s="7"/>
      <c r="Y229" s="1"/>
      <c r="Z229" s="1"/>
      <c r="AA229" s="8"/>
      <c r="AB229" s="7">
        <v>16</v>
      </c>
      <c r="AC229" s="1">
        <v>0.118089848562083</v>
      </c>
      <c r="AD229" s="1">
        <v>32.767430094289999</v>
      </c>
      <c r="AE229" s="1">
        <v>0.93603004314760696</v>
      </c>
      <c r="AF229" s="1">
        <v>11.940239422130899</v>
      </c>
      <c r="AG229" s="1">
        <v>36.132802224216398</v>
      </c>
      <c r="AH229" s="1">
        <v>0.94791223823603299</v>
      </c>
      <c r="AI229" s="1">
        <v>12.8326430400794</v>
      </c>
      <c r="AJ229" s="1">
        <v>204.518619298934</v>
      </c>
      <c r="AK229" s="1">
        <v>146.83975601196201</v>
      </c>
      <c r="AL229" s="7"/>
      <c r="AM229" s="1"/>
      <c r="AN229" s="1"/>
      <c r="AO229" s="8"/>
      <c r="AP229" s="1"/>
      <c r="AQ229" s="1"/>
      <c r="AR229" s="1"/>
      <c r="AS229" s="8"/>
      <c r="AT229" s="7">
        <v>0.16</v>
      </c>
      <c r="AU229" s="1">
        <v>0.32451560575166699</v>
      </c>
      <c r="AV229" s="1">
        <v>32.996053063616202</v>
      </c>
      <c r="AW229" s="1">
        <v>0.97167790068205995</v>
      </c>
      <c r="AX229" s="1">
        <v>15.4787455859503</v>
      </c>
      <c r="AY229" s="1">
        <v>36.254081244147201</v>
      </c>
      <c r="AZ229" s="1">
        <v>0.97955497415974802</v>
      </c>
      <c r="BA229" s="1">
        <v>16.894123362091001</v>
      </c>
      <c r="BB229" s="1">
        <v>164.07621717453</v>
      </c>
      <c r="BC229" s="1">
        <v>109.204790830612</v>
      </c>
      <c r="BD229" s="7"/>
      <c r="BE229" s="1"/>
      <c r="BF229" s="1"/>
      <c r="BG229" s="8"/>
      <c r="BH229" s="1"/>
      <c r="BI229" s="1"/>
      <c r="BJ229" s="1"/>
      <c r="BK229" s="8"/>
    </row>
    <row r="230" spans="1:63">
      <c r="A230" s="49"/>
      <c r="B230" s="7" t="s">
        <v>18</v>
      </c>
      <c r="C230" s="17">
        <v>0.12</v>
      </c>
      <c r="D230" s="7">
        <v>35</v>
      </c>
      <c r="E230" s="1">
        <v>0.10725635593220301</v>
      </c>
      <c r="F230" s="1">
        <v>32.780261279581602</v>
      </c>
      <c r="G230" s="1">
        <v>0.93004234055062895</v>
      </c>
      <c r="H230" s="1">
        <v>11.5516472899935</v>
      </c>
      <c r="I230" s="1">
        <v>36.114929768967301</v>
      </c>
      <c r="J230" s="1">
        <v>0.94438925818804098</v>
      </c>
      <c r="K230" s="8">
        <v>12.548413116720299</v>
      </c>
      <c r="L230" s="7">
        <v>30</v>
      </c>
      <c r="M230" s="1">
        <v>9.8714742364385502E-2</v>
      </c>
      <c r="N230" s="1">
        <v>33.3027480001141</v>
      </c>
      <c r="O230" s="1">
        <v>0.93986967379777997</v>
      </c>
      <c r="P230" s="1">
        <v>12.2090644013521</v>
      </c>
      <c r="Q230" s="1">
        <v>36.663539801229298</v>
      </c>
      <c r="R230" s="1">
        <v>0.95189189056310297</v>
      </c>
      <c r="S230" s="8">
        <v>13.177817097625001</v>
      </c>
      <c r="T230" s="7"/>
      <c r="U230" s="1"/>
      <c r="V230" s="1"/>
      <c r="W230" s="8"/>
      <c r="X230" s="7"/>
      <c r="Y230" s="1"/>
      <c r="Z230" s="1"/>
      <c r="AA230" s="8"/>
      <c r="AB230" s="7">
        <v>8</v>
      </c>
      <c r="AC230" s="1">
        <v>7.1828804001529203E-2</v>
      </c>
      <c r="AD230" s="1">
        <v>32.141840300330401</v>
      </c>
      <c r="AE230" s="1">
        <v>0.92464797604288596</v>
      </c>
      <c r="AF230" s="1">
        <v>11.2290507803281</v>
      </c>
      <c r="AG230" s="1">
        <v>35.531763804766797</v>
      </c>
      <c r="AH230" s="1">
        <v>0.937283632354319</v>
      </c>
      <c r="AI230" s="1">
        <v>12.0261910270115</v>
      </c>
      <c r="AJ230" s="1">
        <v>150.224889039993</v>
      </c>
      <c r="AK230" s="1">
        <v>101.974039793014</v>
      </c>
      <c r="AL230" s="7"/>
      <c r="AM230" s="1"/>
      <c r="AN230" s="1"/>
      <c r="AO230" s="8"/>
      <c r="AP230" s="1"/>
      <c r="AQ230" s="1"/>
      <c r="AR230" s="1"/>
      <c r="AS230" s="8"/>
      <c r="AT230" s="7">
        <v>0.08</v>
      </c>
      <c r="AU230" s="1">
        <v>0.18043984431417501</v>
      </c>
      <c r="AV230" s="1">
        <v>32.036057961686602</v>
      </c>
      <c r="AW230" s="1">
        <v>0.95725686473346805</v>
      </c>
      <c r="AX230" s="1">
        <v>13.6913362491845</v>
      </c>
      <c r="AY230" s="1">
        <v>35.278698539163699</v>
      </c>
      <c r="AZ230" s="1">
        <v>0.96669000825476503</v>
      </c>
      <c r="BA230" s="1">
        <v>14.7742547493415</v>
      </c>
      <c r="BB230" s="1">
        <v>141.77463459968499</v>
      </c>
      <c r="BC230" s="1">
        <v>97.870745658874498</v>
      </c>
      <c r="BD230" s="7"/>
      <c r="BE230" s="1"/>
      <c r="BF230" s="1"/>
      <c r="BG230" s="8"/>
      <c r="BH230" s="1"/>
      <c r="BI230" s="1"/>
      <c r="BJ230" s="1"/>
      <c r="BK230" s="8"/>
    </row>
    <row r="231" spans="1:63">
      <c r="A231" s="49"/>
      <c r="B231" s="7" t="s">
        <v>18</v>
      </c>
      <c r="C231" s="17">
        <v>0.06</v>
      </c>
      <c r="D231" s="7">
        <v>39</v>
      </c>
      <c r="E231" s="1">
        <v>5.5988753663820501E-2</v>
      </c>
      <c r="F231" s="1">
        <v>31.933692094335299</v>
      </c>
      <c r="G231" s="1">
        <v>0.914417560372911</v>
      </c>
      <c r="H231" s="1">
        <v>10.676153376057499</v>
      </c>
      <c r="I231" s="1">
        <v>35.2789863135961</v>
      </c>
      <c r="J231" s="1">
        <v>0.93023199885777896</v>
      </c>
      <c r="K231" s="8">
        <v>11.563437194078199</v>
      </c>
      <c r="L231" s="7">
        <v>33</v>
      </c>
      <c r="M231" s="1">
        <v>5.9029990229811799E-2</v>
      </c>
      <c r="N231" s="1">
        <v>32.824454760418497</v>
      </c>
      <c r="O231" s="1">
        <v>0.92977817343829805</v>
      </c>
      <c r="P231" s="1">
        <v>11.5352787815533</v>
      </c>
      <c r="Q231" s="1">
        <v>36.187213190802503</v>
      </c>
      <c r="R231" s="1">
        <v>0.94304207929429196</v>
      </c>
      <c r="S231" s="8">
        <v>12.4444587334802</v>
      </c>
      <c r="T231" s="7"/>
      <c r="U231" s="1"/>
      <c r="V231" s="1"/>
      <c r="W231" s="8"/>
      <c r="X231" s="7"/>
      <c r="Y231" s="1"/>
      <c r="Z231" s="1"/>
      <c r="AA231" s="8"/>
      <c r="AB231" s="7">
        <v>4</v>
      </c>
      <c r="AC231" s="1">
        <v>4.40966027356526E-2</v>
      </c>
      <c r="AD231" s="1">
        <v>31.4036354916243</v>
      </c>
      <c r="AE231" s="1">
        <v>0.91174678460448499</v>
      </c>
      <c r="AF231" s="1">
        <v>10.5426946267566</v>
      </c>
      <c r="AG231" s="1">
        <v>34.823324757576103</v>
      </c>
      <c r="AH231" s="1">
        <v>0.92540286967693197</v>
      </c>
      <c r="AI231" s="1">
        <v>11.2727787907998</v>
      </c>
      <c r="AJ231" s="1">
        <v>148.33792448043801</v>
      </c>
      <c r="AK231" s="1">
        <v>100.940471172332</v>
      </c>
      <c r="AL231" s="7"/>
      <c r="AM231" s="1"/>
      <c r="AN231" s="1"/>
      <c r="AO231" s="8"/>
      <c r="AP231" s="1"/>
      <c r="AQ231" s="1"/>
      <c r="AR231" s="1"/>
      <c r="AS231" s="8"/>
      <c r="AT231" s="7">
        <v>0.04</v>
      </c>
      <c r="AU231" s="1">
        <v>9.2223408096512402E-2</v>
      </c>
      <c r="AV231" s="1">
        <v>31.0483448392621</v>
      </c>
      <c r="AW231" s="1">
        <v>0.93970825130320701</v>
      </c>
      <c r="AX231" s="1">
        <v>12.1974211971146</v>
      </c>
      <c r="AY231" s="1">
        <v>34.1453106426316</v>
      </c>
      <c r="AZ231" s="1">
        <v>0.95178105430789595</v>
      </c>
      <c r="BA231" s="1">
        <v>13.1678228970944</v>
      </c>
      <c r="BB231" s="1">
        <v>166.37535715103101</v>
      </c>
      <c r="BC231" s="1">
        <v>117.018560409545</v>
      </c>
      <c r="BD231" s="7"/>
      <c r="BE231" s="1"/>
      <c r="BF231" s="1"/>
      <c r="BG231" s="8"/>
      <c r="BH231" s="1"/>
      <c r="BI231" s="1"/>
      <c r="BJ231" s="1"/>
      <c r="BK231" s="8"/>
    </row>
    <row r="232" spans="1:63">
      <c r="A232" s="49"/>
      <c r="B232" s="7" t="s">
        <v>58</v>
      </c>
      <c r="C232" s="17">
        <v>1.5</v>
      </c>
      <c r="D232" s="7">
        <v>23</v>
      </c>
      <c r="E232" s="1">
        <v>1.47444622417203</v>
      </c>
      <c r="F232" s="1">
        <v>43.201443303663503</v>
      </c>
      <c r="G232" s="1">
        <v>0.99458410160645605</v>
      </c>
      <c r="H232" s="1">
        <v>22.663294919479601</v>
      </c>
      <c r="I232" s="1">
        <v>46.322609659055402</v>
      </c>
      <c r="J232" s="1">
        <v>0.99605568209002604</v>
      </c>
      <c r="K232" s="8">
        <v>24.0402808841053</v>
      </c>
      <c r="L232" s="7">
        <v>21</v>
      </c>
      <c r="M232" s="1">
        <v>1.3908347536085499</v>
      </c>
      <c r="N232" s="1">
        <v>42.928004890429598</v>
      </c>
      <c r="O232" s="1">
        <v>0.99424327211127805</v>
      </c>
      <c r="P232" s="1">
        <v>22.3982429846209</v>
      </c>
      <c r="Q232" s="1">
        <v>46.147673668275701</v>
      </c>
      <c r="R232" s="1">
        <v>0.99609634076671905</v>
      </c>
      <c r="S232" s="8">
        <v>24.085281007300601</v>
      </c>
      <c r="T232" s="13">
        <f>bdrate(E232:E235,F232:F235,M232:M235,N232:N235)</f>
        <v>-9.1419240766198895E-2</v>
      </c>
      <c r="U232" s="12">
        <f>bdrate(E232:E235,H232:H235,M232:M235,P232:P235)</f>
        <v>-0.10720534974513451</v>
      </c>
      <c r="V232" s="12">
        <f>bdrate(E232:E235,I232:I235,M232:M235,Q232:Q235)</f>
        <v>-0.10496686978306646</v>
      </c>
      <c r="W232" s="14">
        <f>bdrate(E232:E235,K232:K235,M232:M235,S232:S235)</f>
        <v>-0.11639230837717329</v>
      </c>
      <c r="X232" s="13">
        <f>bdrate(E234:E237,F234:F237,M234:M237,N234:N237)</f>
        <v>-0.2316877459526977</v>
      </c>
      <c r="Y232" s="12">
        <f>bdrate(E234:E237,H234:H237,M234:M237,P234:P237)</f>
        <v>-0.20748251555168729</v>
      </c>
      <c r="Z232" s="12">
        <f>bdrate(E234:E237,I234:I237,M234:M237,Q234:Q237)</f>
        <v>-0.26128521945462291</v>
      </c>
      <c r="AA232" s="14">
        <f>bdrate(E234:E237,K234:K237,M234:M237,S234:S237)</f>
        <v>-0.1859557173390135</v>
      </c>
      <c r="AB232" s="7"/>
      <c r="AC232" s="1"/>
      <c r="AD232" s="1"/>
      <c r="AE232" s="1"/>
      <c r="AF232" s="1"/>
      <c r="AG232" s="1"/>
      <c r="AH232" s="1"/>
      <c r="AI232" s="1"/>
      <c r="AJ232" s="1"/>
      <c r="AK232" s="1"/>
      <c r="AL232" s="13" t="e">
        <f>bdrate(E232:E235,F232:F235,AC232:AC235,AD232:AD235)</f>
        <v>#VALUE!</v>
      </c>
      <c r="AM232" s="12" t="e">
        <f>bdrate(E232:E235,H232:H235,AC232:AC235,AF232:AF235)</f>
        <v>#VALUE!</v>
      </c>
      <c r="AN232" s="12" t="e">
        <f>bdrate(E232:E235,I232:I235,AC232:AC235,AG232:AG235)</f>
        <v>#VALUE!</v>
      </c>
      <c r="AO232" s="14" t="e">
        <f>bdrate(E232:E235,K232:K235,AC232:AC235,AI232:AI235)</f>
        <v>#VALUE!</v>
      </c>
      <c r="AP232" s="12">
        <f>bdrate(E234:E237,F234:F237,AC234:AC237,AD234:AD237)</f>
        <v>-8.5145648225344872E-2</v>
      </c>
      <c r="AQ232" s="12">
        <f>bdrate(E234:E237,H234:H237,AC234:AC237,AF234:AF237)</f>
        <v>-0.22353576899793448</v>
      </c>
      <c r="AR232" s="12">
        <f>bdrate(E234:E237,I234:I237,AC234:AC237,AG234:AG237)</f>
        <v>-0.13564812534391935</v>
      </c>
      <c r="AS232" s="14">
        <f>bdrate(E234:E237,K234:K237,AC234:AC237,AI234:AI237)</f>
        <v>-0.17861445556433098</v>
      </c>
      <c r="AT232" s="7"/>
      <c r="AU232" s="1"/>
      <c r="AV232" s="1"/>
      <c r="AW232" s="1"/>
      <c r="AX232" s="1"/>
      <c r="AY232" s="1"/>
      <c r="AZ232" s="1"/>
      <c r="BA232" s="1"/>
      <c r="BB232" s="1"/>
      <c r="BC232" s="1"/>
      <c r="BD232" s="13" t="e">
        <f>bdrate(E232:E235,F232:F235,AU232:AU235,AV232:AV235)</f>
        <v>#VALUE!</v>
      </c>
      <c r="BE232" s="12" t="e">
        <f>bdrate(E232:E235,H232:H235,AU232:AU235,AX232:AX235)</f>
        <v>#VALUE!</v>
      </c>
      <c r="BF232" s="12" t="e">
        <f>bdrate(E232:E235,I232:I235,AU232:AU235,AY232:AY235)</f>
        <v>#VALUE!</v>
      </c>
      <c r="BG232" s="14" t="e">
        <f>bdrate(E232:E235,K232:K235,AU232:AU235,BA232:BA235)</f>
        <v>#VALUE!</v>
      </c>
      <c r="BH232" s="12">
        <f>bdrate(E234:E237,F234:F237,AU234:AU237,AV234:AV237)</f>
        <v>0.98938795670016955</v>
      </c>
      <c r="BI232" s="12">
        <f>bdrate(E234:E237,H234:H237,AU234:AU237,AX234:AX237)</f>
        <v>-0.58299759873811041</v>
      </c>
      <c r="BJ232" s="12">
        <f>bdrate(E234:E237,I234:I237,AU234:AU237,AY234:AY237)</f>
        <v>0.94311897958739244</v>
      </c>
      <c r="BK232" s="14">
        <f>bdrate(E234:E237,K234:K237,AU234:AU237,BA234:BA237)</f>
        <v>-0.56227590016247431</v>
      </c>
    </row>
    <row r="233" spans="1:63">
      <c r="A233" s="49"/>
      <c r="B233" s="7" t="s">
        <v>18</v>
      </c>
      <c r="C233" s="17">
        <v>1</v>
      </c>
      <c r="D233" s="7">
        <v>27</v>
      </c>
      <c r="E233" s="1">
        <v>0.96551164099650699</v>
      </c>
      <c r="F233" s="1">
        <v>39.552850514201701</v>
      </c>
      <c r="G233" s="1">
        <v>0.98686494562279903</v>
      </c>
      <c r="H233" s="1">
        <v>18.815681249586699</v>
      </c>
      <c r="I233" s="1">
        <v>42.639270128926199</v>
      </c>
      <c r="J233" s="1">
        <v>0.98946839193172498</v>
      </c>
      <c r="K233" s="8">
        <v>19.7750531144905</v>
      </c>
      <c r="L233" s="7">
        <v>25</v>
      </c>
      <c r="M233" s="1">
        <v>0.91420354121954295</v>
      </c>
      <c r="N233" s="1">
        <v>39.561861163360298</v>
      </c>
      <c r="O233" s="1">
        <v>0.98753093049915996</v>
      </c>
      <c r="P233" s="1">
        <v>19.041659543585698</v>
      </c>
      <c r="Q233" s="1">
        <v>42.720772431894503</v>
      </c>
      <c r="R233" s="1">
        <v>0.99034712880974096</v>
      </c>
      <c r="S233" s="8">
        <v>20.153434890790301</v>
      </c>
      <c r="T233" s="7"/>
      <c r="U233" s="1"/>
      <c r="V233" s="1"/>
      <c r="W233" s="8"/>
      <c r="X233" s="7"/>
      <c r="Y233" s="1"/>
      <c r="Z233" s="1"/>
      <c r="AA233" s="8"/>
      <c r="AB233" s="7">
        <v>64</v>
      </c>
      <c r="AC233" s="1">
        <v>0.59093377835290095</v>
      </c>
      <c r="AD233" s="1">
        <v>36.490511818352601</v>
      </c>
      <c r="AE233" s="1">
        <v>0.98184633280808697</v>
      </c>
      <c r="AF233" s="1">
        <v>17.410356306643699</v>
      </c>
      <c r="AG233" s="1">
        <v>39.669556700111897</v>
      </c>
      <c r="AH233" s="1">
        <v>0.98514995319694199</v>
      </c>
      <c r="AI233" s="1">
        <v>18.282721775738501</v>
      </c>
      <c r="AJ233" s="1">
        <v>345.05179071426301</v>
      </c>
      <c r="AK233" s="1">
        <v>157.01430964469901</v>
      </c>
      <c r="AL233" s="7"/>
      <c r="AM233" s="1"/>
      <c r="AN233" s="1"/>
      <c r="AO233" s="8"/>
      <c r="AP233" s="1"/>
      <c r="AQ233" s="1"/>
      <c r="AR233" s="1"/>
      <c r="AS233" s="8"/>
      <c r="AT233" s="7">
        <v>0.64</v>
      </c>
      <c r="AU233" s="1">
        <v>0.58132193430964096</v>
      </c>
      <c r="AV233" s="1">
        <v>33.379174845386601</v>
      </c>
      <c r="AW233" s="1">
        <v>0.99111059707147398</v>
      </c>
      <c r="AX233" s="1">
        <v>20.511274081585501</v>
      </c>
      <c r="AY233" s="1">
        <v>36.7279491483215</v>
      </c>
      <c r="AZ233" s="1">
        <v>0.99275935114417402</v>
      </c>
      <c r="BA233" s="1">
        <v>21.402225136539801</v>
      </c>
      <c r="BB233" s="1">
        <v>174.982362270355</v>
      </c>
      <c r="BC233" s="1">
        <v>100.38765549659701</v>
      </c>
      <c r="BD233" s="7"/>
      <c r="BE233" s="1"/>
      <c r="BF233" s="1"/>
      <c r="BG233" s="8"/>
      <c r="BH233" s="1"/>
      <c r="BI233" s="1"/>
      <c r="BJ233" s="1"/>
      <c r="BK233" s="8"/>
    </row>
    <row r="234" spans="1:63">
      <c r="A234" s="49"/>
      <c r="B234" s="7" t="s">
        <v>18</v>
      </c>
      <c r="C234" s="17">
        <v>0.5</v>
      </c>
      <c r="D234" s="7">
        <v>31</v>
      </c>
      <c r="E234" s="1">
        <v>0.477319651348735</v>
      </c>
      <c r="F234" s="1">
        <v>35.705068631120902</v>
      </c>
      <c r="G234" s="1">
        <v>0.97306873007253802</v>
      </c>
      <c r="H234" s="1">
        <v>15.6974316721658</v>
      </c>
      <c r="I234" s="1">
        <v>38.938591441116898</v>
      </c>
      <c r="J234" s="1">
        <v>0.97713112823885995</v>
      </c>
      <c r="K234" s="8">
        <v>16.4075526084135</v>
      </c>
      <c r="L234" s="7">
        <v>29</v>
      </c>
      <c r="M234" s="1">
        <v>0.44698756996170502</v>
      </c>
      <c r="N234" s="1">
        <v>36.025932555996</v>
      </c>
      <c r="O234" s="1">
        <v>0.97503155266772401</v>
      </c>
      <c r="P234" s="1">
        <v>16.026084634952898</v>
      </c>
      <c r="Q234" s="1">
        <v>39.3414186828903</v>
      </c>
      <c r="R234" s="1">
        <v>0.97891709389161896</v>
      </c>
      <c r="S234" s="8">
        <v>16.7606952534545</v>
      </c>
      <c r="T234" s="7"/>
      <c r="U234" s="1"/>
      <c r="V234" s="1"/>
      <c r="W234" s="8"/>
      <c r="X234" s="7"/>
      <c r="Y234" s="1"/>
      <c r="Z234" s="1"/>
      <c r="AA234" s="8"/>
      <c r="AB234" s="7">
        <v>32</v>
      </c>
      <c r="AC234" s="1">
        <v>0.36369368871775398</v>
      </c>
      <c r="AD234" s="1">
        <v>34.874363565165403</v>
      </c>
      <c r="AE234" s="1">
        <v>0.97359043587284499</v>
      </c>
      <c r="AF234" s="1">
        <v>15.782387664846199</v>
      </c>
      <c r="AG234" s="1">
        <v>38.173541666734003</v>
      </c>
      <c r="AH234" s="1">
        <v>0.97739977607004203</v>
      </c>
      <c r="AI234" s="1">
        <v>16.458872577082001</v>
      </c>
      <c r="AJ234" s="1">
        <v>403.61660051345802</v>
      </c>
      <c r="AK234" s="1">
        <v>222.229695320129</v>
      </c>
      <c r="AL234" s="7"/>
      <c r="AM234" s="1"/>
      <c r="AN234" s="1"/>
      <c r="AO234" s="8"/>
      <c r="AP234" s="1"/>
      <c r="AQ234" s="1"/>
      <c r="AR234" s="1"/>
      <c r="AS234" s="8"/>
      <c r="AT234" s="7">
        <v>0.32</v>
      </c>
      <c r="AU234" s="1">
        <v>0.42392519357825098</v>
      </c>
      <c r="AV234" s="1">
        <v>32.5385590147893</v>
      </c>
      <c r="AW234" s="1">
        <v>0.98755633866428605</v>
      </c>
      <c r="AX234" s="1">
        <v>19.050518170773199</v>
      </c>
      <c r="AY234" s="1">
        <v>35.875015663477399</v>
      </c>
      <c r="AZ234" s="1">
        <v>0.98962892027637195</v>
      </c>
      <c r="BA234" s="1">
        <v>19.841760272557501</v>
      </c>
      <c r="BB234" s="1">
        <v>180.897939443588</v>
      </c>
      <c r="BC234" s="1">
        <v>109.56368088722201</v>
      </c>
      <c r="BD234" s="7"/>
      <c r="BE234" s="1"/>
      <c r="BF234" s="1"/>
      <c r="BG234" s="8"/>
      <c r="BH234" s="1"/>
      <c r="BI234" s="1"/>
      <c r="BJ234" s="1"/>
      <c r="BK234" s="8"/>
    </row>
    <row r="235" spans="1:63">
      <c r="A235" s="49"/>
      <c r="B235" s="7" t="s">
        <v>18</v>
      </c>
      <c r="C235" s="17">
        <v>0.25</v>
      </c>
      <c r="D235" s="7">
        <v>35</v>
      </c>
      <c r="E235" s="1">
        <v>0.232959327525985</v>
      </c>
      <c r="F235" s="1">
        <v>33.374581893083402</v>
      </c>
      <c r="G235" s="1">
        <v>0.96146201576017798</v>
      </c>
      <c r="H235" s="1">
        <v>14.1411100520773</v>
      </c>
      <c r="I235" s="1">
        <v>36.667340133190201</v>
      </c>
      <c r="J235" s="1">
        <v>0.96710919124191097</v>
      </c>
      <c r="K235" s="8">
        <v>14.8292544743991</v>
      </c>
      <c r="L235" s="7">
        <v>33</v>
      </c>
      <c r="M235" s="1">
        <v>0.21911295922231999</v>
      </c>
      <c r="N235" s="1">
        <v>33.867984798866999</v>
      </c>
      <c r="O235" s="1">
        <v>0.96347751779528701</v>
      </c>
      <c r="P235" s="1">
        <v>14.374397138547099</v>
      </c>
      <c r="Q235" s="1">
        <v>37.248112769094298</v>
      </c>
      <c r="R235" s="1">
        <v>0.96861149300349303</v>
      </c>
      <c r="S235" s="8">
        <v>15.032293411524201</v>
      </c>
      <c r="T235" s="7"/>
      <c r="U235" s="1"/>
      <c r="V235" s="1"/>
      <c r="W235" s="8"/>
      <c r="X235" s="7"/>
      <c r="Y235" s="1"/>
      <c r="Z235" s="1"/>
      <c r="AA235" s="8"/>
      <c r="AB235" s="7">
        <v>16</v>
      </c>
      <c r="AC235" s="1">
        <v>0.216800409249673</v>
      </c>
      <c r="AD235" s="1">
        <v>33.424099598813299</v>
      </c>
      <c r="AE235" s="1">
        <v>0.96448689282516897</v>
      </c>
      <c r="AF235" s="1">
        <v>14.4961132798426</v>
      </c>
      <c r="AG235" s="1">
        <v>36.836614921659901</v>
      </c>
      <c r="AH235" s="1">
        <v>0.96898960294875303</v>
      </c>
      <c r="AI235" s="1">
        <v>15.0849267310283</v>
      </c>
      <c r="AJ235" s="1">
        <v>224.69543266296299</v>
      </c>
      <c r="AK235" s="1">
        <v>153.06329393386801</v>
      </c>
      <c r="AL235" s="7"/>
      <c r="AM235" s="1"/>
      <c r="AN235" s="1"/>
      <c r="AO235" s="8"/>
      <c r="AP235" s="1"/>
      <c r="AQ235" s="1"/>
      <c r="AR235" s="1"/>
      <c r="AS235" s="8"/>
      <c r="AT235" s="7">
        <v>0.16</v>
      </c>
      <c r="AU235" s="1">
        <v>0.26231233956150302</v>
      </c>
      <c r="AV235" s="1">
        <v>31.435784019229299</v>
      </c>
      <c r="AW235" s="1">
        <v>0.98004900190787902</v>
      </c>
      <c r="AX235" s="1">
        <v>17.000353729066699</v>
      </c>
      <c r="AY235" s="1">
        <v>34.736150975607103</v>
      </c>
      <c r="AZ235" s="1">
        <v>0.98286504312186795</v>
      </c>
      <c r="BA235" s="1">
        <v>17.661169841791299</v>
      </c>
      <c r="BB235" s="1">
        <v>189.878937244415</v>
      </c>
      <c r="BC235" s="1">
        <v>121.675368309021</v>
      </c>
      <c r="BD235" s="7"/>
      <c r="BE235" s="1"/>
      <c r="BF235" s="1"/>
      <c r="BG235" s="8"/>
      <c r="BH235" s="1"/>
      <c r="BI235" s="1"/>
      <c r="BJ235" s="1"/>
      <c r="BK235" s="8"/>
    </row>
    <row r="236" spans="1:63">
      <c r="A236" s="49"/>
      <c r="B236" s="7" t="s">
        <v>18</v>
      </c>
      <c r="C236" s="17">
        <v>0.12</v>
      </c>
      <c r="D236" s="7">
        <v>40</v>
      </c>
      <c r="E236" s="1">
        <v>0.11492393637167</v>
      </c>
      <c r="F236" s="1">
        <v>31.364117245634102</v>
      </c>
      <c r="G236" s="1">
        <v>0.94634502484413097</v>
      </c>
      <c r="H236" s="1">
        <v>12.703900018888399</v>
      </c>
      <c r="I236" s="1">
        <v>34.606492046271903</v>
      </c>
      <c r="J236" s="1">
        <v>0.95429036754089003</v>
      </c>
      <c r="K236" s="8">
        <v>13.399922707610401</v>
      </c>
      <c r="L236" s="7">
        <v>37</v>
      </c>
      <c r="M236" s="1">
        <v>0.11800843222657</v>
      </c>
      <c r="N236" s="1">
        <v>32.2853552625917</v>
      </c>
      <c r="O236" s="1">
        <v>0.95323882973738705</v>
      </c>
      <c r="P236" s="1">
        <v>13.301146285573401</v>
      </c>
      <c r="Q236" s="1">
        <v>35.6697736659467</v>
      </c>
      <c r="R236" s="1">
        <v>0.95953861925044404</v>
      </c>
      <c r="S236" s="8">
        <v>13.929593009601399</v>
      </c>
      <c r="T236" s="7"/>
      <c r="U236" s="1"/>
      <c r="V236" s="1"/>
      <c r="W236" s="8"/>
      <c r="X236" s="7"/>
      <c r="Y236" s="1"/>
      <c r="Z236" s="1"/>
      <c r="AA236" s="8"/>
      <c r="AB236" s="7">
        <v>8</v>
      </c>
      <c r="AC236" s="1">
        <v>0.14235957686319001</v>
      </c>
      <c r="AD236" s="1">
        <v>32.306500677498299</v>
      </c>
      <c r="AE236" s="1">
        <v>0.95741592612284698</v>
      </c>
      <c r="AF236" s="1">
        <v>13.707527933971001</v>
      </c>
      <c r="AG236" s="1">
        <v>35.810612855587401</v>
      </c>
      <c r="AH236" s="1">
        <v>0.96229356707414504</v>
      </c>
      <c r="AI236" s="1">
        <v>14.235845504342601</v>
      </c>
      <c r="AJ236" s="1">
        <v>158.26370477676301</v>
      </c>
      <c r="AK236" s="1">
        <v>100.63903594017</v>
      </c>
      <c r="AL236" s="7"/>
      <c r="AM236" s="1"/>
      <c r="AN236" s="1"/>
      <c r="AO236" s="8"/>
      <c r="AP236" s="1"/>
      <c r="AQ236" s="1"/>
      <c r="AR236" s="1"/>
      <c r="AS236" s="8"/>
      <c r="AT236" s="7">
        <v>0.08</v>
      </c>
      <c r="AU236" s="1">
        <v>0.149758158692084</v>
      </c>
      <c r="AV236" s="1">
        <v>30.402209731564401</v>
      </c>
      <c r="AW236" s="1">
        <v>0.96935842419043305</v>
      </c>
      <c r="AX236" s="1">
        <v>15.1368890392841</v>
      </c>
      <c r="AY236" s="1">
        <v>33.691534882712503</v>
      </c>
      <c r="AZ236" s="1">
        <v>0.97315704359717203</v>
      </c>
      <c r="BA236" s="1">
        <v>15.7116965397523</v>
      </c>
      <c r="BB236" s="1">
        <v>148.890313148498</v>
      </c>
      <c r="BC236" s="1">
        <v>97.236270666122394</v>
      </c>
      <c r="BD236" s="7"/>
      <c r="BE236" s="1"/>
      <c r="BF236" s="1"/>
      <c r="BG236" s="8"/>
      <c r="BH236" s="1"/>
      <c r="BI236" s="1"/>
      <c r="BJ236" s="1"/>
      <c r="BK236" s="8"/>
    </row>
    <row r="237" spans="1:63">
      <c r="A237" s="49"/>
      <c r="B237" s="7" t="s">
        <v>18</v>
      </c>
      <c r="C237" s="17">
        <v>0.06</v>
      </c>
      <c r="D237" s="7">
        <v>45</v>
      </c>
      <c r="E237" s="1">
        <v>5.8289146993224697E-2</v>
      </c>
      <c r="F237" s="1">
        <v>29.280992095657702</v>
      </c>
      <c r="G237" s="1">
        <v>0.92187190539136599</v>
      </c>
      <c r="H237" s="1">
        <v>11.071927671539701</v>
      </c>
      <c r="I237" s="1">
        <v>32.462234976914303</v>
      </c>
      <c r="J237" s="1">
        <v>0.93306050830223197</v>
      </c>
      <c r="K237" s="8">
        <v>11.743175897627101</v>
      </c>
      <c r="L237" s="7">
        <v>43</v>
      </c>
      <c r="M237" s="1">
        <v>5.2482456970921097E-2</v>
      </c>
      <c r="N237" s="1">
        <v>30.069372759555201</v>
      </c>
      <c r="O237" s="1">
        <v>0.93130266668654704</v>
      </c>
      <c r="P237" s="1">
        <v>11.6306012101512</v>
      </c>
      <c r="Q237" s="1">
        <v>33.427896707063802</v>
      </c>
      <c r="R237" s="1">
        <v>0.93921387788349497</v>
      </c>
      <c r="S237" s="8">
        <v>12.161955617828999</v>
      </c>
      <c r="T237" s="7"/>
      <c r="U237" s="1"/>
      <c r="V237" s="1"/>
      <c r="W237" s="8"/>
      <c r="X237" s="7"/>
      <c r="Y237" s="1"/>
      <c r="Z237" s="1"/>
      <c r="AA237" s="8"/>
      <c r="AB237" s="7">
        <v>4</v>
      </c>
      <c r="AC237" s="1">
        <v>9.6691153263476798E-2</v>
      </c>
      <c r="AD237" s="1">
        <v>31.129352585919101</v>
      </c>
      <c r="AE237" s="1">
        <v>0.94660075648280295</v>
      </c>
      <c r="AF237" s="1">
        <v>12.7246489538032</v>
      </c>
      <c r="AG237" s="1">
        <v>34.660860424876397</v>
      </c>
      <c r="AH237" s="1">
        <v>0.95257857875502605</v>
      </c>
      <c r="AI237" s="1">
        <v>13.240254341283901</v>
      </c>
      <c r="AJ237" s="1">
        <v>155.464082002639</v>
      </c>
      <c r="AK237" s="1">
        <v>100.34698915481501</v>
      </c>
      <c r="AL237" s="7"/>
      <c r="AM237" s="1"/>
      <c r="AN237" s="1"/>
      <c r="AO237" s="8"/>
      <c r="AP237" s="1"/>
      <c r="AQ237" s="1"/>
      <c r="AR237" s="1"/>
      <c r="AS237" s="8"/>
      <c r="AT237" s="7">
        <v>0.04</v>
      </c>
      <c r="AU237" s="1">
        <v>9.2233067163236898E-2</v>
      </c>
      <c r="AV237" s="1">
        <v>29.339239689088199</v>
      </c>
      <c r="AW237" s="1">
        <v>0.95896373021049497</v>
      </c>
      <c r="AX237" s="1">
        <v>13.868321236141201</v>
      </c>
      <c r="AY237" s="1">
        <v>32.471353971503198</v>
      </c>
      <c r="AZ237" s="1">
        <v>0.964012759014376</v>
      </c>
      <c r="BA237" s="1">
        <v>14.4385144789139</v>
      </c>
      <c r="BB237" s="1">
        <v>178.91257572174001</v>
      </c>
      <c r="BC237" s="1">
        <v>124.10494518279999</v>
      </c>
      <c r="BD237" s="7"/>
      <c r="BE237" s="1"/>
      <c r="BF237" s="1"/>
      <c r="BG237" s="8"/>
      <c r="BH237" s="1"/>
      <c r="BI237" s="1"/>
      <c r="BJ237" s="1"/>
      <c r="BK237" s="8"/>
    </row>
    <row r="238" spans="1:63">
      <c r="A238" s="49"/>
      <c r="B238" s="7" t="s">
        <v>59</v>
      </c>
      <c r="C238" s="17">
        <v>1.5</v>
      </c>
      <c r="D238" s="7">
        <v>22</v>
      </c>
      <c r="E238" s="1">
        <v>1.40218806068178</v>
      </c>
      <c r="F238" s="1">
        <v>42.631437553336603</v>
      </c>
      <c r="G238" s="1">
        <v>0.99239384453181501</v>
      </c>
      <c r="H238" s="1">
        <v>21.1883480194778</v>
      </c>
      <c r="I238" s="1">
        <v>45.669039152482</v>
      </c>
      <c r="J238" s="1">
        <v>0.99614450036626401</v>
      </c>
      <c r="K238" s="8">
        <v>24.139193337961899</v>
      </c>
      <c r="L238" s="7">
        <v>16</v>
      </c>
      <c r="M238" s="1">
        <v>1.4577826637190801</v>
      </c>
      <c r="N238" s="1">
        <v>45.194410322787903</v>
      </c>
      <c r="O238" s="1">
        <v>0.99617289269488296</v>
      </c>
      <c r="P238" s="1">
        <v>24.171293607786598</v>
      </c>
      <c r="Q238" s="1">
        <v>48.268747115997698</v>
      </c>
      <c r="R238" s="1">
        <v>0.99807259302796902</v>
      </c>
      <c r="S238" s="8">
        <v>27.1502657437096</v>
      </c>
      <c r="T238" s="13">
        <f>bdrate(E238:E241,F238:F241,M238:M241,N238:N241)</f>
        <v>-0.41995873579653742</v>
      </c>
      <c r="U238" s="12">
        <f>bdrate(E238:E241,H238:H241,M238:M241,P238:P241)</f>
        <v>-0.49888157956343204</v>
      </c>
      <c r="V238" s="12">
        <f>bdrate(E238:E241,I238:I241,M238:M241,Q238:Q241)</f>
        <v>-0.37877275169841151</v>
      </c>
      <c r="W238" s="14">
        <f>bdrate(E238:E241,K238:K241,M238:M241,S238:S241)</f>
        <v>-0.33806914330669791</v>
      </c>
      <c r="X238" s="13">
        <f>bdrate(E240:E243,F240:F243,M240:M243,N240:N243)</f>
        <v>-0.44233911272397697</v>
      </c>
      <c r="Y238" s="12">
        <f>bdrate(E240:E243,H240:H243,M240:M243,P240:P243)</f>
        <v>-0.56327264401300836</v>
      </c>
      <c r="Z238" s="12">
        <f>bdrate(E240:E243,I240:I243,M240:M243,Q240:Q243)</f>
        <v>-0.39075593209302972</v>
      </c>
      <c r="AA238" s="14">
        <f>bdrate(E240:E243,K240:K243,M240:M243,S240:S243)</f>
        <v>-0.32147107418407361</v>
      </c>
      <c r="AB238" s="7"/>
      <c r="AC238" s="1"/>
      <c r="AD238" s="1"/>
      <c r="AE238" s="1"/>
      <c r="AF238" s="1"/>
      <c r="AG238" s="1"/>
      <c r="AH238" s="1"/>
      <c r="AI238" s="1"/>
      <c r="AJ238" s="1"/>
      <c r="AK238" s="1"/>
      <c r="AL238" s="13" t="e">
        <f>bdrate(E238:E241,F238:F241,AC238:AC241,AD238:AD241)</f>
        <v>#VALUE!</v>
      </c>
      <c r="AM238" s="12" t="e">
        <f>bdrate(E238:E241,H238:H241,AC238:AC241,AF238:AF241)</f>
        <v>#VALUE!</v>
      </c>
      <c r="AN238" s="12" t="e">
        <f>bdrate(E238:E241,I238:I241,AC238:AC241,AG238:AG241)</f>
        <v>#VALUE!</v>
      </c>
      <c r="AO238" s="14" t="e">
        <f>bdrate(E238:E241,K238:K241,AC238:AC241,AI238:AI241)</f>
        <v>#VALUE!</v>
      </c>
      <c r="AP238" s="12">
        <f>bdrate(E240:E243,F240:F243,AC240:AC243,AD240:AD243)</f>
        <v>-0.40501624942043768</v>
      </c>
      <c r="AQ238" s="12">
        <f>bdrate(E240:E243,H240:H243,AC240:AC243,AF240:AF243)</f>
        <v>-0.5794821298068018</v>
      </c>
      <c r="AR238" s="12">
        <f>bdrate(E240:E243,I240:I243,AC240:AC243,AG240:AG243)</f>
        <v>-0.33796864476349919</v>
      </c>
      <c r="AS238" s="14">
        <f>bdrate(E240:E243,K240:K243,AC240:AC243,AI240:AI243)</f>
        <v>-0.31767530089593321</v>
      </c>
      <c r="AT238" s="7"/>
      <c r="AU238" s="1"/>
      <c r="AV238" s="1"/>
      <c r="AW238" s="1"/>
      <c r="AX238" s="1"/>
      <c r="AY238" s="1"/>
      <c r="AZ238" s="1"/>
      <c r="BA238" s="1"/>
      <c r="BB238" s="1"/>
      <c r="BC238" s="1"/>
      <c r="BD238" s="13" t="e">
        <f>bdrate(E238:E241,F238:F241,AU238:AU241,AV238:AV241)</f>
        <v>#VALUE!</v>
      </c>
      <c r="BE238" s="12" t="e">
        <f>bdrate(E238:E241,H238:H241,AU238:AU241,AX238:AX241)</f>
        <v>#VALUE!</v>
      </c>
      <c r="BF238" s="12" t="e">
        <f>bdrate(E238:E241,I238:I241,AU238:AU241,AY238:AY241)</f>
        <v>#VALUE!</v>
      </c>
      <c r="BG238" s="14" t="e">
        <f>bdrate(E238:E241,K238:K241,AU238:AU241,BA238:BA241)</f>
        <v>#VALUE!</v>
      </c>
      <c r="BH238" s="12">
        <f>bdrate(E240:E243,F240:F243,AU240:AU243,AV240:AV243)</f>
        <v>-0.12276814504032396</v>
      </c>
      <c r="BI238" s="12">
        <f>bdrate(E240:E243,H240:H243,AU240:AU243,AX240:AX243)</f>
        <v>-0.67147626227945167</v>
      </c>
      <c r="BJ238" s="12">
        <f>bdrate(E240:E243,I240:I243,AU240:AU243,AY240:AY243)</f>
        <v>2.6439610524174206E-2</v>
      </c>
      <c r="BK238" s="14">
        <f>bdrate(E240:E243,K240:K243,AU240:AU243,BA240:BA243)</f>
        <v>-0.45483330806319544</v>
      </c>
    </row>
    <row r="239" spans="1:63">
      <c r="A239" s="49"/>
      <c r="B239" s="7" t="s">
        <v>18</v>
      </c>
      <c r="C239" s="17">
        <v>1</v>
      </c>
      <c r="D239" s="7">
        <v>25</v>
      </c>
      <c r="E239" s="1">
        <v>0.94524291538510796</v>
      </c>
      <c r="F239" s="1">
        <v>40.771212581127202</v>
      </c>
      <c r="G239" s="1">
        <v>0.98856082035229598</v>
      </c>
      <c r="H239" s="1">
        <v>19.4160511953338</v>
      </c>
      <c r="I239" s="1">
        <v>43.576992344988597</v>
      </c>
      <c r="J239" s="1">
        <v>0.99360142925269201</v>
      </c>
      <c r="K239" s="8">
        <v>21.939170238094199</v>
      </c>
      <c r="L239" s="7">
        <v>20</v>
      </c>
      <c r="M239" s="1">
        <v>0.95671186162373401</v>
      </c>
      <c r="N239" s="1">
        <v>43.160531999235701</v>
      </c>
      <c r="O239" s="1">
        <v>0.99379338414325302</v>
      </c>
      <c r="P239" s="1">
        <v>22.071451333737599</v>
      </c>
      <c r="Q239" s="1">
        <v>45.948999909479802</v>
      </c>
      <c r="R239" s="1">
        <v>0.99621526804095295</v>
      </c>
      <c r="S239" s="8">
        <v>24.2196487252561</v>
      </c>
      <c r="T239" s="7"/>
      <c r="U239" s="1"/>
      <c r="V239" s="1"/>
      <c r="W239" s="8"/>
      <c r="X239" s="7"/>
      <c r="Y239" s="1"/>
      <c r="Z239" s="1"/>
      <c r="AA239" s="8"/>
      <c r="AB239" s="7">
        <v>64</v>
      </c>
      <c r="AC239" s="1">
        <v>0.406013712674612</v>
      </c>
      <c r="AD239" s="1">
        <v>39.612742227515703</v>
      </c>
      <c r="AE239" s="1">
        <v>0.98854303655412101</v>
      </c>
      <c r="AF239" s="1">
        <v>19.409304725471099</v>
      </c>
      <c r="AG239" s="1">
        <v>41.877098663317803</v>
      </c>
      <c r="AH239" s="1">
        <v>0.99091306169183302</v>
      </c>
      <c r="AI239" s="1">
        <v>20.415824203918199</v>
      </c>
      <c r="AJ239" s="1">
        <v>319.85712695121703</v>
      </c>
      <c r="AK239" s="1">
        <v>198.39189505576999</v>
      </c>
      <c r="AL239" s="7"/>
      <c r="AM239" s="1"/>
      <c r="AN239" s="1"/>
      <c r="AO239" s="8"/>
      <c r="AP239" s="1"/>
      <c r="AQ239" s="1"/>
      <c r="AR239" s="1"/>
      <c r="AS239" s="8"/>
      <c r="AT239" s="7">
        <v>0.64</v>
      </c>
      <c r="AU239" s="1">
        <v>0.42742074362424698</v>
      </c>
      <c r="AV239" s="1">
        <v>37.455877588914298</v>
      </c>
      <c r="AW239" s="1">
        <v>0.99280471463780595</v>
      </c>
      <c r="AX239" s="1">
        <v>21.429519774370799</v>
      </c>
      <c r="AY239" s="1">
        <v>39.421451520405398</v>
      </c>
      <c r="AZ239" s="1">
        <v>0.99391504581805301</v>
      </c>
      <c r="BA239" s="1">
        <v>22.157426875412099</v>
      </c>
      <c r="BB239" s="1">
        <v>211.94804811477599</v>
      </c>
      <c r="BC239" s="1">
        <v>131.57533168792699</v>
      </c>
      <c r="BD239" s="7"/>
      <c r="BE239" s="1"/>
      <c r="BF239" s="1"/>
      <c r="BG239" s="8"/>
      <c r="BH239" s="1"/>
      <c r="BI239" s="1"/>
      <c r="BJ239" s="1"/>
      <c r="BK239" s="8"/>
    </row>
    <row r="240" spans="1:63">
      <c r="A240" s="49"/>
      <c r="B240" s="7" t="s">
        <v>18</v>
      </c>
      <c r="C240" s="17">
        <v>0.5</v>
      </c>
      <c r="D240" s="7">
        <v>31</v>
      </c>
      <c r="E240" s="1">
        <v>0.44876419726387201</v>
      </c>
      <c r="F240" s="1">
        <v>37.660303728393004</v>
      </c>
      <c r="G240" s="1">
        <v>0.97857361684782096</v>
      </c>
      <c r="H240" s="1">
        <v>16.690511331867999</v>
      </c>
      <c r="I240" s="1">
        <v>40.2001070455809</v>
      </c>
      <c r="J240" s="1">
        <v>0.987201883737852</v>
      </c>
      <c r="K240" s="8">
        <v>18.928539488801601</v>
      </c>
      <c r="L240" s="7">
        <v>26</v>
      </c>
      <c r="M240" s="1">
        <v>0.44269782054978801</v>
      </c>
      <c r="N240" s="1">
        <v>39.843322760290903</v>
      </c>
      <c r="O240" s="1">
        <v>0.98783131467075103</v>
      </c>
      <c r="P240" s="1">
        <v>19.147563391975201</v>
      </c>
      <c r="Q240" s="1">
        <v>42.249014398983299</v>
      </c>
      <c r="R240" s="1">
        <v>0.99095806367316597</v>
      </c>
      <c r="S240" s="8">
        <v>20.437385555855101</v>
      </c>
      <c r="T240" s="7"/>
      <c r="U240" s="1"/>
      <c r="V240" s="1"/>
      <c r="W240" s="8"/>
      <c r="X240" s="7"/>
      <c r="Y240" s="1"/>
      <c r="Z240" s="1"/>
      <c r="AA240" s="8"/>
      <c r="AB240" s="7">
        <v>32</v>
      </c>
      <c r="AC240" s="1">
        <v>0.291907459470716</v>
      </c>
      <c r="AD240" s="1">
        <v>38.2116560122221</v>
      </c>
      <c r="AE240" s="1">
        <v>0.98540427511935402</v>
      </c>
      <c r="AF240" s="1">
        <v>18.357743313818901</v>
      </c>
      <c r="AG240" s="1">
        <v>40.362335041367103</v>
      </c>
      <c r="AH240" s="1">
        <v>0.98774968945879904</v>
      </c>
      <c r="AI240" s="1">
        <v>19.118529019427001</v>
      </c>
      <c r="AJ240" s="1">
        <v>522.81337642669598</v>
      </c>
      <c r="AK240" s="1">
        <v>315.66402888298001</v>
      </c>
      <c r="AL240" s="7"/>
      <c r="AM240" s="1"/>
      <c r="AN240" s="1"/>
      <c r="AO240" s="8"/>
      <c r="AP240" s="1"/>
      <c r="AQ240" s="1"/>
      <c r="AR240" s="1"/>
      <c r="AS240" s="8"/>
      <c r="AT240" s="7">
        <v>0.32</v>
      </c>
      <c r="AU240" s="1">
        <v>0.28750610742663002</v>
      </c>
      <c r="AV240" s="1">
        <v>36.553276638797399</v>
      </c>
      <c r="AW240" s="1">
        <v>0.98898761801674795</v>
      </c>
      <c r="AX240" s="1">
        <v>19.5811873277259</v>
      </c>
      <c r="AY240" s="1">
        <v>38.482894769386199</v>
      </c>
      <c r="AZ240" s="1">
        <v>0.99039998076638303</v>
      </c>
      <c r="BA240" s="1">
        <v>20.177278968515601</v>
      </c>
      <c r="BB240" s="1">
        <v>221.857724666595</v>
      </c>
      <c r="BC240" s="1">
        <v>144.23006963729799</v>
      </c>
      <c r="BD240" s="7"/>
      <c r="BE240" s="1"/>
      <c r="BF240" s="1"/>
      <c r="BG240" s="8"/>
      <c r="BH240" s="1"/>
      <c r="BI240" s="1"/>
      <c r="BJ240" s="1"/>
      <c r="BK240" s="8"/>
    </row>
    <row r="241" spans="1:63">
      <c r="A241" s="49"/>
      <c r="B241" s="7" t="s">
        <v>18</v>
      </c>
      <c r="C241" s="17">
        <v>0.25</v>
      </c>
      <c r="D241" s="7">
        <v>36</v>
      </c>
      <c r="E241" s="1">
        <v>0.22830161476355201</v>
      </c>
      <c r="F241" s="1">
        <v>35.116743324439902</v>
      </c>
      <c r="G241" s="1">
        <v>0.96360361009062401</v>
      </c>
      <c r="H241" s="1">
        <v>14.3894169108145</v>
      </c>
      <c r="I241" s="1">
        <v>37.523992685873701</v>
      </c>
      <c r="J241" s="1">
        <v>0.97708208715872502</v>
      </c>
      <c r="K241" s="8">
        <v>16.3982493656464</v>
      </c>
      <c r="L241" s="7">
        <v>31</v>
      </c>
      <c r="M241" s="1">
        <v>0.23760743063565201</v>
      </c>
      <c r="N241" s="1">
        <v>37.510448869449803</v>
      </c>
      <c r="O241" s="1">
        <v>0.98134457017573995</v>
      </c>
      <c r="P241" s="1">
        <v>17.2919474028953</v>
      </c>
      <c r="Q241" s="1">
        <v>39.6965554266705</v>
      </c>
      <c r="R241" s="1">
        <v>0.98479222566145497</v>
      </c>
      <c r="S241" s="8">
        <v>18.1793434039906</v>
      </c>
      <c r="T241" s="7"/>
      <c r="U241" s="1"/>
      <c r="V241" s="1"/>
      <c r="W241" s="8"/>
      <c r="X241" s="7"/>
      <c r="Y241" s="1"/>
      <c r="Z241" s="1"/>
      <c r="AA241" s="8"/>
      <c r="AB241" s="7">
        <v>16</v>
      </c>
      <c r="AC241" s="1">
        <v>0.202546296296296</v>
      </c>
      <c r="AD241" s="1">
        <v>36.742174865475597</v>
      </c>
      <c r="AE241" s="1">
        <v>0.98034540712684703</v>
      </c>
      <c r="AF241" s="1">
        <v>17.065359477622099</v>
      </c>
      <c r="AG241" s="1">
        <v>38.7654680386499</v>
      </c>
      <c r="AH241" s="1">
        <v>0.98245155192459999</v>
      </c>
      <c r="AI241" s="1">
        <v>17.557612850153699</v>
      </c>
      <c r="AJ241" s="1">
        <v>273.73352599143902</v>
      </c>
      <c r="AK241" s="1">
        <v>190.812914609909</v>
      </c>
      <c r="AL241" s="7"/>
      <c r="AM241" s="1"/>
      <c r="AN241" s="1"/>
      <c r="AO241" s="8"/>
      <c r="AP241" s="1"/>
      <c r="AQ241" s="1"/>
      <c r="AR241" s="1"/>
      <c r="AS241" s="8"/>
      <c r="AT241" s="7">
        <v>0.16</v>
      </c>
      <c r="AU241" s="1">
        <v>0.196135000160194</v>
      </c>
      <c r="AV241" s="1">
        <v>35.177340568320602</v>
      </c>
      <c r="AW241" s="1">
        <v>0.98446569113502302</v>
      </c>
      <c r="AX241" s="1">
        <v>18.087080641215199</v>
      </c>
      <c r="AY241" s="1">
        <v>37.015968818848599</v>
      </c>
      <c r="AZ241" s="1">
        <v>0.98544752169095795</v>
      </c>
      <c r="BA241" s="1">
        <v>18.370630393731101</v>
      </c>
      <c r="BB241" s="1">
        <v>253.00347685813901</v>
      </c>
      <c r="BC241" s="1">
        <v>174.228701114654</v>
      </c>
      <c r="BD241" s="7"/>
      <c r="BE241" s="1"/>
      <c r="BF241" s="1"/>
      <c r="BG241" s="8"/>
      <c r="BH241" s="1"/>
      <c r="BI241" s="1"/>
      <c r="BJ241" s="1"/>
      <c r="BK241" s="8"/>
    </row>
    <row r="242" spans="1:63">
      <c r="A242" s="49"/>
      <c r="B242" s="7" t="s">
        <v>18</v>
      </c>
      <c r="C242" s="17">
        <v>0.12</v>
      </c>
      <c r="D242" s="7">
        <v>40</v>
      </c>
      <c r="E242" s="1">
        <v>0.118968665897731</v>
      </c>
      <c r="F242" s="1">
        <v>32.9805434316267</v>
      </c>
      <c r="G242" s="1">
        <v>0.94382652537204603</v>
      </c>
      <c r="H242" s="1">
        <v>12.504687118711299</v>
      </c>
      <c r="I242" s="1">
        <v>35.271293655878303</v>
      </c>
      <c r="J242" s="1">
        <v>0.96021686650322602</v>
      </c>
      <c r="K242" s="8">
        <v>14.0030101289677</v>
      </c>
      <c r="L242" s="7">
        <v>37</v>
      </c>
      <c r="M242" s="1">
        <v>0.108830838299372</v>
      </c>
      <c r="N242" s="1">
        <v>34.560290927239102</v>
      </c>
      <c r="O242" s="1">
        <v>0.96611990301651496</v>
      </c>
      <c r="P242" s="1">
        <v>14.700553551497199</v>
      </c>
      <c r="Q242" s="1">
        <v>36.608327082669597</v>
      </c>
      <c r="R242" s="1">
        <v>0.96859731566079099</v>
      </c>
      <c r="S242" s="8">
        <v>15.030332263255801</v>
      </c>
      <c r="T242" s="7"/>
      <c r="U242" s="1"/>
      <c r="V242" s="1"/>
      <c r="W242" s="8"/>
      <c r="X242" s="7"/>
      <c r="Y242" s="1"/>
      <c r="Z242" s="1"/>
      <c r="AA242" s="8"/>
      <c r="AB242" s="7">
        <v>8</v>
      </c>
      <c r="AC242" s="1">
        <v>0.13943505302447701</v>
      </c>
      <c r="AD242" s="1">
        <v>35.1755554032002</v>
      </c>
      <c r="AE242" s="1">
        <v>0.97303476204832495</v>
      </c>
      <c r="AF242" s="1">
        <v>15.6919574297666</v>
      </c>
      <c r="AG242" s="1">
        <v>37.153132830330399</v>
      </c>
      <c r="AH242" s="1">
        <v>0.97424021089909696</v>
      </c>
      <c r="AI242" s="1">
        <v>15.8905769692904</v>
      </c>
      <c r="AJ242" s="1">
        <v>207.47523236274699</v>
      </c>
      <c r="AK242" s="1">
        <v>133.394854307174</v>
      </c>
      <c r="AL242" s="7"/>
      <c r="AM242" s="1"/>
      <c r="AN242" s="1"/>
      <c r="AO242" s="8"/>
      <c r="AP242" s="1"/>
      <c r="AQ242" s="1"/>
      <c r="AR242" s="1"/>
      <c r="AS242" s="8"/>
      <c r="AT242" s="7">
        <v>0.08</v>
      </c>
      <c r="AU242" s="1">
        <v>0.132859056612841</v>
      </c>
      <c r="AV242" s="1">
        <v>33.780475114575303</v>
      </c>
      <c r="AW242" s="1">
        <v>0.97736286708654696</v>
      </c>
      <c r="AX242" s="1">
        <v>16.451785791938299</v>
      </c>
      <c r="AY242" s="1">
        <v>35.632143793292499</v>
      </c>
      <c r="AZ242" s="1">
        <v>0.97805214987745603</v>
      </c>
      <c r="BA242" s="1">
        <v>16.586080141755399</v>
      </c>
      <c r="BB242" s="1">
        <v>188.10962677001899</v>
      </c>
      <c r="BC242" s="1">
        <v>129.394313573837</v>
      </c>
      <c r="BD242" s="7"/>
      <c r="BE242" s="1"/>
      <c r="BF242" s="1"/>
      <c r="BG242" s="8"/>
      <c r="BH242" s="1"/>
      <c r="BI242" s="1"/>
      <c r="BJ242" s="1"/>
      <c r="BK242" s="8"/>
    </row>
    <row r="243" spans="1:63">
      <c r="A243" s="49"/>
      <c r="B243" s="7" t="s">
        <v>18</v>
      </c>
      <c r="C243" s="17">
        <v>0.06</v>
      </c>
      <c r="D243" s="7">
        <v>44</v>
      </c>
      <c r="E243" s="1">
        <v>5.29048322760476E-2</v>
      </c>
      <c r="F243" s="1">
        <v>30.901320674356899</v>
      </c>
      <c r="G243" s="1">
        <v>0.91304120869294403</v>
      </c>
      <c r="H243" s="1">
        <v>10.6068650540203</v>
      </c>
      <c r="I243" s="1">
        <v>33.065504660984402</v>
      </c>
      <c r="J243" s="1">
        <v>0.92663443400376699</v>
      </c>
      <c r="K243" s="8">
        <v>11.345077276413001</v>
      </c>
      <c r="L243" s="7">
        <v>41</v>
      </c>
      <c r="M243" s="1">
        <v>5.7641592176086102E-2</v>
      </c>
      <c r="N243" s="1">
        <v>32.438829370314203</v>
      </c>
      <c r="O243" s="1">
        <v>0.94568453251703599</v>
      </c>
      <c r="P243" s="1">
        <v>12.650764782206901</v>
      </c>
      <c r="Q243" s="1">
        <v>34.456246909504301</v>
      </c>
      <c r="R243" s="1">
        <v>0.94506884151892301</v>
      </c>
      <c r="S243" s="8">
        <v>12.601812417462799</v>
      </c>
      <c r="T243" s="7"/>
      <c r="U243" s="1"/>
      <c r="V243" s="1"/>
      <c r="W243" s="8"/>
      <c r="X243" s="7"/>
      <c r="Y243" s="1"/>
      <c r="Z243" s="1"/>
      <c r="AA243" s="8"/>
      <c r="AB243" s="7">
        <v>4</v>
      </c>
      <c r="AC243" s="1">
        <v>9.7832464276560296E-2</v>
      </c>
      <c r="AD243" s="1">
        <v>33.656620982097401</v>
      </c>
      <c r="AE243" s="1">
        <v>0.96179779131079302</v>
      </c>
      <c r="AF243" s="1">
        <v>14.1791152730282</v>
      </c>
      <c r="AG243" s="1">
        <v>35.657762283876203</v>
      </c>
      <c r="AH243" s="1">
        <v>0.96207963360322502</v>
      </c>
      <c r="AI243" s="1">
        <v>14.211274750436599</v>
      </c>
      <c r="AJ243" s="1">
        <v>202.84254741668701</v>
      </c>
      <c r="AK243" s="1">
        <v>130.356620073318</v>
      </c>
      <c r="AL243" s="7"/>
      <c r="AM243" s="1"/>
      <c r="AN243" s="1"/>
      <c r="AO243" s="8"/>
      <c r="AP243" s="1"/>
      <c r="AQ243" s="1"/>
      <c r="AR243" s="1"/>
      <c r="AS243" s="8"/>
      <c r="AT243" s="7">
        <v>0.04</v>
      </c>
      <c r="AU243" s="1">
        <v>8.9052788190439505E-2</v>
      </c>
      <c r="AV243" s="1">
        <v>32.080068707425298</v>
      </c>
      <c r="AW243" s="1">
        <v>0.96631384836325795</v>
      </c>
      <c r="AX243" s="1">
        <v>14.725486007253499</v>
      </c>
      <c r="AY243" s="1">
        <v>33.799907457558596</v>
      </c>
      <c r="AZ243" s="1">
        <v>0.96682774025020501</v>
      </c>
      <c r="BA243" s="1">
        <v>14.7922494260658</v>
      </c>
      <c r="BB243" s="1">
        <v>227.27203798293999</v>
      </c>
      <c r="BC243" s="1">
        <v>158.61417531967101</v>
      </c>
      <c r="BD243" s="7"/>
      <c r="BE243" s="1"/>
      <c r="BF243" s="1"/>
      <c r="BG243" s="8"/>
      <c r="BH243" s="1"/>
      <c r="BI243" s="1"/>
      <c r="BJ243" s="1"/>
      <c r="BK243" s="8"/>
    </row>
    <row r="244" spans="1:63">
      <c r="A244" s="49"/>
      <c r="B244" s="7" t="s">
        <v>60</v>
      </c>
      <c r="C244" s="17">
        <v>1.5</v>
      </c>
      <c r="D244" s="7">
        <v>24</v>
      </c>
      <c r="E244" s="1">
        <v>1.4784196705278601</v>
      </c>
      <c r="F244" s="1">
        <v>40.774468925961997</v>
      </c>
      <c r="G244" s="1">
        <v>0.993905502728054</v>
      </c>
      <c r="H244" s="1">
        <v>22.150621130193201</v>
      </c>
      <c r="I244" s="1">
        <v>43.875667383916699</v>
      </c>
      <c r="J244" s="1">
        <v>0.99638154748946595</v>
      </c>
      <c r="K244" s="8">
        <v>24.414771227887801</v>
      </c>
      <c r="L244" s="7">
        <v>21</v>
      </c>
      <c r="M244" s="1">
        <v>1.4780656213483701</v>
      </c>
      <c r="N244" s="1">
        <v>41.631256991965998</v>
      </c>
      <c r="O244" s="1">
        <v>0.99486376469965898</v>
      </c>
      <c r="P244" s="1">
        <v>22.8935508865831</v>
      </c>
      <c r="Q244" s="1">
        <v>44.836034403422502</v>
      </c>
      <c r="R244" s="1">
        <v>0.99703199279665</v>
      </c>
      <c r="S244" s="8">
        <v>25.2753504935955</v>
      </c>
      <c r="T244" s="13">
        <f>bdrate(E244:E247,F244:F247,M244:M247,N244:N247)</f>
        <v>-0.18227358865200882</v>
      </c>
      <c r="U244" s="12">
        <f>bdrate(E244:E247,H244:H247,M244:M247,P244:P247)</f>
        <v>-0.18412220633217591</v>
      </c>
      <c r="V244" s="12">
        <f>bdrate(E244:E247,I244:I247,M244:M247,Q244:Q247)</f>
        <v>-0.19712215059799376</v>
      </c>
      <c r="W244" s="14">
        <f>bdrate(E244:E247,K244:K247,M244:M247,S244:S247)</f>
        <v>-0.15137005110327317</v>
      </c>
      <c r="X244" s="13">
        <f>bdrate(E246:E249,F246:F249,M246:M249,N246:N249)</f>
        <v>-0.2947276425355253</v>
      </c>
      <c r="Y244" s="12">
        <f>bdrate(E246:E249,H246:H249,M246:M249,P246:P249)</f>
        <v>-0.25914926149336415</v>
      </c>
      <c r="Z244" s="12">
        <f>bdrate(E246:E249,I246:I249,M246:M249,Q246:Q249)</f>
        <v>-0.3529535646894727</v>
      </c>
      <c r="AA244" s="14">
        <f>bdrate(E246:E249,K246:K249,M246:M249,S246:S249)</f>
        <v>-0.20852849730567335</v>
      </c>
      <c r="AB244" s="7"/>
      <c r="AC244" s="1"/>
      <c r="AD244" s="1"/>
      <c r="AE244" s="1"/>
      <c r="AF244" s="1"/>
      <c r="AG244" s="1"/>
      <c r="AH244" s="1"/>
      <c r="AI244" s="1"/>
      <c r="AJ244" s="1"/>
      <c r="AK244" s="1"/>
      <c r="AL244" s="13" t="e">
        <f>bdrate(E244:E247,F244:F247,AC244:AC247,AD244:AD247)</f>
        <v>#VALUE!</v>
      </c>
      <c r="AM244" s="12" t="e">
        <f>bdrate(E244:E247,H244:H247,AC244:AC247,AF244:AF247)</f>
        <v>#VALUE!</v>
      </c>
      <c r="AN244" s="12" t="e">
        <f>bdrate(E244:E247,I244:I247,AC244:AC247,AG244:AG247)</f>
        <v>#VALUE!</v>
      </c>
      <c r="AO244" s="14" t="e">
        <f>bdrate(E244:E247,K244:K247,AC244:AC247,AI244:AI247)</f>
        <v>#VALUE!</v>
      </c>
      <c r="AP244" s="12">
        <f>bdrate(E246:E249,F246:F249,AC246:AC249,AD246:AD249)</f>
        <v>-0.15382738472841173</v>
      </c>
      <c r="AQ244" s="12">
        <f>bdrate(E246:E249,H246:H249,AC246:AC249,AF246:AF249)</f>
        <v>-0.21805930378043548</v>
      </c>
      <c r="AR244" s="12">
        <f>bdrate(E246:E249,I246:I249,AC246:AC249,AG246:AG249)</f>
        <v>-0.2407802067583158</v>
      </c>
      <c r="AS244" s="14">
        <f>bdrate(E246:E249,K246:K249,AC246:AC249,AI246:AI249)</f>
        <v>-0.16163439103944366</v>
      </c>
      <c r="AT244" s="7"/>
      <c r="AU244" s="1"/>
      <c r="AV244" s="1"/>
      <c r="AW244" s="1"/>
      <c r="AX244" s="1"/>
      <c r="AY244" s="1"/>
      <c r="AZ244" s="1"/>
      <c r="BA244" s="1"/>
      <c r="BB244" s="1"/>
      <c r="BC244" s="1"/>
      <c r="BD244" s="13" t="e">
        <f>bdrate(E244:E247,F244:F247,AU244:AU247,AV244:AV247)</f>
        <v>#VALUE!</v>
      </c>
      <c r="BE244" s="12" t="e">
        <f>bdrate(E244:E247,H244:H247,AU244:AU247,AX244:AX247)</f>
        <v>#VALUE!</v>
      </c>
      <c r="BF244" s="12" t="e">
        <f>bdrate(E244:E247,I244:I247,AU244:AU247,AY244:AY247)</f>
        <v>#VALUE!</v>
      </c>
      <c r="BG244" s="14" t="e">
        <f>bdrate(E244:E247,K244:K247,AU244:AU247,BA244:BA247)</f>
        <v>#VALUE!</v>
      </c>
      <c r="BH244" s="12">
        <f>bdrate(E246:E249,F246:F249,AU246:AU249,AV246:AV249)</f>
        <v>0.54327762252733636</v>
      </c>
      <c r="BI244" s="12">
        <f>bdrate(E246:E249,H246:H249,AU246:AU249,AX246:AX249)</f>
        <v>-0.55621535567009461</v>
      </c>
      <c r="BJ244" s="12">
        <f>bdrate(E246:E249,I246:I249,AU246:AU249,AY246:AY249)</f>
        <v>0.48185085512947667</v>
      </c>
      <c r="BK244" s="14">
        <f>bdrate(E246:E249,K246:K249,AU246:AU249,BA246:BA249)</f>
        <v>-0.53044634915409583</v>
      </c>
    </row>
    <row r="245" spans="1:63">
      <c r="A245" s="49"/>
      <c r="B245" s="7" t="s">
        <v>18</v>
      </c>
      <c r="C245" s="17">
        <v>1</v>
      </c>
      <c r="D245" s="7">
        <v>28</v>
      </c>
      <c r="E245" s="1">
        <v>0.94380858481938701</v>
      </c>
      <c r="F245" s="1">
        <v>37.717611415946898</v>
      </c>
      <c r="G245" s="1">
        <v>0.98874091978033596</v>
      </c>
      <c r="H245" s="1">
        <v>19.484970865575399</v>
      </c>
      <c r="I245" s="1">
        <v>40.732665650406297</v>
      </c>
      <c r="J245" s="1">
        <v>0.99242148163465205</v>
      </c>
      <c r="K245" s="8">
        <v>21.204156926067299</v>
      </c>
      <c r="L245" s="7">
        <v>25</v>
      </c>
      <c r="M245" s="1">
        <v>0.96804507696997399</v>
      </c>
      <c r="N245" s="1">
        <v>38.906773134028903</v>
      </c>
      <c r="O245" s="1">
        <v>0.99120852037465301</v>
      </c>
      <c r="P245" s="1">
        <v>20.559380260587002</v>
      </c>
      <c r="Q245" s="1">
        <v>41.983551673725003</v>
      </c>
      <c r="R245" s="1">
        <v>0.99415421541883997</v>
      </c>
      <c r="S245" s="8">
        <v>22.331571925600901</v>
      </c>
      <c r="T245" s="7"/>
      <c r="U245" s="1"/>
      <c r="V245" s="1"/>
      <c r="W245" s="8"/>
      <c r="X245" s="7"/>
      <c r="Y245" s="1"/>
      <c r="Z245" s="1"/>
      <c r="AA245" s="8"/>
      <c r="AB245" s="7">
        <v>64</v>
      </c>
      <c r="AC245" s="1">
        <v>0.763184759691104</v>
      </c>
      <c r="AD245" s="1">
        <v>37.092048728164102</v>
      </c>
      <c r="AE245" s="1">
        <v>0.98902376163192995</v>
      </c>
      <c r="AF245" s="1">
        <v>19.595464700763401</v>
      </c>
      <c r="AG245" s="1">
        <v>40.171076198361902</v>
      </c>
      <c r="AH245" s="1">
        <v>0.99215283661756404</v>
      </c>
      <c r="AI245" s="1">
        <v>21.0528730503679</v>
      </c>
      <c r="AJ245" s="1">
        <v>224.29881715774499</v>
      </c>
      <c r="AK245" s="1">
        <v>124.228179454803</v>
      </c>
      <c r="AL245" s="7"/>
      <c r="AM245" s="1"/>
      <c r="AN245" s="1"/>
      <c r="AO245" s="8"/>
      <c r="AP245" s="1"/>
      <c r="AQ245" s="1"/>
      <c r="AR245" s="1"/>
      <c r="AS245" s="8"/>
      <c r="AT245" s="7">
        <v>0.64</v>
      </c>
      <c r="AU245" s="1">
        <v>0.50419381572930899</v>
      </c>
      <c r="AV245" s="1">
        <v>32.563625946598698</v>
      </c>
      <c r="AW245" s="1">
        <v>0.99070504134984605</v>
      </c>
      <c r="AX245" s="1">
        <v>20.3175253790392</v>
      </c>
      <c r="AY245" s="1">
        <v>36.013964658451599</v>
      </c>
      <c r="AZ245" s="1">
        <v>0.99265633207146597</v>
      </c>
      <c r="BA245" s="1">
        <v>21.3408696961536</v>
      </c>
      <c r="BB245" s="1">
        <v>141.544867753982</v>
      </c>
      <c r="BC245" s="1">
        <v>86.958872318267794</v>
      </c>
      <c r="BD245" s="7"/>
      <c r="BE245" s="1"/>
      <c r="BF245" s="1"/>
      <c r="BG245" s="8"/>
      <c r="BH245" s="1"/>
      <c r="BI245" s="1"/>
      <c r="BJ245" s="1"/>
      <c r="BK245" s="8"/>
    </row>
    <row r="246" spans="1:63">
      <c r="A246" s="49"/>
      <c r="B246" s="7" t="s">
        <v>18</v>
      </c>
      <c r="C246" s="17">
        <v>0.5</v>
      </c>
      <c r="D246" s="7">
        <v>33</v>
      </c>
      <c r="E246" s="1">
        <v>0.45255899761215201</v>
      </c>
      <c r="F246" s="1">
        <v>34.033206972820203</v>
      </c>
      <c r="G246" s="1">
        <v>0.97606321811805297</v>
      </c>
      <c r="H246" s="1">
        <v>16.2093423759116</v>
      </c>
      <c r="I246" s="1">
        <v>37.086058374801397</v>
      </c>
      <c r="J246" s="1">
        <v>0.98111987091622299</v>
      </c>
      <c r="K246" s="8">
        <v>17.239950407487399</v>
      </c>
      <c r="L246" s="7">
        <v>30</v>
      </c>
      <c r="M246" s="1">
        <v>0.49642854874765002</v>
      </c>
      <c r="N246" s="1">
        <v>35.431013764433999</v>
      </c>
      <c r="O246" s="1">
        <v>0.98217254043033297</v>
      </c>
      <c r="P246" s="1">
        <v>17.4891053980176</v>
      </c>
      <c r="Q246" s="1">
        <v>38.572732752681297</v>
      </c>
      <c r="R246" s="1">
        <v>0.985965089813577</v>
      </c>
      <c r="S246" s="8">
        <v>18.5279036220061</v>
      </c>
      <c r="T246" s="7"/>
      <c r="U246" s="1"/>
      <c r="V246" s="1"/>
      <c r="W246" s="8"/>
      <c r="X246" s="7"/>
      <c r="Y246" s="1"/>
      <c r="Z246" s="1"/>
      <c r="AA246" s="8"/>
      <c r="AB246" s="7">
        <v>32</v>
      </c>
      <c r="AC246" s="1">
        <v>0.50373021770055304</v>
      </c>
      <c r="AD246" s="1">
        <v>35.027127429367397</v>
      </c>
      <c r="AE246" s="1">
        <v>0.98280768864630197</v>
      </c>
      <c r="AF246" s="1">
        <v>17.646657323485901</v>
      </c>
      <c r="AG246" s="1">
        <v>38.222191276585001</v>
      </c>
      <c r="AH246" s="1">
        <v>0.986322414090818</v>
      </c>
      <c r="AI246" s="1">
        <v>18.639905487298901</v>
      </c>
      <c r="AJ246" s="1">
        <v>399.85520863532997</v>
      </c>
      <c r="AK246" s="1">
        <v>222.276877641677</v>
      </c>
      <c r="AL246" s="7"/>
      <c r="AM246" s="1"/>
      <c r="AN246" s="1"/>
      <c r="AO246" s="8"/>
      <c r="AP246" s="1"/>
      <c r="AQ246" s="1"/>
      <c r="AR246" s="1"/>
      <c r="AS246" s="8"/>
      <c r="AT246" s="7">
        <v>0.32</v>
      </c>
      <c r="AU246" s="1">
        <v>0.376445568510897</v>
      </c>
      <c r="AV246" s="1">
        <v>31.842818923413802</v>
      </c>
      <c r="AW246" s="1">
        <v>0.987596895390778</v>
      </c>
      <c r="AX246" s="1">
        <v>19.064695933949</v>
      </c>
      <c r="AY246" s="1">
        <v>35.247196208126702</v>
      </c>
      <c r="AZ246" s="1">
        <v>0.98997362236792497</v>
      </c>
      <c r="BA246" s="1">
        <v>19.988559422087299</v>
      </c>
      <c r="BB246" s="1">
        <v>145.210581302642</v>
      </c>
      <c r="BC246" s="1">
        <v>91.476713657379094</v>
      </c>
      <c r="BD246" s="7"/>
      <c r="BE246" s="1"/>
      <c r="BF246" s="1"/>
      <c r="BG246" s="8"/>
      <c r="BH246" s="1"/>
      <c r="BI246" s="1"/>
      <c r="BJ246" s="1"/>
      <c r="BK246" s="8"/>
    </row>
    <row r="247" spans="1:63">
      <c r="A247" s="49"/>
      <c r="B247" s="7" t="s">
        <v>18</v>
      </c>
      <c r="C247" s="17">
        <v>0.25</v>
      </c>
      <c r="D247" s="7">
        <v>37</v>
      </c>
      <c r="E247" s="1">
        <v>0.22153635116598</v>
      </c>
      <c r="F247" s="1">
        <v>31.591654583342599</v>
      </c>
      <c r="G247" s="1">
        <v>0.95834588150589395</v>
      </c>
      <c r="H247" s="1">
        <v>13.8034205186015</v>
      </c>
      <c r="I247" s="1">
        <v>34.692885205826997</v>
      </c>
      <c r="J247" s="1">
        <v>0.96411911244742798</v>
      </c>
      <c r="K247" s="8">
        <v>14.4513682275122</v>
      </c>
      <c r="L247" s="7">
        <v>34</v>
      </c>
      <c r="M247" s="1">
        <v>0.248754477213839</v>
      </c>
      <c r="N247" s="1">
        <v>32.8742769779969</v>
      </c>
      <c r="O247" s="1">
        <v>0.96850703211745803</v>
      </c>
      <c r="P247" s="1">
        <v>15.0178640972628</v>
      </c>
      <c r="Q247" s="1">
        <v>36.157180375813198</v>
      </c>
      <c r="R247" s="1">
        <v>0.97258790808286699</v>
      </c>
      <c r="S247" s="8">
        <v>15.6205782059328</v>
      </c>
      <c r="T247" s="7"/>
      <c r="U247" s="1"/>
      <c r="V247" s="1"/>
      <c r="W247" s="8"/>
      <c r="X247" s="7"/>
      <c r="Y247" s="1"/>
      <c r="Z247" s="1"/>
      <c r="AA247" s="8"/>
      <c r="AB247" s="7">
        <v>16</v>
      </c>
      <c r="AC247" s="1">
        <v>0.28870805390438398</v>
      </c>
      <c r="AD247" s="1">
        <v>32.9147290578737</v>
      </c>
      <c r="AE247" s="1">
        <v>0.97168673591349697</v>
      </c>
      <c r="AF247" s="1">
        <v>15.480100602343001</v>
      </c>
      <c r="AG247" s="1">
        <v>36.270624469194601</v>
      </c>
      <c r="AH247" s="1">
        <v>0.97544593745777097</v>
      </c>
      <c r="AI247" s="1">
        <v>16.098766422902202</v>
      </c>
      <c r="AJ247" s="1">
        <v>175.60910367965599</v>
      </c>
      <c r="AK247" s="1">
        <v>120.097232341766</v>
      </c>
      <c r="AL247" s="7"/>
      <c r="AM247" s="1"/>
      <c r="AN247" s="1"/>
      <c r="AO247" s="8"/>
      <c r="AP247" s="1"/>
      <c r="AQ247" s="1"/>
      <c r="AR247" s="1"/>
      <c r="AS247" s="8"/>
      <c r="AT247" s="7">
        <v>0.16</v>
      </c>
      <c r="AU247" s="1">
        <v>0.25964426789615402</v>
      </c>
      <c r="AV247" s="1">
        <v>30.8097569970158</v>
      </c>
      <c r="AW247" s="1">
        <v>0.98184212650824798</v>
      </c>
      <c r="AX247" s="1">
        <v>17.409350140128499</v>
      </c>
      <c r="AY247" s="1">
        <v>34.075533531836903</v>
      </c>
      <c r="AZ247" s="1">
        <v>0.984874756893238</v>
      </c>
      <c r="BA247" s="1">
        <v>18.202976362406702</v>
      </c>
      <c r="BB247" s="1">
        <v>174.64228558540299</v>
      </c>
      <c r="BC247" s="1">
        <v>125.282016038894</v>
      </c>
      <c r="BD247" s="7"/>
      <c r="BE247" s="1"/>
      <c r="BF247" s="1"/>
      <c r="BG247" s="8"/>
      <c r="BH247" s="1"/>
      <c r="BI247" s="1"/>
      <c r="BJ247" s="1"/>
      <c r="BK247" s="8"/>
    </row>
    <row r="248" spans="1:63">
      <c r="A248" s="49"/>
      <c r="B248" s="7" t="s">
        <v>18</v>
      </c>
      <c r="C248" s="17">
        <v>0.12</v>
      </c>
      <c r="D248" s="7">
        <v>41</v>
      </c>
      <c r="E248" s="1">
        <v>0.110202967027384</v>
      </c>
      <c r="F248" s="1">
        <v>29.692134316763099</v>
      </c>
      <c r="G248" s="1">
        <v>0.93472861763913795</v>
      </c>
      <c r="H248" s="1">
        <v>11.8527718942847</v>
      </c>
      <c r="I248" s="1">
        <v>32.775791086492198</v>
      </c>
      <c r="J248" s="1">
        <v>0.941331050830854</v>
      </c>
      <c r="K248" s="8">
        <v>12.3159169044616</v>
      </c>
      <c r="L248" s="7">
        <v>38</v>
      </c>
      <c r="M248" s="1">
        <v>0.11944476197734</v>
      </c>
      <c r="N248" s="1">
        <v>30.8969711999491</v>
      </c>
      <c r="O248" s="1">
        <v>0.94874506696963601</v>
      </c>
      <c r="P248" s="1">
        <v>12.9026432959385</v>
      </c>
      <c r="Q248" s="1">
        <v>34.252864948888501</v>
      </c>
      <c r="R248" s="1">
        <v>0.95278542073721595</v>
      </c>
      <c r="S248" s="8">
        <v>13.259238760332099</v>
      </c>
      <c r="T248" s="7"/>
      <c r="U248" s="1"/>
      <c r="V248" s="1"/>
      <c r="W248" s="8"/>
      <c r="X248" s="7"/>
      <c r="Y248" s="1"/>
      <c r="Z248" s="1"/>
      <c r="AA248" s="8"/>
      <c r="AB248" s="7">
        <v>8</v>
      </c>
      <c r="AC248" s="1">
        <v>0.17076998552049899</v>
      </c>
      <c r="AD248" s="1">
        <v>31.376545994065399</v>
      </c>
      <c r="AE248" s="1">
        <v>0.95809365119515</v>
      </c>
      <c r="AF248" s="1">
        <v>13.777201765076599</v>
      </c>
      <c r="AG248" s="1">
        <v>34.841380802507501</v>
      </c>
      <c r="AH248" s="1">
        <v>0.96192370990783005</v>
      </c>
      <c r="AI248" s="1">
        <v>14.1934537307613</v>
      </c>
      <c r="AJ248" s="1">
        <v>131.799583673477</v>
      </c>
      <c r="AK248" s="1">
        <v>84.492063522338796</v>
      </c>
      <c r="AL248" s="7"/>
      <c r="AM248" s="1"/>
      <c r="AN248" s="1"/>
      <c r="AO248" s="8"/>
      <c r="AP248" s="1"/>
      <c r="AQ248" s="1"/>
      <c r="AR248" s="1"/>
      <c r="AS248" s="8"/>
      <c r="AT248" s="7">
        <v>0.08</v>
      </c>
      <c r="AU248" s="1">
        <v>0.17058740410506501</v>
      </c>
      <c r="AV248" s="1">
        <v>29.741223256289601</v>
      </c>
      <c r="AW248" s="1">
        <v>0.97285848388834995</v>
      </c>
      <c r="AX248" s="1">
        <v>15.66365896524</v>
      </c>
      <c r="AY248" s="1">
        <v>32.950964338196599</v>
      </c>
      <c r="AZ248" s="1">
        <v>0.97663712364403799</v>
      </c>
      <c r="BA248" s="1">
        <v>16.3147368944399</v>
      </c>
      <c r="BB248" s="1">
        <v>124.980628967285</v>
      </c>
      <c r="BC248" s="1">
        <v>82.3316779136657</v>
      </c>
      <c r="BD248" s="7"/>
      <c r="BE248" s="1"/>
      <c r="BF248" s="1"/>
      <c r="BG248" s="8"/>
      <c r="BH248" s="1"/>
      <c r="BI248" s="1"/>
      <c r="BJ248" s="1"/>
      <c r="BK248" s="8"/>
    </row>
    <row r="249" spans="1:63">
      <c r="A249" s="49"/>
      <c r="B249" s="7" t="s">
        <v>18</v>
      </c>
      <c r="C249" s="17">
        <v>0.06</v>
      </c>
      <c r="D249" s="7">
        <v>45</v>
      </c>
      <c r="E249" s="1">
        <v>5.7699696438551003E-2</v>
      </c>
      <c r="F249" s="1">
        <v>28.065043862822499</v>
      </c>
      <c r="G249" s="1">
        <v>0.90952831773302001</v>
      </c>
      <c r="H249" s="1">
        <v>10.4348733416132</v>
      </c>
      <c r="I249" s="1">
        <v>31.105253745537901</v>
      </c>
      <c r="J249" s="1">
        <v>0.91688713566506697</v>
      </c>
      <c r="K249" s="8">
        <v>10.8033175025587</v>
      </c>
      <c r="L249" s="7">
        <v>43</v>
      </c>
      <c r="M249" s="1">
        <v>5.1677685058172003E-2</v>
      </c>
      <c r="N249" s="1">
        <v>28.981059850286201</v>
      </c>
      <c r="O249" s="1">
        <v>0.91970707667588303</v>
      </c>
      <c r="P249" s="1">
        <v>10.953227298983901</v>
      </c>
      <c r="Q249" s="1">
        <v>32.343018041004797</v>
      </c>
      <c r="R249" s="1">
        <v>0.92338810444238195</v>
      </c>
      <c r="S249" s="8">
        <v>11.1570379206537</v>
      </c>
      <c r="T249" s="7"/>
      <c r="U249" s="1"/>
      <c r="V249" s="1"/>
      <c r="W249" s="8"/>
      <c r="X249" s="7"/>
      <c r="Y249" s="1"/>
      <c r="Z249" s="1"/>
      <c r="AA249" s="8"/>
      <c r="AB249" s="7">
        <v>4</v>
      </c>
      <c r="AC249" s="1">
        <v>0.10846209292282601</v>
      </c>
      <c r="AD249" s="1">
        <v>30.168596736969199</v>
      </c>
      <c r="AE249" s="1">
        <v>0.94193007969825904</v>
      </c>
      <c r="AF249" s="1">
        <v>12.360487700151999</v>
      </c>
      <c r="AG249" s="1">
        <v>33.669413592645299</v>
      </c>
      <c r="AH249" s="1">
        <v>0.94520669165968596</v>
      </c>
      <c r="AI249" s="1">
        <v>12.612724767040699</v>
      </c>
      <c r="AJ249" s="1">
        <v>124.626333713531</v>
      </c>
      <c r="AK249" s="1">
        <v>83.669008016586304</v>
      </c>
      <c r="AL249" s="7"/>
      <c r="AM249" s="1"/>
      <c r="AN249" s="1"/>
      <c r="AO249" s="8"/>
      <c r="AP249" s="1"/>
      <c r="AQ249" s="1"/>
      <c r="AR249" s="1"/>
      <c r="AS249" s="8"/>
      <c r="AT249" s="7">
        <v>0.04</v>
      </c>
      <c r="AU249" s="1">
        <v>0.10859863206828201</v>
      </c>
      <c r="AV249" s="1">
        <v>28.454931682850699</v>
      </c>
      <c r="AW249" s="1">
        <v>0.96032468719905895</v>
      </c>
      <c r="AX249" s="1">
        <v>14.014796405734399</v>
      </c>
      <c r="AY249" s="1">
        <v>31.373015935759501</v>
      </c>
      <c r="AZ249" s="1">
        <v>0.96485003446052298</v>
      </c>
      <c r="BA249" s="1">
        <v>14.5407509642004</v>
      </c>
      <c r="BB249" s="1">
        <v>154.587595939636</v>
      </c>
      <c r="BC249" s="1">
        <v>112.55818104743901</v>
      </c>
      <c r="BD249" s="7"/>
      <c r="BE249" s="1"/>
      <c r="BF249" s="1"/>
      <c r="BG249" s="8"/>
      <c r="BH249" s="1"/>
      <c r="BI249" s="1"/>
      <c r="BJ249" s="1"/>
      <c r="BK249" s="8"/>
    </row>
    <row r="250" spans="1:63">
      <c r="A250" s="49"/>
      <c r="B250" s="7" t="s">
        <v>61</v>
      </c>
      <c r="C250" s="17">
        <v>1.5</v>
      </c>
      <c r="D250" s="7">
        <v>17</v>
      </c>
      <c r="E250" s="1">
        <v>1.2440225185185101</v>
      </c>
      <c r="F250" s="1">
        <v>45.814846412049903</v>
      </c>
      <c r="G250" s="1">
        <v>0.99646407383870905</v>
      </c>
      <c r="H250" s="1">
        <v>24.5149681268583</v>
      </c>
      <c r="I250" s="1">
        <v>49.087071731579201</v>
      </c>
      <c r="J250" s="1">
        <v>0.99832137848133295</v>
      </c>
      <c r="K250" s="8">
        <v>27.750472138581699</v>
      </c>
      <c r="L250" s="7">
        <v>14</v>
      </c>
      <c r="M250" s="1">
        <v>1.3511786666666601</v>
      </c>
      <c r="N250" s="1">
        <v>46.223533518312799</v>
      </c>
      <c r="O250" s="1">
        <v>0.99668572920835297</v>
      </c>
      <c r="P250" s="1">
        <v>24.796120105475399</v>
      </c>
      <c r="Q250" s="1">
        <v>49.834327614965197</v>
      </c>
      <c r="R250" s="1">
        <v>0.99856078357317102</v>
      </c>
      <c r="S250" s="8">
        <v>28.418738927141</v>
      </c>
      <c r="T250" s="13">
        <f>bdrate(E250:E253,F250:F253,M250:M253,N250:N253)</f>
        <v>-0.14956615740229329</v>
      </c>
      <c r="U250" s="12">
        <f>bdrate(E250:E253,H250:H253,M250:M253,P250:P253)</f>
        <v>-0.17705133593772815</v>
      </c>
      <c r="V250" s="12">
        <f>bdrate(E250:E253,I250:I253,M250:M253,Q250:Q253)</f>
        <v>-0.17602024177320141</v>
      </c>
      <c r="W250" s="14">
        <f>bdrate(E250:E253,K250:K253,M250:M253,S250:S253)</f>
        <v>-0.14680552790276602</v>
      </c>
      <c r="X250" s="13">
        <f>bdrate(E252:E255,F252:F255,M252:M255,N252:N255)</f>
        <v>-0.25314919884928944</v>
      </c>
      <c r="Y250" s="12">
        <f>bdrate(E252:E255,H252:H255,M252:M255,P252:P255)</f>
        <v>-0.28557186128688306</v>
      </c>
      <c r="Z250" s="12">
        <f>bdrate(E252:E255,I252:I255,M252:M255,Q252:Q255)</f>
        <v>-0.25310400895651408</v>
      </c>
      <c r="AA250" s="14">
        <f>bdrate(E252:E255,K252:K255,M252:M255,S252:S255)</f>
        <v>-0.21902323099859844</v>
      </c>
      <c r="AB250" s="7"/>
      <c r="AC250" s="1"/>
      <c r="AD250" s="1"/>
      <c r="AE250" s="1"/>
      <c r="AF250" s="1"/>
      <c r="AG250" s="1"/>
      <c r="AH250" s="1"/>
      <c r="AI250" s="1"/>
      <c r="AJ250" s="1"/>
      <c r="AK250" s="1"/>
      <c r="AL250" s="13" t="e">
        <f>bdrate(E250:E253,F250:F253,AC250:AC253,AD250:AD253)</f>
        <v>#VALUE!</v>
      </c>
      <c r="AM250" s="12" t="e">
        <f>bdrate(E250:E253,H250:H253,AC250:AC253,AF250:AF253)</f>
        <v>#VALUE!</v>
      </c>
      <c r="AN250" s="12" t="e">
        <f>bdrate(E250:E253,I250:I253,AC250:AC253,AG250:AG253)</f>
        <v>#VALUE!</v>
      </c>
      <c r="AO250" s="14" t="e">
        <f>bdrate(E250:E253,K250:K253,AC250:AC253,AI250:AI253)</f>
        <v>#VALUE!</v>
      </c>
      <c r="AP250" s="12">
        <f>bdrate(E252:E255,F252:F255,AC252:AC255,AD252:AD255)</f>
        <v>-0.18021076274070624</v>
      </c>
      <c r="AQ250" s="12">
        <f>bdrate(E252:E255,H252:H255,AC252:AC255,AF252:AF255)</f>
        <v>-0.28552977929451107</v>
      </c>
      <c r="AR250" s="12">
        <f>bdrate(E252:E255,I252:I255,AC252:AC255,AG252:AG255)</f>
        <v>-0.17312495566440478</v>
      </c>
      <c r="AS250" s="14">
        <f>bdrate(E252:E255,K252:K255,AC252:AC255,AI252:AI255)</f>
        <v>-0.15248892724659946</v>
      </c>
      <c r="AT250" s="7"/>
      <c r="AU250" s="1"/>
      <c r="AV250" s="1"/>
      <c r="AW250" s="1"/>
      <c r="AX250" s="1"/>
      <c r="AY250" s="1"/>
      <c r="AZ250" s="1"/>
      <c r="BA250" s="1"/>
      <c r="BB250" s="1"/>
      <c r="BC250" s="1"/>
      <c r="BD250" s="13" t="e">
        <f>bdrate(E250:E253,F250:F253,AU250:AU253,AV250:AV253)</f>
        <v>#VALUE!</v>
      </c>
      <c r="BE250" s="12" t="e">
        <f>bdrate(E250:E253,H250:H253,AU250:AU253,AX250:AX253)</f>
        <v>#VALUE!</v>
      </c>
      <c r="BF250" s="12" t="e">
        <f>bdrate(E250:E253,I250:I253,AU250:AU253,AY250:AY253)</f>
        <v>#VALUE!</v>
      </c>
      <c r="BG250" s="14" t="e">
        <f>bdrate(E250:E253,K250:K253,AU250:AU253,BA250:BA253)</f>
        <v>#VALUE!</v>
      </c>
      <c r="BH250" s="12">
        <f>bdrate(E252:E255,F252:F255,AU252:AU255,AV252:AV255)</f>
        <v>0.11724881923283093</v>
      </c>
      <c r="BI250" s="12">
        <f>bdrate(E252:E255,H252:H255,AU252:AU255,AX252:AX255)</f>
        <v>-0.46308950353566802</v>
      </c>
      <c r="BJ250" s="12">
        <f>bdrate(E252:E255,I252:I255,AU252:AU255,AY252:AY255)</f>
        <v>0.19004414676524828</v>
      </c>
      <c r="BK250" s="14">
        <f>bdrate(E252:E255,K252:K255,AU252:AU255,BA252:BA255)</f>
        <v>-0.35236192957449719</v>
      </c>
    </row>
    <row r="251" spans="1:63">
      <c r="A251" s="49"/>
      <c r="B251" s="7" t="s">
        <v>18</v>
      </c>
      <c r="C251" s="17">
        <v>1</v>
      </c>
      <c r="D251" s="7">
        <v>19</v>
      </c>
      <c r="E251" s="1">
        <v>0.83029866666666596</v>
      </c>
      <c r="F251" s="1">
        <v>44.472823138735102</v>
      </c>
      <c r="G251" s="1">
        <v>0.99516323859047695</v>
      </c>
      <c r="H251" s="1">
        <v>23.154453352047501</v>
      </c>
      <c r="I251" s="1">
        <v>47.5663964954637</v>
      </c>
      <c r="J251" s="1">
        <v>0.99747658781659598</v>
      </c>
      <c r="K251" s="8">
        <v>25.980118044340198</v>
      </c>
      <c r="L251" s="7">
        <v>16</v>
      </c>
      <c r="M251" s="1">
        <v>0.93655525925925898</v>
      </c>
      <c r="N251" s="1">
        <v>45.087217413114502</v>
      </c>
      <c r="O251" s="1">
        <v>0.99580748310626399</v>
      </c>
      <c r="P251" s="1">
        <v>23.7752517872993</v>
      </c>
      <c r="Q251" s="1">
        <v>48.447580025993503</v>
      </c>
      <c r="R251" s="1">
        <v>0.99793963428942001</v>
      </c>
      <c r="S251" s="8">
        <v>26.860556864317001</v>
      </c>
      <c r="T251" s="7"/>
      <c r="U251" s="1"/>
      <c r="V251" s="1"/>
      <c r="W251" s="8"/>
      <c r="X251" s="7"/>
      <c r="Y251" s="1"/>
      <c r="Z251" s="1"/>
      <c r="AA251" s="8"/>
      <c r="AB251" s="7">
        <v>64</v>
      </c>
      <c r="AC251" s="1">
        <v>0.18587081481481399</v>
      </c>
      <c r="AD251" s="1">
        <v>41.2795084629985</v>
      </c>
      <c r="AE251" s="1">
        <v>0.98820529697840098</v>
      </c>
      <c r="AF251" s="1">
        <v>19.283129897258</v>
      </c>
      <c r="AG251" s="1">
        <v>44.039308990098</v>
      </c>
      <c r="AH251" s="1">
        <v>0.99088304396040405</v>
      </c>
      <c r="AI251" s="1">
        <v>20.401501392891301</v>
      </c>
      <c r="AJ251" s="1">
        <v>369.07602739334101</v>
      </c>
      <c r="AK251" s="1">
        <v>181.34724974632201</v>
      </c>
      <c r="AL251" s="7"/>
      <c r="AM251" s="1"/>
      <c r="AN251" s="1"/>
      <c r="AO251" s="8"/>
      <c r="AP251" s="1"/>
      <c r="AQ251" s="1"/>
      <c r="AR251" s="1"/>
      <c r="AS251" s="8"/>
      <c r="AT251" s="7">
        <v>0.64</v>
      </c>
      <c r="AU251" s="1">
        <v>0.31627674074074003</v>
      </c>
      <c r="AV251" s="1">
        <v>42.117330251530198</v>
      </c>
      <c r="AW251" s="1">
        <v>0.99404974141547897</v>
      </c>
      <c r="AX251" s="1">
        <v>22.254641604243702</v>
      </c>
      <c r="AY251" s="1">
        <v>44.741060376798302</v>
      </c>
      <c r="AZ251" s="1">
        <v>0.995771096634257</v>
      </c>
      <c r="BA251" s="1">
        <v>23.7377223876051</v>
      </c>
      <c r="BB251" s="1">
        <v>221.856878519058</v>
      </c>
      <c r="BC251" s="1">
        <v>142.63896059989901</v>
      </c>
      <c r="BD251" s="7"/>
      <c r="BE251" s="1"/>
      <c r="BF251" s="1"/>
      <c r="BG251" s="8"/>
      <c r="BH251" s="1"/>
      <c r="BI251" s="1"/>
      <c r="BJ251" s="1"/>
      <c r="BK251" s="8"/>
    </row>
    <row r="252" spans="1:63">
      <c r="A252" s="49"/>
      <c r="B252" s="7" t="s">
        <v>18</v>
      </c>
      <c r="C252" s="17">
        <v>0.5</v>
      </c>
      <c r="D252" s="7">
        <v>23</v>
      </c>
      <c r="E252" s="1">
        <v>0.45406696296296201</v>
      </c>
      <c r="F252" s="1">
        <v>42.853457759320897</v>
      </c>
      <c r="G252" s="1">
        <v>0.99222062646284703</v>
      </c>
      <c r="H252" s="1">
        <v>21.0905537477278</v>
      </c>
      <c r="I252" s="1">
        <v>45.829536875596801</v>
      </c>
      <c r="J252" s="1">
        <v>0.99549272475902095</v>
      </c>
      <c r="K252" s="8">
        <v>23.4608592052051</v>
      </c>
      <c r="L252" s="7">
        <v>20</v>
      </c>
      <c r="M252" s="1">
        <v>0.44169362962962899</v>
      </c>
      <c r="N252" s="1">
        <v>43.2881271297667</v>
      </c>
      <c r="O252" s="1">
        <v>0.99341823616445002</v>
      </c>
      <c r="P252" s="1">
        <v>21.816577049583099</v>
      </c>
      <c r="Q252" s="1">
        <v>46.341927421160499</v>
      </c>
      <c r="R252" s="1">
        <v>0.996117538947906</v>
      </c>
      <c r="S252" s="8">
        <v>24.108928923143399</v>
      </c>
      <c r="T252" s="7"/>
      <c r="U252" s="1"/>
      <c r="V252" s="1"/>
      <c r="W252" s="8"/>
      <c r="X252" s="7"/>
      <c r="Y252" s="1"/>
      <c r="Z252" s="1"/>
      <c r="AA252" s="8"/>
      <c r="AB252" s="7">
        <v>32</v>
      </c>
      <c r="AC252" s="1">
        <v>0.138413629629629</v>
      </c>
      <c r="AD252" s="1">
        <v>40.307894419213902</v>
      </c>
      <c r="AE252" s="1">
        <v>0.98491800222530901</v>
      </c>
      <c r="AF252" s="1">
        <v>18.215411276268</v>
      </c>
      <c r="AG252" s="1">
        <v>43.054903864581398</v>
      </c>
      <c r="AH252" s="1">
        <v>0.98763264090307101</v>
      </c>
      <c r="AI252" s="1">
        <v>19.077230289140399</v>
      </c>
      <c r="AJ252" s="1">
        <v>594.53645896911598</v>
      </c>
      <c r="AK252" s="1">
        <v>346.558299779891</v>
      </c>
      <c r="AL252" s="7"/>
      <c r="AM252" s="1"/>
      <c r="AN252" s="1"/>
      <c r="AO252" s="8"/>
      <c r="AP252" s="1"/>
      <c r="AQ252" s="1"/>
      <c r="AR252" s="1"/>
      <c r="AS252" s="8"/>
      <c r="AT252" s="7">
        <v>0.32</v>
      </c>
      <c r="AU252" s="1">
        <v>0.208002962962962</v>
      </c>
      <c r="AV252" s="1">
        <v>40.840203918596004</v>
      </c>
      <c r="AW252" s="1">
        <v>0.99130496436175297</v>
      </c>
      <c r="AX252" s="1">
        <v>20.607286336196299</v>
      </c>
      <c r="AY252" s="1">
        <v>43.438375782474999</v>
      </c>
      <c r="AZ252" s="1">
        <v>0.99346208428736105</v>
      </c>
      <c r="BA252" s="1">
        <v>21.845606826806598</v>
      </c>
      <c r="BB252" s="1">
        <v>256.777972221374</v>
      </c>
      <c r="BC252" s="1">
        <v>163.64521813392599</v>
      </c>
      <c r="BD252" s="7"/>
      <c r="BE252" s="1"/>
      <c r="BF252" s="1"/>
      <c r="BG252" s="8"/>
      <c r="BH252" s="1"/>
      <c r="BI252" s="1"/>
      <c r="BJ252" s="1"/>
      <c r="BK252" s="8"/>
    </row>
    <row r="253" spans="1:63">
      <c r="A253" s="49"/>
      <c r="B253" s="7" t="s">
        <v>18</v>
      </c>
      <c r="C253" s="17">
        <v>0.25</v>
      </c>
      <c r="D253" s="7">
        <v>28</v>
      </c>
      <c r="E253" s="1">
        <v>0.241367703703703</v>
      </c>
      <c r="F253" s="1">
        <v>41.133720952963998</v>
      </c>
      <c r="G253" s="1">
        <v>0.98669700048120201</v>
      </c>
      <c r="H253" s="1">
        <v>18.7605042462767</v>
      </c>
      <c r="I253" s="1">
        <v>44.025273714038804</v>
      </c>
      <c r="J253" s="1">
        <v>0.99117171824444705</v>
      </c>
      <c r="K253" s="8">
        <v>20.5412381473453</v>
      </c>
      <c r="L253" s="7">
        <v>25</v>
      </c>
      <c r="M253" s="1">
        <v>0.22308622222222199</v>
      </c>
      <c r="N253" s="1">
        <v>41.715106960280004</v>
      </c>
      <c r="O253" s="1">
        <v>0.98929548361750497</v>
      </c>
      <c r="P253" s="1">
        <v>19.704329488420498</v>
      </c>
      <c r="Q253" s="1">
        <v>44.632605551674501</v>
      </c>
      <c r="R253" s="1">
        <v>0.99263072982259604</v>
      </c>
      <c r="S253" s="8">
        <v>21.3257552077336</v>
      </c>
      <c r="T253" s="7"/>
      <c r="U253" s="1"/>
      <c r="V253" s="1"/>
      <c r="W253" s="8"/>
      <c r="X253" s="7"/>
      <c r="Y253" s="1"/>
      <c r="Z253" s="1"/>
      <c r="AA253" s="8"/>
      <c r="AB253" s="7">
        <v>16</v>
      </c>
      <c r="AC253" s="1">
        <v>9.5316740740740702E-2</v>
      </c>
      <c r="AD253" s="1">
        <v>38.928986118852301</v>
      </c>
      <c r="AE253" s="1">
        <v>0.97838163969869496</v>
      </c>
      <c r="AF253" s="1">
        <v>16.651772492865401</v>
      </c>
      <c r="AG253" s="1">
        <v>41.676598769889502</v>
      </c>
      <c r="AH253" s="1">
        <v>0.98096435813597105</v>
      </c>
      <c r="AI253" s="1">
        <v>17.204324745992299</v>
      </c>
      <c r="AJ253" s="1">
        <v>232.96922540664599</v>
      </c>
      <c r="AK253" s="1">
        <v>165.29803991317701</v>
      </c>
      <c r="AL253" s="7"/>
      <c r="AM253" s="1"/>
      <c r="AN253" s="1"/>
      <c r="AO253" s="8"/>
      <c r="AP253" s="1"/>
      <c r="AQ253" s="1"/>
      <c r="AR253" s="1"/>
      <c r="AS253" s="8"/>
      <c r="AT253" s="7">
        <v>0.16</v>
      </c>
      <c r="AU253" s="1">
        <v>0.13806399999999999</v>
      </c>
      <c r="AV253" s="1">
        <v>39.164320040134598</v>
      </c>
      <c r="AW253" s="1">
        <v>0.98754266797587897</v>
      </c>
      <c r="AX253" s="1">
        <v>19.045749601865499</v>
      </c>
      <c r="AY253" s="1">
        <v>41.751531316853502</v>
      </c>
      <c r="AZ253" s="1">
        <v>0.98992322744793204</v>
      </c>
      <c r="BA253" s="1">
        <v>19.966785440085602</v>
      </c>
      <c r="BB253" s="1">
        <v>236.561723947525</v>
      </c>
      <c r="BC253" s="1">
        <v>169.26882696151699</v>
      </c>
      <c r="BD253" s="7"/>
      <c r="BE253" s="1"/>
      <c r="BF253" s="1"/>
      <c r="BG253" s="8"/>
      <c r="BH253" s="1"/>
      <c r="BI253" s="1"/>
      <c r="BJ253" s="1"/>
      <c r="BK253" s="8"/>
    </row>
    <row r="254" spans="1:63">
      <c r="A254" s="49"/>
      <c r="B254" s="7" t="s">
        <v>18</v>
      </c>
      <c r="C254" s="17">
        <v>0.12</v>
      </c>
      <c r="D254" s="7">
        <v>34</v>
      </c>
      <c r="E254" s="1">
        <v>0.114350814814814</v>
      </c>
      <c r="F254" s="1">
        <v>38.796835966933799</v>
      </c>
      <c r="G254" s="1">
        <v>0.97562257140513997</v>
      </c>
      <c r="H254" s="1">
        <v>16.130121070014699</v>
      </c>
      <c r="I254" s="1">
        <v>41.600803333830498</v>
      </c>
      <c r="J254" s="1">
        <v>0.98120079081920197</v>
      </c>
      <c r="K254" s="8">
        <v>17.258604196533199</v>
      </c>
      <c r="L254" s="7">
        <v>31</v>
      </c>
      <c r="M254" s="1">
        <v>0.107675851851851</v>
      </c>
      <c r="N254" s="1">
        <v>39.5848879983917</v>
      </c>
      <c r="O254" s="1">
        <v>0.98045423395042797</v>
      </c>
      <c r="P254" s="1">
        <v>17.0894730376423</v>
      </c>
      <c r="Q254" s="1">
        <v>42.398698717127601</v>
      </c>
      <c r="R254" s="1">
        <v>0.98432154428259799</v>
      </c>
      <c r="S254" s="8">
        <v>18.046967162969601</v>
      </c>
      <c r="T254" s="7"/>
      <c r="U254" s="1"/>
      <c r="V254" s="1"/>
      <c r="W254" s="8"/>
      <c r="X254" s="7"/>
      <c r="Y254" s="1"/>
      <c r="Z254" s="1"/>
      <c r="AA254" s="8"/>
      <c r="AB254" s="7">
        <v>8</v>
      </c>
      <c r="AC254" s="1">
        <v>7.0288000000000003E-2</v>
      </c>
      <c r="AD254" s="1">
        <v>37.7350272800279</v>
      </c>
      <c r="AE254" s="1">
        <v>0.97254654878522395</v>
      </c>
      <c r="AF254" s="1">
        <v>15.6140305196733</v>
      </c>
      <c r="AG254" s="1">
        <v>40.5229218849272</v>
      </c>
      <c r="AH254" s="1">
        <v>0.97495454517430102</v>
      </c>
      <c r="AI254" s="1">
        <v>16.012710771109202</v>
      </c>
      <c r="AJ254" s="1">
        <v>196.52372574806199</v>
      </c>
      <c r="AK254" s="1">
        <v>133.65143442153899</v>
      </c>
      <c r="AL254" s="7"/>
      <c r="AM254" s="1"/>
      <c r="AN254" s="1"/>
      <c r="AO254" s="8"/>
      <c r="AP254" s="1"/>
      <c r="AQ254" s="1"/>
      <c r="AR254" s="1"/>
      <c r="AS254" s="8"/>
      <c r="AT254" s="7">
        <v>0.08</v>
      </c>
      <c r="AU254" s="1">
        <v>9.4975407407407397E-2</v>
      </c>
      <c r="AV254" s="1">
        <v>37.567215252051703</v>
      </c>
      <c r="AW254" s="1">
        <v>0.98266640980183695</v>
      </c>
      <c r="AX254" s="1">
        <v>17.611114752684401</v>
      </c>
      <c r="AY254" s="1">
        <v>40.123803771812703</v>
      </c>
      <c r="AZ254" s="1">
        <v>0.98523012445329705</v>
      </c>
      <c r="BA254" s="1">
        <v>18.306231641063398</v>
      </c>
      <c r="BB254" s="1">
        <v>183.272182941436</v>
      </c>
      <c r="BC254" s="1">
        <v>128.63387966156</v>
      </c>
      <c r="BD254" s="7"/>
      <c r="BE254" s="1"/>
      <c r="BF254" s="1"/>
      <c r="BG254" s="8"/>
      <c r="BH254" s="1"/>
      <c r="BI254" s="1"/>
      <c r="BJ254" s="1"/>
      <c r="BK254" s="8"/>
    </row>
    <row r="255" spans="1:63">
      <c r="A255" s="49"/>
      <c r="B255" s="7" t="s">
        <v>18</v>
      </c>
      <c r="C255" s="17">
        <v>0.06</v>
      </c>
      <c r="D255" s="7">
        <v>40</v>
      </c>
      <c r="E255" s="1">
        <v>5.552E-2</v>
      </c>
      <c r="F255" s="1">
        <v>36.219428640569397</v>
      </c>
      <c r="G255" s="1">
        <v>0.95887439578460198</v>
      </c>
      <c r="H255" s="1">
        <v>13.858877083614701</v>
      </c>
      <c r="I255" s="1">
        <v>39.042561883543598</v>
      </c>
      <c r="J255" s="1">
        <v>0.96624020154789603</v>
      </c>
      <c r="K255" s="8">
        <v>14.7160015480114</v>
      </c>
      <c r="L255" s="7">
        <v>36</v>
      </c>
      <c r="M255" s="1">
        <v>5.8388148148148099E-2</v>
      </c>
      <c r="N255" s="1">
        <v>37.538133120663197</v>
      </c>
      <c r="O255" s="1">
        <v>0.96894388804877596</v>
      </c>
      <c r="P255" s="1">
        <v>15.0785291640602</v>
      </c>
      <c r="Q255" s="1">
        <v>40.362858862484998</v>
      </c>
      <c r="R255" s="1">
        <v>0.973411918213681</v>
      </c>
      <c r="S255" s="8">
        <v>15.753129939834899</v>
      </c>
      <c r="T255" s="7"/>
      <c r="U255" s="1"/>
      <c r="V255" s="1"/>
      <c r="W255" s="8"/>
      <c r="X255" s="7"/>
      <c r="Y255" s="1"/>
      <c r="Z255" s="1"/>
      <c r="AA255" s="8"/>
      <c r="AB255" s="7">
        <v>4</v>
      </c>
      <c r="AC255" s="1">
        <v>5.0538074074073999E-2</v>
      </c>
      <c r="AD255" s="1">
        <v>36.317141053664102</v>
      </c>
      <c r="AE255" s="1">
        <v>0.96353673500908099</v>
      </c>
      <c r="AF255" s="1">
        <v>14.3814444637622</v>
      </c>
      <c r="AG255" s="1">
        <v>39.193510304720597</v>
      </c>
      <c r="AH255" s="1">
        <v>0.96624675190212195</v>
      </c>
      <c r="AI255" s="1">
        <v>14.7168442837044</v>
      </c>
      <c r="AJ255" s="1">
        <v>198.771101474761</v>
      </c>
      <c r="AK255" s="1">
        <v>140.439572811126</v>
      </c>
      <c r="AL255" s="7"/>
      <c r="AM255" s="1"/>
      <c r="AN255" s="1"/>
      <c r="AO255" s="8"/>
      <c r="AP255" s="1"/>
      <c r="AQ255" s="1"/>
      <c r="AR255" s="1"/>
      <c r="AS255" s="8"/>
      <c r="AT255" s="7">
        <v>0.04</v>
      </c>
      <c r="AU255" s="1">
        <v>6.4084740740740706E-2</v>
      </c>
      <c r="AV255" s="1">
        <v>35.707964820173402</v>
      </c>
      <c r="AW255" s="1">
        <v>0.97540481105820898</v>
      </c>
      <c r="AX255" s="1">
        <v>16.091498368142599</v>
      </c>
      <c r="AY255" s="1">
        <v>38.211938503869099</v>
      </c>
      <c r="AZ255" s="1">
        <v>0.97848508668112899</v>
      </c>
      <c r="BA255" s="1">
        <v>16.672603993007801</v>
      </c>
      <c r="BB255" s="1">
        <v>215.170156240463</v>
      </c>
      <c r="BC255" s="1">
        <v>157.79342532157801</v>
      </c>
      <c r="BD255" s="7"/>
      <c r="BE255" s="1"/>
      <c r="BF255" s="1"/>
      <c r="BG255" s="8"/>
      <c r="BH255" s="1"/>
      <c r="BI255" s="1"/>
      <c r="BJ255" s="1"/>
      <c r="BK255" s="8"/>
    </row>
    <row r="256" spans="1:63">
      <c r="A256" s="49"/>
      <c r="B256" s="7" t="s">
        <v>62</v>
      </c>
      <c r="C256" s="17">
        <v>1.5</v>
      </c>
      <c r="D256" s="7">
        <v>21</v>
      </c>
      <c r="E256" s="1">
        <v>1.3543452855106399</v>
      </c>
      <c r="F256" s="1">
        <v>42.903968396607098</v>
      </c>
      <c r="G256" s="1">
        <v>0.99444070234937598</v>
      </c>
      <c r="H256" s="1">
        <v>22.5498007275711</v>
      </c>
      <c r="I256" s="1">
        <v>46.079421489246002</v>
      </c>
      <c r="J256" s="1">
        <v>0.99596982815115997</v>
      </c>
      <c r="K256" s="8">
        <v>23.946764348982398</v>
      </c>
      <c r="L256" s="7">
        <v>19</v>
      </c>
      <c r="M256" s="1">
        <v>1.3389069836910901</v>
      </c>
      <c r="N256" s="1">
        <v>43.045815745229902</v>
      </c>
      <c r="O256" s="1">
        <v>0.99470545638555097</v>
      </c>
      <c r="P256" s="1">
        <v>22.7617146979049</v>
      </c>
      <c r="Q256" s="1">
        <v>46.154917617612199</v>
      </c>
      <c r="R256" s="1">
        <v>0.99635899575734299</v>
      </c>
      <c r="S256" s="8">
        <v>24.387788150069799</v>
      </c>
      <c r="T256" s="13">
        <f>bdrate(E256:E259,F256:F259,M256:M259,N256:N259)</f>
        <v>-8.9457584499877174E-2</v>
      </c>
      <c r="U256" s="12">
        <f>bdrate(E256:E259,H256:H259,M256:M259,P256:P259)</f>
        <v>-0.1156116412188567</v>
      </c>
      <c r="V256" s="12">
        <f>bdrate(E256:E259,I256:I259,M256:M259,Q256:Q259)</f>
        <v>-6.3609721168835454E-2</v>
      </c>
      <c r="W256" s="14">
        <f>bdrate(E256:E259,K256:K259,M256:M259,S256:S259)</f>
        <v>-0.11199855564735473</v>
      </c>
      <c r="X256" s="13">
        <f>bdrate(E258:E261,F258:F261,M258:M261,N258:N261)</f>
        <v>-0.17057327937736522</v>
      </c>
      <c r="Y256" s="12">
        <f>bdrate(E258:E261,H258:H261,M258:M261,P258:P261)</f>
        <v>-0.20661493652565155</v>
      </c>
      <c r="Z256" s="12">
        <f>bdrate(E258:E261,I258:I261,M258:M261,Q258:Q261)</f>
        <v>-0.19137418189823707</v>
      </c>
      <c r="AA256" s="14">
        <f>bdrate(E258:E261,K258:K261,M258:M261,S258:S261)</f>
        <v>-0.15671907244059091</v>
      </c>
      <c r="AB256" s="7"/>
      <c r="AC256" s="1"/>
      <c r="AD256" s="1"/>
      <c r="AE256" s="1"/>
      <c r="AF256" s="1"/>
      <c r="AG256" s="1"/>
      <c r="AH256" s="1"/>
      <c r="AI256" s="1"/>
      <c r="AJ256" s="1"/>
      <c r="AK256" s="1"/>
      <c r="AL256" s="13" t="e">
        <f>bdrate(E256:E259,F256:F259,AC256:AC259,AD256:AD259)</f>
        <v>#VALUE!</v>
      </c>
      <c r="AM256" s="12" t="e">
        <f>bdrate(E256:E259,H256:H259,AC256:AC259,AF256:AF259)</f>
        <v>#VALUE!</v>
      </c>
      <c r="AN256" s="12" t="e">
        <f>bdrate(E256:E259,I256:I259,AC256:AC259,AG256:AG259)</f>
        <v>#VALUE!</v>
      </c>
      <c r="AO256" s="14" t="e">
        <f>bdrate(E256:E259,K256:K259,AC256:AC259,AI256:AI259)</f>
        <v>#VALUE!</v>
      </c>
      <c r="AP256" s="12">
        <f>bdrate(E258:E261,F258:F261,AC258:AC261,AD258:AD261)</f>
        <v>-9.8045327834746732E-2</v>
      </c>
      <c r="AQ256" s="12">
        <f>bdrate(E258:E261,H258:H261,AC258:AC261,AF258:AF261)</f>
        <v>-0.15117811446155194</v>
      </c>
      <c r="AR256" s="12">
        <f>bdrate(E258:E261,I258:I261,AC258:AC261,AG258:AG261)</f>
        <v>-0.18371264552914812</v>
      </c>
      <c r="AS256" s="14">
        <f>bdrate(E258:E261,K258:K261,AC258:AC261,AI258:AI261)</f>
        <v>-7.687271903256887E-2</v>
      </c>
      <c r="AT256" s="7"/>
      <c r="AU256" s="1"/>
      <c r="AV256" s="1"/>
      <c r="AW256" s="1"/>
      <c r="AX256" s="1"/>
      <c r="AY256" s="1"/>
      <c r="AZ256" s="1"/>
      <c r="BA256" s="1"/>
      <c r="BB256" s="1"/>
      <c r="BC256" s="1"/>
      <c r="BD256" s="13" t="e">
        <f>bdrate(E256:E259,F256:F259,AU256:AU259,AV256:AV259)</f>
        <v>#VALUE!</v>
      </c>
      <c r="BE256" s="12" t="e">
        <f>bdrate(E256:E259,H256:H259,AU256:AU259,AX256:AX259)</f>
        <v>#VALUE!</v>
      </c>
      <c r="BF256" s="12" t="e">
        <f>bdrate(E256:E259,I256:I259,AU256:AU259,AY256:AY259)</f>
        <v>#VALUE!</v>
      </c>
      <c r="BG256" s="14" t="e">
        <f>bdrate(E256:E259,K256:K259,AU256:AU259,BA256:BA259)</f>
        <v>#VALUE!</v>
      </c>
      <c r="BH256" s="12">
        <f>bdrate(E258:E261,F258:F261,AU258:AU261,AV258:AV261)</f>
        <v>0.1999500061989703</v>
      </c>
      <c r="BI256" s="12">
        <f>bdrate(E258:E261,H258:H261,AU258:AU261,AX258:AX261)</f>
        <v>-0.3753818089438411</v>
      </c>
      <c r="BJ256" s="12">
        <f>bdrate(E258:E261,I258:I261,AU258:AU261,AY258:AY261)</f>
        <v>0.2956159306417474</v>
      </c>
      <c r="BK256" s="14">
        <f>bdrate(E258:E261,K258:K261,AU258:AU261,BA258:BA261)</f>
        <v>-0.33479267222533071</v>
      </c>
    </row>
    <row r="257" spans="1:63">
      <c r="A257" s="49"/>
      <c r="B257" s="7" t="s">
        <v>18</v>
      </c>
      <c r="C257" s="17">
        <v>1</v>
      </c>
      <c r="D257" s="7">
        <v>23</v>
      </c>
      <c r="E257" s="1">
        <v>0.95349250062887803</v>
      </c>
      <c r="F257" s="1">
        <v>41.099708315552597</v>
      </c>
      <c r="G257" s="1">
        <v>0.99145282263198897</v>
      </c>
      <c r="H257" s="1">
        <v>20.681772836214201</v>
      </c>
      <c r="I257" s="1">
        <v>44.405909291774201</v>
      </c>
      <c r="J257" s="1">
        <v>0.99327632457422599</v>
      </c>
      <c r="K257" s="8">
        <v>21.7239325956896</v>
      </c>
      <c r="L257" s="7">
        <v>21</v>
      </c>
      <c r="M257" s="1">
        <v>0.98771198431997298</v>
      </c>
      <c r="N257" s="1">
        <v>41.5439981737102</v>
      </c>
      <c r="O257" s="1">
        <v>0.99247250355856198</v>
      </c>
      <c r="P257" s="1">
        <v>21.233494411243299</v>
      </c>
      <c r="Q257" s="1">
        <v>44.704218135818401</v>
      </c>
      <c r="R257" s="1">
        <v>0.99432160786507295</v>
      </c>
      <c r="S257" s="8">
        <v>22.457746195321501</v>
      </c>
      <c r="T257" s="7"/>
      <c r="U257" s="1"/>
      <c r="V257" s="1"/>
      <c r="W257" s="8"/>
      <c r="X257" s="7"/>
      <c r="Y257" s="1"/>
      <c r="Z257" s="1"/>
      <c r="AA257" s="8"/>
      <c r="AB257" s="7">
        <v>64</v>
      </c>
      <c r="AC257" s="1">
        <v>0.21251559093576999</v>
      </c>
      <c r="AD257" s="1">
        <v>37.440308714728097</v>
      </c>
      <c r="AE257" s="1">
        <v>0.98043014126567896</v>
      </c>
      <c r="AF257" s="1">
        <v>17.0841230929991</v>
      </c>
      <c r="AG257" s="1">
        <v>41.187919826473603</v>
      </c>
      <c r="AH257" s="1">
        <v>0.98248684620432802</v>
      </c>
      <c r="AI257" s="1">
        <v>17.566356384555</v>
      </c>
      <c r="AJ257" s="1">
        <v>325.54451584815899</v>
      </c>
      <c r="AK257" s="1">
        <v>175.453574895858</v>
      </c>
      <c r="AL257" s="7"/>
      <c r="AM257" s="1"/>
      <c r="AN257" s="1"/>
      <c r="AO257" s="8"/>
      <c r="AP257" s="1"/>
      <c r="AQ257" s="1"/>
      <c r="AR257" s="1"/>
      <c r="AS257" s="8"/>
      <c r="AT257" s="7">
        <v>0.64</v>
      </c>
      <c r="AU257" s="1">
        <v>0.47627098880597002</v>
      </c>
      <c r="AV257" s="1">
        <v>38.086455998181698</v>
      </c>
      <c r="AW257" s="1">
        <v>0.99155357661895904</v>
      </c>
      <c r="AX257" s="1">
        <v>20.733271531453699</v>
      </c>
      <c r="AY257" s="1">
        <v>41.7912477443152</v>
      </c>
      <c r="AZ257" s="1">
        <v>0.99272535924414795</v>
      </c>
      <c r="BA257" s="1">
        <v>21.381884486105701</v>
      </c>
      <c r="BB257" s="1">
        <v>202.96454405784601</v>
      </c>
      <c r="BC257" s="1">
        <v>142.909333229064</v>
      </c>
      <c r="BD257" s="7"/>
      <c r="BE257" s="1"/>
      <c r="BF257" s="1"/>
      <c r="BG257" s="8"/>
      <c r="BH257" s="1"/>
      <c r="BI257" s="1"/>
      <c r="BJ257" s="1"/>
      <c r="BK257" s="8"/>
    </row>
    <row r="258" spans="1:63">
      <c r="A258" s="49"/>
      <c r="B258" s="7" t="s">
        <v>18</v>
      </c>
      <c r="C258" s="17">
        <v>0.5</v>
      </c>
      <c r="D258" s="7">
        <v>26</v>
      </c>
      <c r="E258" s="1">
        <v>0.47009029641120198</v>
      </c>
      <c r="F258" s="1">
        <v>38.702751721837501</v>
      </c>
      <c r="G258" s="1">
        <v>0.98507554497919303</v>
      </c>
      <c r="H258" s="1">
        <v>18.261015185421702</v>
      </c>
      <c r="I258" s="1">
        <v>42.2083815995246</v>
      </c>
      <c r="J258" s="1">
        <v>0.98739839586197897</v>
      </c>
      <c r="K258" s="8">
        <v>18.995741672675798</v>
      </c>
      <c r="L258" s="7">
        <v>23</v>
      </c>
      <c r="M258" s="1">
        <v>0.48827338902398099</v>
      </c>
      <c r="N258" s="1">
        <v>39.092866389273901</v>
      </c>
      <c r="O258" s="1">
        <v>0.98670506520164802</v>
      </c>
      <c r="P258" s="1">
        <v>18.763137882147401</v>
      </c>
      <c r="Q258" s="1">
        <v>42.474224366602797</v>
      </c>
      <c r="R258" s="1">
        <v>0.98880975752002098</v>
      </c>
      <c r="S258" s="8">
        <v>19.511605026963501</v>
      </c>
      <c r="T258" s="7"/>
      <c r="U258" s="1"/>
      <c r="V258" s="1"/>
      <c r="W258" s="8"/>
      <c r="X258" s="7"/>
      <c r="Y258" s="1"/>
      <c r="Z258" s="1"/>
      <c r="AA258" s="8"/>
      <c r="AB258" s="7">
        <v>32</v>
      </c>
      <c r="AC258" s="1">
        <v>0.12831667679859099</v>
      </c>
      <c r="AD258" s="1">
        <v>36.687919006658099</v>
      </c>
      <c r="AE258" s="1">
        <v>0.97626797806068699</v>
      </c>
      <c r="AF258" s="1">
        <v>16.2466525884637</v>
      </c>
      <c r="AG258" s="1">
        <v>40.373251304104897</v>
      </c>
      <c r="AH258" s="1">
        <v>0.97859681725727099</v>
      </c>
      <c r="AI258" s="1">
        <v>16.695216404439599</v>
      </c>
      <c r="AJ258" s="1">
        <v>554.46499872207596</v>
      </c>
      <c r="AK258" s="1">
        <v>289.61012578010502</v>
      </c>
      <c r="AL258" s="7"/>
      <c r="AM258" s="1"/>
      <c r="AN258" s="1"/>
      <c r="AO258" s="8"/>
      <c r="AP258" s="1"/>
      <c r="AQ258" s="1"/>
      <c r="AR258" s="1"/>
      <c r="AS258" s="8"/>
      <c r="AT258" s="7">
        <v>0.32</v>
      </c>
      <c r="AU258" s="1">
        <v>0.30729799911957001</v>
      </c>
      <c r="AV258" s="1">
        <v>37.399602891164399</v>
      </c>
      <c r="AW258" s="1">
        <v>0.98744047204236196</v>
      </c>
      <c r="AX258" s="1">
        <v>19.010266829910002</v>
      </c>
      <c r="AY258" s="1">
        <v>40.972524676293297</v>
      </c>
      <c r="AZ258" s="1">
        <v>0.98896014067909099</v>
      </c>
      <c r="BA258" s="1">
        <v>19.5703646071393</v>
      </c>
      <c r="BB258" s="1">
        <v>249.996174573898</v>
      </c>
      <c r="BC258" s="1">
        <v>174.590828895568</v>
      </c>
      <c r="BD258" s="7"/>
      <c r="BE258" s="1"/>
      <c r="BF258" s="1"/>
      <c r="BG258" s="8"/>
      <c r="BH258" s="1"/>
      <c r="BI258" s="1"/>
      <c r="BJ258" s="1"/>
      <c r="BK258" s="8"/>
    </row>
    <row r="259" spans="1:63">
      <c r="A259" s="49"/>
      <c r="B259" s="7" t="s">
        <v>18</v>
      </c>
      <c r="C259" s="17">
        <v>0.25</v>
      </c>
      <c r="D259" s="7">
        <v>29</v>
      </c>
      <c r="E259" s="1">
        <v>0.208066278509139</v>
      </c>
      <c r="F259" s="1">
        <v>37.144888408016499</v>
      </c>
      <c r="G259" s="1">
        <v>0.97819281847744299</v>
      </c>
      <c r="H259" s="1">
        <v>16.6140046134927</v>
      </c>
      <c r="I259" s="1">
        <v>40.7088586261481</v>
      </c>
      <c r="J259" s="1">
        <v>0.981089257854031</v>
      </c>
      <c r="K259" s="8">
        <v>17.232914270738199</v>
      </c>
      <c r="L259" s="7">
        <v>26</v>
      </c>
      <c r="M259" s="1">
        <v>0.19570030815025899</v>
      </c>
      <c r="N259" s="1">
        <v>37.313506263630103</v>
      </c>
      <c r="O259" s="1">
        <v>0.97933283916915204</v>
      </c>
      <c r="P259" s="1">
        <v>16.847191808563501</v>
      </c>
      <c r="Q259" s="1">
        <v>40.885870069131201</v>
      </c>
      <c r="R259" s="1">
        <v>0.98170923914228903</v>
      </c>
      <c r="S259" s="8">
        <v>17.377682283982399</v>
      </c>
      <c r="T259" s="7"/>
      <c r="U259" s="1"/>
      <c r="V259" s="1"/>
      <c r="W259" s="8"/>
      <c r="X259" s="7"/>
      <c r="Y259" s="1"/>
      <c r="Z259" s="1"/>
      <c r="AA259" s="8"/>
      <c r="AB259" s="7">
        <v>16</v>
      </c>
      <c r="AC259" s="1">
        <v>8.3300797627033296E-2</v>
      </c>
      <c r="AD259" s="1">
        <v>35.971036659505202</v>
      </c>
      <c r="AE259" s="1">
        <v>0.97060364729409698</v>
      </c>
      <c r="AF259" s="1">
        <v>15.317065504709101</v>
      </c>
      <c r="AG259" s="1">
        <v>39.6180692454788</v>
      </c>
      <c r="AH259" s="1">
        <v>0.97320768309312999</v>
      </c>
      <c r="AI259" s="1">
        <v>15.719897284836099</v>
      </c>
      <c r="AJ259" s="1">
        <v>207.775706529617</v>
      </c>
      <c r="AK259" s="1">
        <v>147.66719913482601</v>
      </c>
      <c r="AL259" s="7"/>
      <c r="AM259" s="1"/>
      <c r="AN259" s="1"/>
      <c r="AO259" s="8"/>
      <c r="AP259" s="1"/>
      <c r="AQ259" s="1"/>
      <c r="AR259" s="1"/>
      <c r="AS259" s="8"/>
      <c r="AT259" s="7">
        <v>0.16</v>
      </c>
      <c r="AU259" s="1">
        <v>0.14749614812174999</v>
      </c>
      <c r="AV259" s="1">
        <v>36.341344531599603</v>
      </c>
      <c r="AW259" s="1">
        <v>0.97952908171520903</v>
      </c>
      <c r="AX259" s="1">
        <v>16.8886267531147</v>
      </c>
      <c r="AY259" s="1">
        <v>39.651494252053901</v>
      </c>
      <c r="AZ259" s="1">
        <v>0.98173279466515795</v>
      </c>
      <c r="BA259" s="1">
        <v>17.383278894560899</v>
      </c>
      <c r="BB259" s="1">
        <v>208.46409392356799</v>
      </c>
      <c r="BC259" s="1">
        <v>155.51498436927699</v>
      </c>
      <c r="BD259" s="7"/>
      <c r="BE259" s="1"/>
      <c r="BF259" s="1"/>
      <c r="BG259" s="8"/>
      <c r="BH259" s="1"/>
      <c r="BI259" s="1"/>
      <c r="BJ259" s="1"/>
      <c r="BK259" s="8"/>
    </row>
    <row r="260" spans="1:63">
      <c r="A260" s="49"/>
      <c r="B260" s="7" t="s">
        <v>18</v>
      </c>
      <c r="C260" s="17">
        <v>0.12</v>
      </c>
      <c r="D260" s="7">
        <v>33</v>
      </c>
      <c r="E260" s="1">
        <v>0.112187264170719</v>
      </c>
      <c r="F260" s="1">
        <v>36.2478940301284</v>
      </c>
      <c r="G260" s="1">
        <v>0.972077287115931</v>
      </c>
      <c r="H260" s="1">
        <v>15.540423892958399</v>
      </c>
      <c r="I260" s="1">
        <v>39.686441997205698</v>
      </c>
      <c r="J260" s="1">
        <v>0.97582010082257098</v>
      </c>
      <c r="K260" s="8">
        <v>16.165455143428002</v>
      </c>
      <c r="L260" s="7">
        <v>29</v>
      </c>
      <c r="M260" s="1">
        <v>0.111789629800436</v>
      </c>
      <c r="N260" s="1">
        <v>36.583091509148502</v>
      </c>
      <c r="O260" s="1">
        <v>0.97520681857847502</v>
      </c>
      <c r="P260" s="1">
        <v>16.0566774168067</v>
      </c>
      <c r="Q260" s="1">
        <v>40.159545733050699</v>
      </c>
      <c r="R260" s="1">
        <v>0.97784487850838597</v>
      </c>
      <c r="S260" s="8">
        <v>16.545258640935401</v>
      </c>
      <c r="T260" s="7"/>
      <c r="U260" s="1"/>
      <c r="V260" s="1"/>
      <c r="W260" s="8"/>
      <c r="X260" s="7"/>
      <c r="Y260" s="1"/>
      <c r="Z260" s="1"/>
      <c r="AA260" s="8"/>
      <c r="AB260" s="7">
        <v>8</v>
      </c>
      <c r="AC260" s="1">
        <v>5.9265863449605903E-2</v>
      </c>
      <c r="AD260" s="1">
        <v>35.187576944172697</v>
      </c>
      <c r="AE260" s="1">
        <v>0.96350618362285501</v>
      </c>
      <c r="AF260" s="1">
        <v>14.3778071748304</v>
      </c>
      <c r="AG260" s="1">
        <v>38.672156829083598</v>
      </c>
      <c r="AH260" s="1">
        <v>0.96678055492520598</v>
      </c>
      <c r="AI260" s="1">
        <v>14.7860762663983</v>
      </c>
      <c r="AJ260" s="1">
        <v>192.71269059181199</v>
      </c>
      <c r="AK260" s="1">
        <v>139.43385004997199</v>
      </c>
      <c r="AL260" s="7"/>
      <c r="AM260" s="1"/>
      <c r="AN260" s="1"/>
      <c r="AO260" s="8"/>
      <c r="AP260" s="1"/>
      <c r="AQ260" s="1"/>
      <c r="AR260" s="1"/>
      <c r="AS260" s="8"/>
      <c r="AT260" s="7">
        <v>0.08</v>
      </c>
      <c r="AU260" s="1">
        <v>8.48795436441388E-2</v>
      </c>
      <c r="AV260" s="1">
        <v>35.575554661439199</v>
      </c>
      <c r="AW260" s="1">
        <v>0.97349254393104301</v>
      </c>
      <c r="AX260" s="1">
        <v>15.766319496802501</v>
      </c>
      <c r="AY260" s="1">
        <v>38.761514055488497</v>
      </c>
      <c r="AZ260" s="1">
        <v>0.97622901999086298</v>
      </c>
      <c r="BA260" s="1">
        <v>16.239529131903399</v>
      </c>
      <c r="BB260" s="1">
        <v>175.89838171005201</v>
      </c>
      <c r="BC260" s="1">
        <v>129.591060876846</v>
      </c>
      <c r="BD260" s="7"/>
      <c r="BE260" s="1"/>
      <c r="BF260" s="1"/>
      <c r="BG260" s="8"/>
      <c r="BH260" s="1"/>
      <c r="BI260" s="1"/>
      <c r="BJ260" s="1"/>
      <c r="BK260" s="8"/>
    </row>
    <row r="261" spans="1:63">
      <c r="A261" s="49"/>
      <c r="B261" s="7" t="s">
        <v>18</v>
      </c>
      <c r="C261" s="17">
        <v>0.06</v>
      </c>
      <c r="D261" s="7">
        <v>38</v>
      </c>
      <c r="E261" s="1">
        <v>5.7130953379171498E-2</v>
      </c>
      <c r="F261" s="1">
        <v>35.076520928119301</v>
      </c>
      <c r="G261" s="1">
        <v>0.96120938731546901</v>
      </c>
      <c r="H261" s="1">
        <v>14.1127336081218</v>
      </c>
      <c r="I261" s="1">
        <v>38.410513930406303</v>
      </c>
      <c r="J261" s="1">
        <v>0.96545435043559102</v>
      </c>
      <c r="K261" s="8">
        <v>14.6160663683198</v>
      </c>
      <c r="L261" s="7">
        <v>34</v>
      </c>
      <c r="M261" s="1">
        <v>5.6598372253899E-2</v>
      </c>
      <c r="N261" s="1">
        <v>35.558519740136397</v>
      </c>
      <c r="O261" s="1">
        <v>0.96669562424592004</v>
      </c>
      <c r="P261" s="1">
        <v>14.774987021992599</v>
      </c>
      <c r="Q261" s="1">
        <v>39.092582088564903</v>
      </c>
      <c r="R261" s="1">
        <v>0.96962763648955297</v>
      </c>
      <c r="S261" s="8">
        <v>15.175214109264701</v>
      </c>
      <c r="T261" s="7"/>
      <c r="U261" s="1"/>
      <c r="V261" s="1"/>
      <c r="W261" s="8"/>
      <c r="X261" s="7"/>
      <c r="Y261" s="1"/>
      <c r="Z261" s="1"/>
      <c r="AA261" s="8"/>
      <c r="AB261" s="7">
        <v>4</v>
      </c>
      <c r="AC261" s="1">
        <v>4.0271125062887797E-2</v>
      </c>
      <c r="AD261" s="1">
        <v>34.365223170772502</v>
      </c>
      <c r="AE261" s="1">
        <v>0.95309280465816604</v>
      </c>
      <c r="AF261" s="1">
        <v>13.2876053345614</v>
      </c>
      <c r="AG261" s="1">
        <v>37.941080466108801</v>
      </c>
      <c r="AH261" s="1">
        <v>0.95560038200518604</v>
      </c>
      <c r="AI261" s="1">
        <v>13.5262076644975</v>
      </c>
      <c r="AJ261" s="1">
        <v>186.303636312484</v>
      </c>
      <c r="AK261" s="1">
        <v>142.68923258781399</v>
      </c>
      <c r="AL261" s="7"/>
      <c r="AM261" s="1"/>
      <c r="AN261" s="1"/>
      <c r="AO261" s="8"/>
      <c r="AP261" s="1"/>
      <c r="AQ261" s="1"/>
      <c r="AR261" s="1"/>
      <c r="AS261" s="8"/>
      <c r="AT261" s="7">
        <v>0.04</v>
      </c>
      <c r="AU261" s="1">
        <v>5.7798481259433099E-2</v>
      </c>
      <c r="AV261" s="1">
        <v>34.5496525415045</v>
      </c>
      <c r="AW261" s="1">
        <v>0.96715034066057504</v>
      </c>
      <c r="AX261" s="1">
        <v>14.8346912984164</v>
      </c>
      <c r="AY261" s="1">
        <v>37.501863154615499</v>
      </c>
      <c r="AZ261" s="1">
        <v>0.97054849269687704</v>
      </c>
      <c r="BA261" s="1">
        <v>15.3089247348546</v>
      </c>
      <c r="BB261" s="1">
        <v>182.53888463973999</v>
      </c>
      <c r="BC261" s="1">
        <v>132.63520002365101</v>
      </c>
      <c r="BD261" s="7"/>
      <c r="BE261" s="1"/>
      <c r="BF261" s="1"/>
      <c r="BG261" s="8"/>
      <c r="BH261" s="1"/>
      <c r="BI261" s="1"/>
      <c r="BJ261" s="1"/>
      <c r="BK261" s="8"/>
    </row>
    <row r="262" spans="1:63">
      <c r="A262" s="49"/>
      <c r="B262" s="7" t="s">
        <v>63</v>
      </c>
      <c r="C262" s="17">
        <v>1.5</v>
      </c>
      <c r="D262" s="7">
        <v>24</v>
      </c>
      <c r="E262" s="1">
        <v>1.3669938787443401</v>
      </c>
      <c r="F262" s="1">
        <v>40.748344388780197</v>
      </c>
      <c r="G262" s="1">
        <v>0.99424701690565698</v>
      </c>
      <c r="H262" s="1">
        <v>22.401069021859598</v>
      </c>
      <c r="I262" s="1">
        <v>44.106823585950401</v>
      </c>
      <c r="J262" s="1">
        <v>0.99634020800247203</v>
      </c>
      <c r="K262" s="8">
        <v>24.3654359681681</v>
      </c>
      <c r="L262" s="7">
        <v>19</v>
      </c>
      <c r="M262" s="1">
        <v>1.45078529535637</v>
      </c>
      <c r="N262" s="1">
        <v>42.774045858602904</v>
      </c>
      <c r="O262" s="1">
        <v>0.99587444729307095</v>
      </c>
      <c r="P262" s="1">
        <v>23.845178600863399</v>
      </c>
      <c r="Q262" s="1">
        <v>46.216467453911598</v>
      </c>
      <c r="R262" s="1">
        <v>0.997341686019105</v>
      </c>
      <c r="S262" s="8">
        <v>25.7539372462854</v>
      </c>
      <c r="T262" s="13">
        <f>bdrate(E262:E265,F262:F265,M262:M265,N262:N265)</f>
        <v>-0.28269223926180254</v>
      </c>
      <c r="U262" s="12">
        <f>bdrate(E262:E265,H262:H265,M262:M265,P262:P265)</f>
        <v>-0.30168436851920055</v>
      </c>
      <c r="V262" s="12">
        <f>bdrate(E262:E265,I262:I265,M262:M265,Q262:Q265)</f>
        <v>-0.27118161745267089</v>
      </c>
      <c r="W262" s="14">
        <f>bdrate(E262:E265,K262:K265,M262:M265,S262:S265)</f>
        <v>-0.21228254985841233</v>
      </c>
      <c r="X262" s="13">
        <f>bdrate(E264:E267,F264:F267,M264:M267,N264:N267)</f>
        <v>-0.29396310689315874</v>
      </c>
      <c r="Y262" s="12">
        <f>bdrate(E264:E267,H264:H267,M264:M267,P264:P267)</f>
        <v>-0.30332092923285403</v>
      </c>
      <c r="Z262" s="12">
        <f>bdrate(E264:E267,I264:I267,M264:M267,Q264:Q267)</f>
        <v>-0.29792877057704092</v>
      </c>
      <c r="AA262" s="14">
        <f>bdrate(E264:E267,K264:K267,M264:M267,S264:S267)</f>
        <v>-0.21299965626530459</v>
      </c>
      <c r="AB262" s="7"/>
      <c r="AC262" s="1"/>
      <c r="AD262" s="1"/>
      <c r="AE262" s="1"/>
      <c r="AF262" s="1"/>
      <c r="AG262" s="1"/>
      <c r="AH262" s="1"/>
      <c r="AI262" s="1"/>
      <c r="AJ262" s="1"/>
      <c r="AK262" s="1"/>
      <c r="AL262" s="13" t="e">
        <f>bdrate(E262:E265,F262:F265,AC262:AC265,AD262:AD265)</f>
        <v>#VALUE!</v>
      </c>
      <c r="AM262" s="12" t="e">
        <f>bdrate(E262:E265,H262:H265,AC262:AC265,AF262:AF265)</f>
        <v>#VALUE!</v>
      </c>
      <c r="AN262" s="12" t="e">
        <f>bdrate(E262:E265,I262:I265,AC262:AC265,AG262:AG265)</f>
        <v>#VALUE!</v>
      </c>
      <c r="AO262" s="14" t="e">
        <f>bdrate(E262:E265,K262:K265,AC262:AC265,AI262:AI265)</f>
        <v>#VALUE!</v>
      </c>
      <c r="AP262" s="12">
        <f>bdrate(E264:E267,F264:F267,AC264:AC267,AD264:AD267)</f>
        <v>-0.29708074008609187</v>
      </c>
      <c r="AQ262" s="12">
        <f>bdrate(E264:E267,H264:H267,AC264:AC267,AF264:AF267)</f>
        <v>-0.4160773987027433</v>
      </c>
      <c r="AR262" s="12">
        <f>bdrate(E264:E267,I264:I267,AC264:AC267,AG264:AG267)</f>
        <v>-0.28545804389411811</v>
      </c>
      <c r="AS262" s="14">
        <f>bdrate(E264:E267,K264:K267,AC264:AC267,AI264:AI267)</f>
        <v>-0.28508394895934275</v>
      </c>
      <c r="AT262" s="7"/>
      <c r="AU262" s="1"/>
      <c r="AV262" s="1"/>
      <c r="AW262" s="1"/>
      <c r="AX262" s="1"/>
      <c r="AY262" s="1"/>
      <c r="AZ262" s="1"/>
      <c r="BA262" s="1"/>
      <c r="BB262" s="1"/>
      <c r="BC262" s="1"/>
      <c r="BD262" s="13" t="e">
        <f>bdrate(E262:E265,F262:F265,AU262:AU265,AV262:AV265)</f>
        <v>#VALUE!</v>
      </c>
      <c r="BE262" s="12" t="e">
        <f>bdrate(E262:E265,H262:H265,AU262:AU265,AX262:AX265)</f>
        <v>#VALUE!</v>
      </c>
      <c r="BF262" s="12" t="e">
        <f>bdrate(E262:E265,I262:I265,AU262:AU265,AY262:AY265)</f>
        <v>#VALUE!</v>
      </c>
      <c r="BG262" s="14" t="e">
        <f>bdrate(E262:E265,K262:K265,AU262:AU265,BA262:BA265)</f>
        <v>#VALUE!</v>
      </c>
      <c r="BH262" s="12">
        <f>bdrate(E264:E267,F264:F267,AU264:AU267,AV264:AV267)</f>
        <v>5.1989332847829584E-2</v>
      </c>
      <c r="BI262" s="12">
        <f>bdrate(E264:E267,H264:H267,AU264:AU267,AX264:AX267)</f>
        <v>-0.61989218984287331</v>
      </c>
      <c r="BJ262" s="12">
        <f>bdrate(E264:E267,I264:I267,AU264:AU267,AY264:AY267)</f>
        <v>8.7347480121090504E-2</v>
      </c>
      <c r="BK262" s="14">
        <f>bdrate(E264:E267,K264:K267,AU264:AU267,BA264:BA267)</f>
        <v>-0.53384851388836063</v>
      </c>
    </row>
    <row r="263" spans="1:63">
      <c r="A263" s="49"/>
      <c r="B263" s="7" t="s">
        <v>18</v>
      </c>
      <c r="C263" s="17">
        <v>1</v>
      </c>
      <c r="D263" s="7">
        <v>28</v>
      </c>
      <c r="E263" s="1">
        <v>0.89627054559728903</v>
      </c>
      <c r="F263" s="1">
        <v>38.151603530609798</v>
      </c>
      <c r="G263" s="1">
        <v>0.99182864544446403</v>
      </c>
      <c r="H263" s="1">
        <v>20.877059450302401</v>
      </c>
      <c r="I263" s="1">
        <v>41.376871744091503</v>
      </c>
      <c r="J263" s="1">
        <v>0.99480760559534698</v>
      </c>
      <c r="K263" s="8">
        <v>22.846323267510702</v>
      </c>
      <c r="L263" s="7">
        <v>23</v>
      </c>
      <c r="M263" s="1">
        <v>0.99362249939686997</v>
      </c>
      <c r="N263" s="1">
        <v>40.644970945043603</v>
      </c>
      <c r="O263" s="1">
        <v>0.99416101580842697</v>
      </c>
      <c r="P263" s="1">
        <v>22.336627005531501</v>
      </c>
      <c r="Q263" s="1">
        <v>43.903284641276798</v>
      </c>
      <c r="R263" s="1">
        <v>0.99605182239219303</v>
      </c>
      <c r="S263" s="8">
        <v>24.036033189316701</v>
      </c>
      <c r="T263" s="7"/>
      <c r="U263" s="1"/>
      <c r="V263" s="1"/>
      <c r="W263" s="8"/>
      <c r="X263" s="7"/>
      <c r="Y263" s="1"/>
      <c r="Z263" s="1"/>
      <c r="AA263" s="8"/>
      <c r="AB263" s="7">
        <v>64</v>
      </c>
      <c r="AC263" s="1">
        <v>0.60205636571060905</v>
      </c>
      <c r="AD263" s="1">
        <v>37.433568879194297</v>
      </c>
      <c r="AE263" s="1">
        <v>0.99302518523642502</v>
      </c>
      <c r="AF263" s="1">
        <v>21.564673218501301</v>
      </c>
      <c r="AG263" s="1">
        <v>40.496976700948998</v>
      </c>
      <c r="AH263" s="1">
        <v>0.99510260320791799</v>
      </c>
      <c r="AI263" s="1">
        <v>23.100347075744999</v>
      </c>
      <c r="AJ263" s="1">
        <v>441.88947129249499</v>
      </c>
      <c r="AK263" s="1">
        <v>179.88768267631499</v>
      </c>
      <c r="AL263" s="7"/>
      <c r="AM263" s="1"/>
      <c r="AN263" s="1"/>
      <c r="AO263" s="8"/>
      <c r="AP263" s="1"/>
      <c r="AQ263" s="1"/>
      <c r="AR263" s="1"/>
      <c r="AS263" s="8"/>
      <c r="AT263" s="7">
        <v>0.64</v>
      </c>
      <c r="AU263" s="1">
        <v>0.38059258007313801</v>
      </c>
      <c r="AV263" s="1">
        <v>32.374971319420297</v>
      </c>
      <c r="AW263" s="1">
        <v>0.99389054319585501</v>
      </c>
      <c r="AX263" s="1">
        <v>22.139974014513399</v>
      </c>
      <c r="AY263" s="1">
        <v>35.069455974783097</v>
      </c>
      <c r="AZ263" s="1">
        <v>0.995172044806237</v>
      </c>
      <c r="BA263" s="1">
        <v>23.162367690618201</v>
      </c>
      <c r="BB263" s="1">
        <v>207.87861394882199</v>
      </c>
      <c r="BC263" s="1">
        <v>134.631094694137</v>
      </c>
      <c r="BD263" s="7"/>
      <c r="BE263" s="1"/>
      <c r="BF263" s="1"/>
      <c r="BG263" s="8"/>
      <c r="BH263" s="1"/>
      <c r="BI263" s="1"/>
      <c r="BJ263" s="1"/>
      <c r="BK263" s="8"/>
    </row>
    <row r="264" spans="1:63">
      <c r="A264" s="49"/>
      <c r="B264" s="7" t="s">
        <v>18</v>
      </c>
      <c r="C264" s="17">
        <v>0.5</v>
      </c>
      <c r="D264" s="7">
        <v>33</v>
      </c>
      <c r="E264" s="1">
        <v>0.49901659186040598</v>
      </c>
      <c r="F264" s="1">
        <v>34.959119052150299</v>
      </c>
      <c r="G264" s="1">
        <v>0.98665549768153904</v>
      </c>
      <c r="H264" s="1">
        <v>18.7469761853264</v>
      </c>
      <c r="I264" s="1">
        <v>37.984322198494702</v>
      </c>
      <c r="J264" s="1">
        <v>0.99126543546107104</v>
      </c>
      <c r="K264" s="8">
        <v>20.587587418607601</v>
      </c>
      <c r="L264" s="7">
        <v>30</v>
      </c>
      <c r="M264" s="1">
        <v>0.47883116865415498</v>
      </c>
      <c r="N264" s="1">
        <v>36.499780030814001</v>
      </c>
      <c r="O264" s="1">
        <v>0.98988922590705497</v>
      </c>
      <c r="P264" s="1">
        <v>19.952155930316799</v>
      </c>
      <c r="Q264" s="1">
        <v>39.514350497531503</v>
      </c>
      <c r="R264" s="1">
        <v>0.99276237802116296</v>
      </c>
      <c r="S264" s="8">
        <v>21.404041038463198</v>
      </c>
      <c r="T264" s="7"/>
      <c r="U264" s="1"/>
      <c r="V264" s="1"/>
      <c r="W264" s="8"/>
      <c r="X264" s="7"/>
      <c r="Y264" s="1"/>
      <c r="Z264" s="1"/>
      <c r="AA264" s="8"/>
      <c r="AB264" s="7">
        <v>32</v>
      </c>
      <c r="AC264" s="1">
        <v>0.44667174613213201</v>
      </c>
      <c r="AD264" s="1">
        <v>36.035875180632999</v>
      </c>
      <c r="AE264" s="1">
        <v>0.99110633001772697</v>
      </c>
      <c r="AF264" s="1">
        <v>20.509189899688401</v>
      </c>
      <c r="AG264" s="1">
        <v>38.970409201941003</v>
      </c>
      <c r="AH264" s="1">
        <v>0.99349196533425799</v>
      </c>
      <c r="AI264" s="1">
        <v>21.865501424130901</v>
      </c>
      <c r="AJ264" s="1">
        <v>516.19222021102905</v>
      </c>
      <c r="AK264" s="1">
        <v>288.05025243759098</v>
      </c>
      <c r="AL264" s="7"/>
      <c r="AM264" s="1"/>
      <c r="AN264" s="1"/>
      <c r="AO264" s="8"/>
      <c r="AP264" s="1"/>
      <c r="AQ264" s="1"/>
      <c r="AR264" s="1"/>
      <c r="AS264" s="8"/>
      <c r="AT264" s="7">
        <v>0.32</v>
      </c>
      <c r="AU264" s="1">
        <v>0.266027917069321</v>
      </c>
      <c r="AV264" s="1">
        <v>31.4494495571447</v>
      </c>
      <c r="AW264" s="1">
        <v>0.99129437396609998</v>
      </c>
      <c r="AX264" s="1">
        <v>20.601999926922801</v>
      </c>
      <c r="AY264" s="1">
        <v>34.160867303938304</v>
      </c>
      <c r="AZ264" s="1">
        <v>0.99298395207646195</v>
      </c>
      <c r="BA264" s="1">
        <v>21.5390745315731</v>
      </c>
      <c r="BB264" s="1">
        <v>317.10384011268599</v>
      </c>
      <c r="BC264" s="1">
        <v>168.46153068542401</v>
      </c>
      <c r="BD264" s="7"/>
      <c r="BE264" s="1"/>
      <c r="BF264" s="1"/>
      <c r="BG264" s="8"/>
      <c r="BH264" s="1"/>
      <c r="BI264" s="1"/>
      <c r="BJ264" s="1"/>
      <c r="BK264" s="8"/>
    </row>
    <row r="265" spans="1:63">
      <c r="A265" s="49"/>
      <c r="B265" s="7" t="s">
        <v>18</v>
      </c>
      <c r="C265" s="17">
        <v>0.25</v>
      </c>
      <c r="D265" s="7">
        <v>39</v>
      </c>
      <c r="E265" s="1">
        <v>0.22474590178458201</v>
      </c>
      <c r="F265" s="1">
        <v>31.262245625019801</v>
      </c>
      <c r="G265" s="1">
        <v>0.97443743649529502</v>
      </c>
      <c r="H265" s="1">
        <v>15.9239559573577</v>
      </c>
      <c r="I265" s="1">
        <v>34.131827475025702</v>
      </c>
      <c r="J265" s="1">
        <v>0.98182180015062004</v>
      </c>
      <c r="K265" s="8">
        <v>17.4044912629499</v>
      </c>
      <c r="L265" s="7">
        <v>36</v>
      </c>
      <c r="M265" s="1">
        <v>0.22846349804340599</v>
      </c>
      <c r="N265" s="1">
        <v>32.860021823458503</v>
      </c>
      <c r="O265" s="1">
        <v>0.98146375757160298</v>
      </c>
      <c r="P265" s="1">
        <v>17.319782992101899</v>
      </c>
      <c r="Q265" s="1">
        <v>35.7721534784665</v>
      </c>
      <c r="R265" s="1">
        <v>0.98566298243026296</v>
      </c>
      <c r="S265" s="8">
        <v>18.435411825397601</v>
      </c>
      <c r="T265" s="7"/>
      <c r="U265" s="1"/>
      <c r="V265" s="1"/>
      <c r="W265" s="8"/>
      <c r="X265" s="7"/>
      <c r="Y265" s="1"/>
      <c r="Z265" s="1"/>
      <c r="AA265" s="8"/>
      <c r="AB265" s="7">
        <v>16</v>
      </c>
      <c r="AC265" s="1">
        <v>0.31335485972633498</v>
      </c>
      <c r="AD265" s="1">
        <v>34.388437128246601</v>
      </c>
      <c r="AE265" s="1">
        <v>0.98789200263818699</v>
      </c>
      <c r="AF265" s="1">
        <v>19.1692768234299</v>
      </c>
      <c r="AG265" s="1">
        <v>37.2414340265017</v>
      </c>
      <c r="AH265" s="1">
        <v>0.99058156513179396</v>
      </c>
      <c r="AI265" s="1">
        <v>20.260212611749001</v>
      </c>
      <c r="AJ265" s="1">
        <v>210.87370228767301</v>
      </c>
      <c r="AK265" s="1">
        <v>145.81615519523601</v>
      </c>
      <c r="AL265" s="7"/>
      <c r="AM265" s="1"/>
      <c r="AN265" s="1"/>
      <c r="AO265" s="8"/>
      <c r="AP265" s="1"/>
      <c r="AQ265" s="1"/>
      <c r="AR265" s="1"/>
      <c r="AS265" s="8"/>
      <c r="AT265" s="7">
        <v>0.16</v>
      </c>
      <c r="AU265" s="1">
        <v>0.185149923739867</v>
      </c>
      <c r="AV265" s="1">
        <v>30.288527611281101</v>
      </c>
      <c r="AW265" s="1">
        <v>0.98749293172952601</v>
      </c>
      <c r="AX265" s="1">
        <v>19.028444795288799</v>
      </c>
      <c r="AY265" s="1">
        <v>33.021062671515402</v>
      </c>
      <c r="AZ265" s="1">
        <v>0.98971456242983102</v>
      </c>
      <c r="BA265" s="1">
        <v>19.877772275212799</v>
      </c>
      <c r="BB265" s="1">
        <v>203.98109483718801</v>
      </c>
      <c r="BC265" s="1">
        <v>151.01109480857801</v>
      </c>
      <c r="BD265" s="7"/>
      <c r="BE265" s="1"/>
      <c r="BF265" s="1"/>
      <c r="BG265" s="8"/>
      <c r="BH265" s="1"/>
      <c r="BI265" s="1"/>
      <c r="BJ265" s="1"/>
      <c r="BK265" s="8"/>
    </row>
    <row r="266" spans="1:63">
      <c r="A266" s="49"/>
      <c r="B266" s="7" t="s">
        <v>18</v>
      </c>
      <c r="C266" s="17">
        <v>0.12</v>
      </c>
      <c r="D266" s="7">
        <v>44</v>
      </c>
      <c r="E266" s="1">
        <v>0.110344799386102</v>
      </c>
      <c r="F266" s="1">
        <v>28.453536689954699</v>
      </c>
      <c r="G266" s="1">
        <v>0.95500500288133106</v>
      </c>
      <c r="H266" s="1">
        <v>13.4683577165891</v>
      </c>
      <c r="I266" s="1">
        <v>31.315261929048201</v>
      </c>
      <c r="J266" s="1">
        <v>0.96517921903783199</v>
      </c>
      <c r="K266" s="8">
        <v>14.5816149273171</v>
      </c>
      <c r="L266" s="7">
        <v>41</v>
      </c>
      <c r="M266" s="1">
        <v>0.116491952136714</v>
      </c>
      <c r="N266" s="1">
        <v>29.9998016843718</v>
      </c>
      <c r="O266" s="1">
        <v>0.96725527003842904</v>
      </c>
      <c r="P266" s="1">
        <v>14.848585867494</v>
      </c>
      <c r="Q266" s="1">
        <v>32.899764946630299</v>
      </c>
      <c r="R266" s="1">
        <v>0.97310971778982203</v>
      </c>
      <c r="S266" s="8">
        <v>15.7040463988605</v>
      </c>
      <c r="T266" s="7"/>
      <c r="U266" s="1"/>
      <c r="V266" s="1"/>
      <c r="W266" s="8"/>
      <c r="X266" s="7"/>
      <c r="Y266" s="1"/>
      <c r="Z266" s="1"/>
      <c r="AA266" s="8"/>
      <c r="AB266" s="7">
        <v>8</v>
      </c>
      <c r="AC266" s="1">
        <v>0.22095129574074501</v>
      </c>
      <c r="AD266" s="1">
        <v>32.755046530798502</v>
      </c>
      <c r="AE266" s="1">
        <v>0.98356571431173101</v>
      </c>
      <c r="AF266" s="1">
        <v>17.842491676629699</v>
      </c>
      <c r="AG266" s="1">
        <v>35.599601126824602</v>
      </c>
      <c r="AH266" s="1">
        <v>0.98648136650719698</v>
      </c>
      <c r="AI266" s="1">
        <v>18.6906720606665</v>
      </c>
      <c r="AJ266" s="1">
        <v>192.18687415122901</v>
      </c>
      <c r="AK266" s="1">
        <v>138.648005008697</v>
      </c>
      <c r="AL266" s="7"/>
      <c r="AM266" s="1"/>
      <c r="AN266" s="1"/>
      <c r="AO266" s="8"/>
      <c r="AP266" s="1"/>
      <c r="AQ266" s="1"/>
      <c r="AR266" s="1"/>
      <c r="AS266" s="8"/>
      <c r="AT266" s="7">
        <v>0.08</v>
      </c>
      <c r="AU266" s="1">
        <v>0.13260335326500999</v>
      </c>
      <c r="AV266" s="1">
        <v>29.015025394112499</v>
      </c>
      <c r="AW266" s="1">
        <v>0.982376720666984</v>
      </c>
      <c r="AX266" s="1">
        <v>17.539132750546301</v>
      </c>
      <c r="AY266" s="1">
        <v>31.752666170877099</v>
      </c>
      <c r="AZ266" s="1">
        <v>0.98524682305644595</v>
      </c>
      <c r="BA266" s="1">
        <v>18.3111444880523</v>
      </c>
      <c r="BB266" s="1">
        <v>178.570169448852</v>
      </c>
      <c r="BC266" s="1">
        <v>129.89664697647001</v>
      </c>
      <c r="BD266" s="7"/>
      <c r="BE266" s="1"/>
      <c r="BF266" s="1"/>
      <c r="BG266" s="8"/>
      <c r="BH266" s="1"/>
      <c r="BI266" s="1"/>
      <c r="BJ266" s="1"/>
      <c r="BK266" s="8"/>
    </row>
    <row r="267" spans="1:63">
      <c r="A267" s="49"/>
      <c r="B267" s="7" t="s">
        <v>18</v>
      </c>
      <c r="C267" s="17">
        <v>0.06</v>
      </c>
      <c r="D267" s="7">
        <v>49</v>
      </c>
      <c r="E267" s="1">
        <v>5.1560436325174798E-2</v>
      </c>
      <c r="F267" s="1">
        <v>25.866481836467699</v>
      </c>
      <c r="G267" s="1">
        <v>0.92228102284303104</v>
      </c>
      <c r="H267" s="1">
        <v>11.0947292369252</v>
      </c>
      <c r="I267" s="1">
        <v>28.775997039072902</v>
      </c>
      <c r="J267" s="1">
        <v>0.93467244694889495</v>
      </c>
      <c r="K267" s="8">
        <v>11.849036087060201</v>
      </c>
      <c r="L267" s="7">
        <v>46</v>
      </c>
      <c r="M267" s="1">
        <v>5.6412052781007298E-2</v>
      </c>
      <c r="N267" s="1">
        <v>27.315225188741401</v>
      </c>
      <c r="O267" s="1">
        <v>0.94236466769633098</v>
      </c>
      <c r="P267" s="1">
        <v>12.393111985180701</v>
      </c>
      <c r="Q267" s="1">
        <v>30.264571554746901</v>
      </c>
      <c r="R267" s="1">
        <v>0.94997792863574204</v>
      </c>
      <c r="S267" s="8">
        <v>13.008383285303101</v>
      </c>
      <c r="T267" s="7"/>
      <c r="U267" s="1"/>
      <c r="V267" s="1"/>
      <c r="W267" s="8"/>
      <c r="X267" s="7"/>
      <c r="Y267" s="1"/>
      <c r="Z267" s="1"/>
      <c r="AA267" s="8"/>
      <c r="AB267" s="7">
        <v>4</v>
      </c>
      <c r="AC267" s="1">
        <v>0.15619015555976501</v>
      </c>
      <c r="AD267" s="1">
        <v>31.163606763834999</v>
      </c>
      <c r="AE267" s="1">
        <v>0.97638690337862299</v>
      </c>
      <c r="AF267" s="1">
        <v>16.2684705581025</v>
      </c>
      <c r="AG267" s="1">
        <v>34.046671868529302</v>
      </c>
      <c r="AH267" s="1">
        <v>0.97991034050064296</v>
      </c>
      <c r="AI267" s="1">
        <v>16.9702742406825</v>
      </c>
      <c r="AJ267" s="1">
        <v>186.56432199478101</v>
      </c>
      <c r="AK267" s="1">
        <v>134.449883460998</v>
      </c>
      <c r="AL267" s="7"/>
      <c r="AM267" s="1"/>
      <c r="AN267" s="1"/>
      <c r="AO267" s="8"/>
      <c r="AP267" s="1"/>
      <c r="AQ267" s="1"/>
      <c r="AR267" s="1"/>
      <c r="AS267" s="8"/>
      <c r="AT267" s="7">
        <v>0.04</v>
      </c>
      <c r="AU267" s="1">
        <v>9.5574595221576894E-2</v>
      </c>
      <c r="AV267" s="1">
        <v>27.696121867743699</v>
      </c>
      <c r="AW267" s="1">
        <v>0.97449718098890503</v>
      </c>
      <c r="AX267" s="1">
        <v>15.934118112015</v>
      </c>
      <c r="AY267" s="1">
        <v>30.4285158153921</v>
      </c>
      <c r="AZ267" s="1">
        <v>0.97844808163361197</v>
      </c>
      <c r="BA267" s="1">
        <v>16.665140666236098</v>
      </c>
      <c r="BB267" s="1">
        <v>190.16283059120099</v>
      </c>
      <c r="BC267" s="1">
        <v>142.16899609565701</v>
      </c>
      <c r="BD267" s="7"/>
      <c r="BE267" s="1"/>
      <c r="BF267" s="1"/>
      <c r="BG267" s="8"/>
      <c r="BH267" s="1"/>
      <c r="BI267" s="1"/>
      <c r="BJ267" s="1"/>
      <c r="BK267" s="8"/>
    </row>
    <row r="268" spans="1:63">
      <c r="A268" s="49"/>
      <c r="B268" s="7" t="s">
        <v>64</v>
      </c>
      <c r="C268" s="17">
        <v>1.5</v>
      </c>
      <c r="D268" s="7">
        <v>21</v>
      </c>
      <c r="E268" s="1">
        <v>1.3787286478585901</v>
      </c>
      <c r="F268" s="1">
        <v>43.235133920446401</v>
      </c>
      <c r="G268" s="1">
        <v>0.99520207466062105</v>
      </c>
      <c r="H268" s="1">
        <v>23.189465143815902</v>
      </c>
      <c r="I268" s="1">
        <v>46.7558209386236</v>
      </c>
      <c r="J268" s="1">
        <v>0.99570024298542203</v>
      </c>
      <c r="K268" s="8">
        <v>23.6655608632968</v>
      </c>
      <c r="L268" s="7">
        <v>19</v>
      </c>
      <c r="M268" s="1">
        <v>1.34380980640379</v>
      </c>
      <c r="N268" s="1">
        <v>43.523663764200499</v>
      </c>
      <c r="O268" s="1">
        <v>0.99563701110043301</v>
      </c>
      <c r="P268" s="1">
        <v>23.602158919554299</v>
      </c>
      <c r="Q268" s="1">
        <v>46.980404337520497</v>
      </c>
      <c r="R268" s="1">
        <v>0.99615312061373296</v>
      </c>
      <c r="S268" s="8">
        <v>24.148914301995799</v>
      </c>
      <c r="T268" s="13">
        <f>bdrate(E268:E271,F268:F271,M268:M271,N268:N271)</f>
        <v>-9.829436265837399E-2</v>
      </c>
      <c r="U268" s="12">
        <f>bdrate(E268:E271,H268:H271,M268:M271,P268:P271)</f>
        <v>-0.10600181043839974</v>
      </c>
      <c r="V268" s="12">
        <f>bdrate(E268:E271,I268:I271,M268:M271,Q268:Q271)</f>
        <v>-0.11654671297311481</v>
      </c>
      <c r="W268" s="14">
        <f>bdrate(E268:E271,K268:K271,M268:M271,S268:S271)</f>
        <v>-9.947912447792262E-2</v>
      </c>
      <c r="X268" s="13">
        <f>bdrate(E270:E273,F270:F273,M270:M273,N270:N273)</f>
        <v>-0.13868402811162561</v>
      </c>
      <c r="Y268" s="12">
        <f>bdrate(E270:E273,H270:H273,M270:M273,P270:P273)</f>
        <v>-0.13282262162298808</v>
      </c>
      <c r="Z268" s="12">
        <f>bdrate(E270:E273,I270:I273,M270:M273,Q270:Q273)</f>
        <v>-0.18499220281696982</v>
      </c>
      <c r="AA268" s="14">
        <f>bdrate(E270:E273,K270:K273,M270:M273,S270:S273)</f>
        <v>-0.12242314127636289</v>
      </c>
      <c r="AB268" s="7"/>
      <c r="AC268" s="1"/>
      <c r="AD268" s="1"/>
      <c r="AE268" s="1"/>
      <c r="AF268" s="1"/>
      <c r="AG268" s="1"/>
      <c r="AH268" s="1"/>
      <c r="AI268" s="1"/>
      <c r="AJ268" s="1"/>
      <c r="AK268" s="1"/>
      <c r="AL268" s="13" t="e">
        <f>bdrate(E268:E271,F268:F271,AC268:AC271,AD268:AD271)</f>
        <v>#VALUE!</v>
      </c>
      <c r="AM268" s="12" t="e">
        <f>bdrate(E268:E271,H268:H271,AC268:AC271,AF268:AF271)</f>
        <v>#VALUE!</v>
      </c>
      <c r="AN268" s="12" t="e">
        <f>bdrate(E268:E271,I268:I271,AC268:AC271,AG268:AG271)</f>
        <v>#VALUE!</v>
      </c>
      <c r="AO268" s="14" t="e">
        <f>bdrate(E268:E271,K268:K271,AC268:AC271,AI268:AI271)</f>
        <v>#VALUE!</v>
      </c>
      <c r="AP268" s="12">
        <f>bdrate(E270:E273,F270:F273,AC270:AC273,AD270:AD273)</f>
        <v>-5.9355565180956082E-2</v>
      </c>
      <c r="AQ268" s="12">
        <f>bdrate(E270:E273,H270:H273,AC270:AC273,AF270:AF273)</f>
        <v>-0.15636389568095643</v>
      </c>
      <c r="AR268" s="12">
        <f>bdrate(E270:E273,I270:I273,AC270:AC273,AG270:AG273)</f>
        <v>-0.11076250068458271</v>
      </c>
      <c r="AS268" s="14">
        <f>bdrate(E270:E273,K270:K273,AC270:AC273,AI270:AI273)</f>
        <v>-0.14632159014913881</v>
      </c>
      <c r="AT268" s="7"/>
      <c r="AU268" s="1"/>
      <c r="AV268" s="1"/>
      <c r="AW268" s="1"/>
      <c r="AX268" s="1"/>
      <c r="AY268" s="1"/>
      <c r="AZ268" s="1"/>
      <c r="BA268" s="1"/>
      <c r="BB268" s="1"/>
      <c r="BC268" s="1"/>
      <c r="BD268" s="13" t="e">
        <f>bdrate(E268:E271,F268:F271,AU268:AU271,AV268:AV271)</f>
        <v>#VALUE!</v>
      </c>
      <c r="BE268" s="12" t="e">
        <f>bdrate(E268:E271,H268:H271,AU268:AU271,AX268:AX271)</f>
        <v>#VALUE!</v>
      </c>
      <c r="BF268" s="12" t="e">
        <f>bdrate(E268:E271,I268:I271,AU268:AU271,AY268:AY271)</f>
        <v>#VALUE!</v>
      </c>
      <c r="BG268" s="14" t="e">
        <f>bdrate(E268:E271,K268:K271,AU268:AU271,BA268:BA271)</f>
        <v>#VALUE!</v>
      </c>
      <c r="BH268" s="12">
        <f>bdrate(E270:E273,F270:F273,AU270:AU273,AV270:AV273)</f>
        <v>0.67506997293269078</v>
      </c>
      <c r="BI268" s="12">
        <f>bdrate(E270:E273,H270:H273,AU270:AU273,AX270:AX273)</f>
        <v>-0.51793626054433928</v>
      </c>
      <c r="BJ268" s="12">
        <f>bdrate(E270:E273,I270:I273,AU270:AU273,AY270:AY273)</f>
        <v>0.68858817572361186</v>
      </c>
      <c r="BK268" s="14">
        <f>bdrate(E270:E273,K270:K273,AU270:AU273,BA270:BA273)</f>
        <v>-0.51249396504281841</v>
      </c>
    </row>
    <row r="269" spans="1:63">
      <c r="A269" s="49"/>
      <c r="B269" s="7" t="s">
        <v>18</v>
      </c>
      <c r="C269" s="17">
        <v>1</v>
      </c>
      <c r="D269" s="7">
        <v>24</v>
      </c>
      <c r="E269" s="1">
        <v>0.97158122786717604</v>
      </c>
      <c r="F269" s="1">
        <v>41.229883358783503</v>
      </c>
      <c r="G269" s="1">
        <v>0.99318551731405103</v>
      </c>
      <c r="H269" s="1">
        <v>21.6656710757185</v>
      </c>
      <c r="I269" s="1">
        <v>44.90679268505</v>
      </c>
      <c r="J269" s="1">
        <v>0.99383594938855502</v>
      </c>
      <c r="K269" s="8">
        <v>22.101338040579201</v>
      </c>
      <c r="L269" s="7">
        <v>22</v>
      </c>
      <c r="M269" s="1">
        <v>0.91349200076189296</v>
      </c>
      <c r="N269" s="1">
        <v>41.355486153546302</v>
      </c>
      <c r="O269" s="1">
        <v>0.99338955924893202</v>
      </c>
      <c r="P269" s="1">
        <v>21.797695829689399</v>
      </c>
      <c r="Q269" s="1">
        <v>45.054776121334498</v>
      </c>
      <c r="R269" s="1">
        <v>0.99401423772094799</v>
      </c>
      <c r="S269" s="8">
        <v>22.228805348974401</v>
      </c>
      <c r="T269" s="7"/>
      <c r="U269" s="1"/>
      <c r="V269" s="1"/>
      <c r="W269" s="8"/>
      <c r="X269" s="7"/>
      <c r="Y269" s="1"/>
      <c r="Z269" s="1"/>
      <c r="AA269" s="8"/>
      <c r="AB269" s="7">
        <v>64</v>
      </c>
      <c r="AC269" s="1">
        <v>0.48698172102503201</v>
      </c>
      <c r="AD269" s="1">
        <v>37.486338187455601</v>
      </c>
      <c r="AE269" s="1">
        <v>0.98953343774320401</v>
      </c>
      <c r="AF269" s="1">
        <v>19.8019593895763</v>
      </c>
      <c r="AG269" s="1">
        <v>41.599708868231097</v>
      </c>
      <c r="AH269" s="1">
        <v>0.99039109192965402</v>
      </c>
      <c r="AI269" s="1">
        <v>20.173259615475899</v>
      </c>
      <c r="AJ269" s="1">
        <v>434.32701897621098</v>
      </c>
      <c r="AK269" s="1">
        <v>192.098201990127</v>
      </c>
      <c r="AL269" s="7"/>
      <c r="AM269" s="1"/>
      <c r="AN269" s="1"/>
      <c r="AO269" s="8"/>
      <c r="AP269" s="1"/>
      <c r="AQ269" s="1"/>
      <c r="AR269" s="1"/>
      <c r="AS269" s="8"/>
      <c r="AT269" s="7">
        <v>0.64</v>
      </c>
      <c r="AU269" s="1">
        <v>0.33378273843845402</v>
      </c>
      <c r="AV269" s="1">
        <v>33.394332910219603</v>
      </c>
      <c r="AW269" s="1">
        <v>0.99059364177749898</v>
      </c>
      <c r="AX269" s="1">
        <v>20.265784860308202</v>
      </c>
      <c r="AY269" s="1">
        <v>37.969048483870502</v>
      </c>
      <c r="AZ269" s="1">
        <v>0.99124746075066195</v>
      </c>
      <c r="BA269" s="1">
        <v>20.578659330356299</v>
      </c>
      <c r="BB269" s="1">
        <v>213.75098228454499</v>
      </c>
      <c r="BC269" s="1">
        <v>148.89865541458099</v>
      </c>
      <c r="BD269" s="7"/>
      <c r="BE269" s="1"/>
      <c r="BF269" s="1"/>
      <c r="BG269" s="8"/>
      <c r="BH269" s="1"/>
      <c r="BI269" s="1"/>
      <c r="BJ269" s="1"/>
      <c r="BK269" s="8"/>
    </row>
    <row r="270" spans="1:63">
      <c r="A270" s="49"/>
      <c r="B270" s="7" t="s">
        <v>18</v>
      </c>
      <c r="C270" s="17">
        <v>0.5</v>
      </c>
      <c r="D270" s="7">
        <v>30</v>
      </c>
      <c r="E270" s="1">
        <v>0.47217402796979802</v>
      </c>
      <c r="F270" s="1">
        <v>37.465828052362397</v>
      </c>
      <c r="G270" s="1">
        <v>0.98786877954278096</v>
      </c>
      <c r="H270" s="1">
        <v>19.160955048900401</v>
      </c>
      <c r="I270" s="1">
        <v>41.469404575444003</v>
      </c>
      <c r="J270" s="1">
        <v>0.988794404343458</v>
      </c>
      <c r="K270" s="8">
        <v>19.505650526966701</v>
      </c>
      <c r="L270" s="7">
        <v>28</v>
      </c>
      <c r="M270" s="1">
        <v>0.45384322348499001</v>
      </c>
      <c r="N270" s="1">
        <v>37.8312621631217</v>
      </c>
      <c r="O270" s="1">
        <v>0.988592650867678</v>
      </c>
      <c r="P270" s="1">
        <v>19.428152662707099</v>
      </c>
      <c r="Q270" s="1">
        <v>41.924119437199899</v>
      </c>
      <c r="R270" s="1">
        <v>0.98938974877814601</v>
      </c>
      <c r="S270" s="8">
        <v>19.742743330663401</v>
      </c>
      <c r="T270" s="7"/>
      <c r="U270" s="1"/>
      <c r="V270" s="1"/>
      <c r="W270" s="8"/>
      <c r="X270" s="7"/>
      <c r="Y270" s="1"/>
      <c r="Z270" s="1"/>
      <c r="AA270" s="8"/>
      <c r="AB270" s="7">
        <v>32</v>
      </c>
      <c r="AC270" s="1">
        <v>0.31793197635019099</v>
      </c>
      <c r="AD270" s="1">
        <v>35.6913798507899</v>
      </c>
      <c r="AE270" s="1">
        <v>0.98566645939273601</v>
      </c>
      <c r="AF270" s="1">
        <v>18.436465188652001</v>
      </c>
      <c r="AG270" s="1">
        <v>39.626660745697897</v>
      </c>
      <c r="AH270" s="1">
        <v>0.98659673304686801</v>
      </c>
      <c r="AI270" s="1">
        <v>18.727893324717598</v>
      </c>
      <c r="AJ270" s="1">
        <v>519.01960086822498</v>
      </c>
      <c r="AK270" s="1">
        <v>293.57840538024902</v>
      </c>
      <c r="AL270" s="7"/>
      <c r="AM270" s="1"/>
      <c r="AN270" s="1"/>
      <c r="AO270" s="8"/>
      <c r="AP270" s="1"/>
      <c r="AQ270" s="1"/>
      <c r="AR270" s="1"/>
      <c r="AS270" s="8"/>
      <c r="AT270" s="7">
        <v>0.32</v>
      </c>
      <c r="AU270" s="1">
        <v>0.23345763779201001</v>
      </c>
      <c r="AV270" s="1">
        <v>32.901157572118301</v>
      </c>
      <c r="AW270" s="1">
        <v>0.98822072415976103</v>
      </c>
      <c r="AX270" s="1">
        <v>19.288814080425901</v>
      </c>
      <c r="AY270" s="1">
        <v>37.420531456681402</v>
      </c>
      <c r="AZ270" s="1">
        <v>0.98895677397792903</v>
      </c>
      <c r="BA270" s="1">
        <v>19.569040390232601</v>
      </c>
      <c r="BB270" s="1">
        <v>335.94580125808699</v>
      </c>
      <c r="BC270" s="1">
        <v>193.613552808761</v>
      </c>
      <c r="BD270" s="7"/>
      <c r="BE270" s="1"/>
      <c r="BF270" s="1"/>
      <c r="BG270" s="8"/>
      <c r="BH270" s="1"/>
      <c r="BI270" s="1"/>
      <c r="BJ270" s="1"/>
      <c r="BK270" s="8"/>
    </row>
    <row r="271" spans="1:63">
      <c r="A271" s="49"/>
      <c r="B271" s="7" t="s">
        <v>18</v>
      </c>
      <c r="C271" s="17">
        <v>0.25</v>
      </c>
      <c r="D271" s="7">
        <v>34</v>
      </c>
      <c r="E271" s="1">
        <v>0.236301782546669</v>
      </c>
      <c r="F271" s="1">
        <v>34.746059478933098</v>
      </c>
      <c r="G271" s="1">
        <v>0.98022978621216394</v>
      </c>
      <c r="H271" s="1">
        <v>17.039886343597999</v>
      </c>
      <c r="I271" s="1">
        <v>39.058138122338399</v>
      </c>
      <c r="J271" s="1">
        <v>0.98131960665270501</v>
      </c>
      <c r="K271" s="8">
        <v>17.286139832043698</v>
      </c>
      <c r="L271" s="7">
        <v>32</v>
      </c>
      <c r="M271" s="1">
        <v>0.24037039964444901</v>
      </c>
      <c r="N271" s="1">
        <v>35.264511419176998</v>
      </c>
      <c r="O271" s="1">
        <v>0.98216115027946005</v>
      </c>
      <c r="P271" s="1">
        <v>17.486331531060799</v>
      </c>
      <c r="Q271" s="1">
        <v>39.689833472250797</v>
      </c>
      <c r="R271" s="1">
        <v>0.98306160629817496</v>
      </c>
      <c r="S271" s="8">
        <v>17.7112777697523</v>
      </c>
      <c r="T271" s="7"/>
      <c r="U271" s="1"/>
      <c r="V271" s="1"/>
      <c r="W271" s="8"/>
      <c r="X271" s="7"/>
      <c r="Y271" s="1"/>
      <c r="Z271" s="1"/>
      <c r="AA271" s="8"/>
      <c r="AB271" s="7">
        <v>16</v>
      </c>
      <c r="AC271" s="1">
        <v>0.17543967627283499</v>
      </c>
      <c r="AD271" s="1">
        <v>34.089492625925601</v>
      </c>
      <c r="AE271" s="1">
        <v>0.97879506894963197</v>
      </c>
      <c r="AF271" s="1">
        <v>16.735631353473298</v>
      </c>
      <c r="AG271" s="1">
        <v>38.769233801499297</v>
      </c>
      <c r="AH271" s="1">
        <v>0.97971927429356698</v>
      </c>
      <c r="AI271" s="1">
        <v>16.929165086749698</v>
      </c>
      <c r="AJ271" s="1">
        <v>216.86014533042899</v>
      </c>
      <c r="AK271" s="1">
        <v>158.11091852188099</v>
      </c>
      <c r="AL271" s="7"/>
      <c r="AM271" s="1"/>
      <c r="AN271" s="1"/>
      <c r="AO271" s="8"/>
      <c r="AP271" s="1"/>
      <c r="AQ271" s="1"/>
      <c r="AR271" s="1"/>
      <c r="AS271" s="8"/>
      <c r="AT271" s="7">
        <v>0.16</v>
      </c>
      <c r="AU271" s="1">
        <v>0.15982862570147999</v>
      </c>
      <c r="AV271" s="1">
        <v>32.205100884055</v>
      </c>
      <c r="AW271" s="1">
        <v>0.98458101086493999</v>
      </c>
      <c r="AX271" s="1">
        <v>18.119440975857199</v>
      </c>
      <c r="AY271" s="1">
        <v>36.662272349562997</v>
      </c>
      <c r="AZ271" s="1">
        <v>0.98547492960566097</v>
      </c>
      <c r="BA271" s="1">
        <v>18.378817541666201</v>
      </c>
      <c r="BB271" s="1">
        <v>212.02786374092099</v>
      </c>
      <c r="BC271" s="1">
        <v>157.954508066177</v>
      </c>
      <c r="BD271" s="7"/>
      <c r="BE271" s="1"/>
      <c r="BF271" s="1"/>
      <c r="BG271" s="8"/>
      <c r="BH271" s="1"/>
      <c r="BI271" s="1"/>
      <c r="BJ271" s="1"/>
      <c r="BK271" s="8"/>
    </row>
    <row r="272" spans="1:63">
      <c r="A272" s="49"/>
      <c r="B272" s="7" t="s">
        <v>18</v>
      </c>
      <c r="C272" s="17">
        <v>0.12</v>
      </c>
      <c r="D272" s="7">
        <v>38</v>
      </c>
      <c r="E272" s="1">
        <v>0.119909531577781</v>
      </c>
      <c r="F272" s="1">
        <v>32.8868318877783</v>
      </c>
      <c r="G272" s="1">
        <v>0.97163992259931597</v>
      </c>
      <c r="H272" s="1">
        <v>15.4729258820533</v>
      </c>
      <c r="I272" s="1">
        <v>37.384837575227202</v>
      </c>
      <c r="J272" s="1">
        <v>0.97282141179047599</v>
      </c>
      <c r="K272" s="8">
        <v>15.657731064239</v>
      </c>
      <c r="L272" s="7">
        <v>36</v>
      </c>
      <c r="M272" s="1">
        <v>0.114079358765213</v>
      </c>
      <c r="N272" s="1">
        <v>33.168896075017599</v>
      </c>
      <c r="O272" s="1">
        <v>0.97281609767580601</v>
      </c>
      <c r="P272" s="1">
        <v>15.6568819895692</v>
      </c>
      <c r="Q272" s="1">
        <v>37.788898280067301</v>
      </c>
      <c r="R272" s="1">
        <v>0.97384519055900898</v>
      </c>
      <c r="S272" s="8">
        <v>15.824484398127099</v>
      </c>
      <c r="T272" s="7"/>
      <c r="U272" s="1"/>
      <c r="V272" s="1"/>
      <c r="W272" s="8"/>
      <c r="X272" s="7"/>
      <c r="Y272" s="1"/>
      <c r="Z272" s="1"/>
      <c r="AA272" s="8"/>
      <c r="AB272" s="7">
        <v>8</v>
      </c>
      <c r="AC272" s="1">
        <v>0.107614274367323</v>
      </c>
      <c r="AD272" s="1">
        <v>32.806661227554798</v>
      </c>
      <c r="AE272" s="1">
        <v>0.97255491880762401</v>
      </c>
      <c r="AF272" s="1">
        <v>15.6153548008191</v>
      </c>
      <c r="AG272" s="1">
        <v>37.3214874956046</v>
      </c>
      <c r="AH272" s="1">
        <v>0.97357379799154697</v>
      </c>
      <c r="AI272" s="1">
        <v>15.779652494787801</v>
      </c>
      <c r="AJ272" s="1">
        <v>198.63985490798899</v>
      </c>
      <c r="AK272" s="1">
        <v>144.80964446067799</v>
      </c>
      <c r="AL272" s="7"/>
      <c r="AM272" s="1"/>
      <c r="AN272" s="1"/>
      <c r="AO272" s="8"/>
      <c r="AP272" s="1"/>
      <c r="AQ272" s="1"/>
      <c r="AR272" s="1"/>
      <c r="AS272" s="8"/>
      <c r="AT272" s="7">
        <v>0.08</v>
      </c>
      <c r="AU272" s="1">
        <v>0.102834297146396</v>
      </c>
      <c r="AV272" s="1">
        <v>31.2942454376198</v>
      </c>
      <c r="AW272" s="1">
        <v>0.97904202722935896</v>
      </c>
      <c r="AX272" s="1">
        <v>16.786507282294998</v>
      </c>
      <c r="AY272" s="1">
        <v>35.650921997574002</v>
      </c>
      <c r="AZ272" s="1">
        <v>0.98001672402833895</v>
      </c>
      <c r="BA272" s="1">
        <v>16.993333139183399</v>
      </c>
      <c r="BB272" s="1">
        <v>190.71586680412199</v>
      </c>
      <c r="BC272" s="1">
        <v>143.717642784118</v>
      </c>
      <c r="BD272" s="7"/>
      <c r="BE272" s="1"/>
      <c r="BF272" s="1"/>
      <c r="BG272" s="8"/>
      <c r="BH272" s="1"/>
      <c r="BI272" s="1"/>
      <c r="BJ272" s="1"/>
      <c r="BK272" s="8"/>
    </row>
    <row r="273" spans="1:63">
      <c r="A273" s="49"/>
      <c r="B273" s="7" t="s">
        <v>18</v>
      </c>
      <c r="C273" s="17">
        <v>0.06</v>
      </c>
      <c r="D273" s="7">
        <v>43</v>
      </c>
      <c r="E273" s="1">
        <v>5.66619717762364E-2</v>
      </c>
      <c r="F273" s="1">
        <v>30.903675074234201</v>
      </c>
      <c r="G273" s="1">
        <v>0.95801026725406402</v>
      </c>
      <c r="H273" s="1">
        <v>13.7685688952817</v>
      </c>
      <c r="I273" s="1">
        <v>35.220984859362297</v>
      </c>
      <c r="J273" s="1">
        <v>0.95942955093695903</v>
      </c>
      <c r="K273" s="8">
        <v>13.917901851839799</v>
      </c>
      <c r="L273" s="7">
        <v>41</v>
      </c>
      <c r="M273" s="1">
        <v>5.3210125932769303E-2</v>
      </c>
      <c r="N273" s="1">
        <v>31.2517721428868</v>
      </c>
      <c r="O273" s="1">
        <v>0.96042014846109003</v>
      </c>
      <c r="P273" s="1">
        <v>14.0252583913298</v>
      </c>
      <c r="Q273" s="1">
        <v>35.824603839611598</v>
      </c>
      <c r="R273" s="1">
        <v>0.96160141641666996</v>
      </c>
      <c r="S273" s="8">
        <v>14.156847952493701</v>
      </c>
      <c r="T273" s="7"/>
      <c r="U273" s="1"/>
      <c r="V273" s="1"/>
      <c r="W273" s="8"/>
      <c r="X273" s="7"/>
      <c r="Y273" s="1"/>
      <c r="Z273" s="1"/>
      <c r="AA273" s="8"/>
      <c r="AB273" s="7">
        <v>4</v>
      </c>
      <c r="AC273" s="1">
        <v>6.9817598971702297E-2</v>
      </c>
      <c r="AD273" s="1">
        <v>31.629350839937601</v>
      </c>
      <c r="AE273" s="1">
        <v>0.96454688356878904</v>
      </c>
      <c r="AF273" s="1">
        <v>14.503455830651101</v>
      </c>
      <c r="AG273" s="1">
        <v>36.356566582932601</v>
      </c>
      <c r="AH273" s="1">
        <v>0.96562559602522202</v>
      </c>
      <c r="AI273" s="1">
        <v>14.6376482342231</v>
      </c>
      <c r="AJ273" s="1">
        <v>183.94413495063699</v>
      </c>
      <c r="AK273" s="1">
        <v>138.809387445449</v>
      </c>
      <c r="AL273" s="7"/>
      <c r="AM273" s="1"/>
      <c r="AN273" s="1"/>
      <c r="AO273" s="8"/>
      <c r="AP273" s="1"/>
      <c r="AQ273" s="1"/>
      <c r="AR273" s="1"/>
      <c r="AS273" s="8"/>
      <c r="AT273" s="7">
        <v>0.04</v>
      </c>
      <c r="AU273" s="1">
        <v>6.2944357126105105E-2</v>
      </c>
      <c r="AV273" s="1">
        <v>30.276340563159899</v>
      </c>
      <c r="AW273" s="1">
        <v>0.971264267872753</v>
      </c>
      <c r="AX273" s="1">
        <v>15.415777334607499</v>
      </c>
      <c r="AY273" s="1">
        <v>34.500985062871599</v>
      </c>
      <c r="AZ273" s="1">
        <v>0.97230426565497796</v>
      </c>
      <c r="BA273" s="1">
        <v>15.575871151620801</v>
      </c>
      <c r="BB273" s="1">
        <v>191.55797719955399</v>
      </c>
      <c r="BC273" s="1">
        <v>148.495514869689</v>
      </c>
      <c r="BD273" s="7"/>
      <c r="BE273" s="1"/>
      <c r="BF273" s="1"/>
      <c r="BG273" s="8"/>
      <c r="BH273" s="1"/>
      <c r="BI273" s="1"/>
      <c r="BJ273" s="1"/>
      <c r="BK273" s="8"/>
    </row>
    <row r="274" spans="1:63">
      <c r="A274" s="49"/>
      <c r="B274" s="7" t="s">
        <v>65</v>
      </c>
      <c r="C274" s="17">
        <v>1.5</v>
      </c>
      <c r="D274" s="7">
        <v>23</v>
      </c>
      <c r="E274" s="1">
        <v>1.4552592901727299</v>
      </c>
      <c r="F274" s="1">
        <v>41.173651438533703</v>
      </c>
      <c r="G274" s="1">
        <v>0.99134887306730202</v>
      </c>
      <c r="H274" s="1">
        <v>20.629273157983601</v>
      </c>
      <c r="I274" s="1">
        <v>44.488307782929802</v>
      </c>
      <c r="J274" s="1">
        <v>0.99317310521249402</v>
      </c>
      <c r="K274" s="8">
        <v>21.6577679021375</v>
      </c>
      <c r="L274" s="7">
        <v>21</v>
      </c>
      <c r="M274" s="1">
        <v>1.4089913872356801</v>
      </c>
      <c r="N274" s="1">
        <v>41.445237556529896</v>
      </c>
      <c r="O274" s="1">
        <v>0.99210135961770995</v>
      </c>
      <c r="P274" s="1">
        <v>21.024476587457801</v>
      </c>
      <c r="Q274" s="1">
        <v>44.668581982370199</v>
      </c>
      <c r="R274" s="1">
        <v>0.99394816349235104</v>
      </c>
      <c r="S274" s="8">
        <v>22.181128130984899</v>
      </c>
      <c r="T274" s="13">
        <f>bdrate(E274:E277,F274:F277,M274:M277,N274:N277)</f>
        <v>-9.3430939184334871E-2</v>
      </c>
      <c r="U274" s="12">
        <f>bdrate(E274:E277,H274:H277,M274:M277,P274:P277)</f>
        <v>-0.10071567207114007</v>
      </c>
      <c r="V274" s="12">
        <f>bdrate(E274:E277,I274:I277,M274:M277,Q274:Q277)</f>
        <v>-7.557483657110553E-2</v>
      </c>
      <c r="W274" s="14">
        <f>bdrate(E274:E277,K274:K277,M274:M277,S274:S277)</f>
        <v>-9.1737353855338988E-2</v>
      </c>
      <c r="X274" s="13">
        <f>bdrate(E276:E279,F276:F279,M276:M279,N276:N279)</f>
        <v>-0.18250930336564497</v>
      </c>
      <c r="Y274" s="12">
        <f>bdrate(E276:E279,H276:H279,M276:M279,P276:P279)</f>
        <v>-0.21337886062753053</v>
      </c>
      <c r="Z274" s="12">
        <f>bdrate(E276:E279,I276:I279,M276:M279,Q276:Q279)</f>
        <v>-0.22833398476742472</v>
      </c>
      <c r="AA274" s="14">
        <f>bdrate(E276:E279,K276:K279,M276:M279,S276:S279)</f>
        <v>-0.16863913360242322</v>
      </c>
      <c r="AB274" s="7"/>
      <c r="AC274" s="1"/>
      <c r="AD274" s="1"/>
      <c r="AE274" s="1"/>
      <c r="AF274" s="1"/>
      <c r="AG274" s="1"/>
      <c r="AH274" s="1"/>
      <c r="AI274" s="1"/>
      <c r="AJ274" s="1"/>
      <c r="AK274" s="1"/>
      <c r="AL274" s="13" t="e">
        <f>bdrate(E274:E277,F274:F277,AC274:AC277,AD274:AD277)</f>
        <v>#VALUE!</v>
      </c>
      <c r="AM274" s="12" t="e">
        <f>bdrate(E274:E277,H274:H277,AC274:AC277,AF274:AF277)</f>
        <v>#VALUE!</v>
      </c>
      <c r="AN274" s="12" t="e">
        <f>bdrate(E274:E277,I274:I277,AC274:AC277,AG274:AG277)</f>
        <v>#VALUE!</v>
      </c>
      <c r="AO274" s="14" t="e">
        <f>bdrate(E274:E277,K274:K277,AC274:AC277,AI274:AI277)</f>
        <v>#VALUE!</v>
      </c>
      <c r="AP274" s="12">
        <f>bdrate(E276:E279,F276:F279,AC276:AC279,AD276:AD279)</f>
        <v>-0.13920948473577921</v>
      </c>
      <c r="AQ274" s="12">
        <f>bdrate(E276:E279,H276:H279,AC276:AC279,AF276:AF279)</f>
        <v>-0.22795438530899192</v>
      </c>
      <c r="AR274" s="12">
        <f>bdrate(E276:E279,I276:I279,AC276:AC279,AG276:AG279)</f>
        <v>-0.28171024952631385</v>
      </c>
      <c r="AS274" s="14">
        <f>bdrate(E276:E279,K276:K279,AC276:AC279,AI276:AI279)</f>
        <v>-0.12361658210646465</v>
      </c>
      <c r="AT274" s="7"/>
      <c r="AU274" s="1"/>
      <c r="AV274" s="1"/>
      <c r="AW274" s="1"/>
      <c r="AX274" s="1"/>
      <c r="AY274" s="1"/>
      <c r="AZ274" s="1"/>
      <c r="BA274" s="1"/>
      <c r="BB274" s="1"/>
      <c r="BC274" s="1"/>
      <c r="BD274" s="13" t="e">
        <f>bdrate(E274:E277,F274:F277,AU274:AU277,AV274:AV277)</f>
        <v>#VALUE!</v>
      </c>
      <c r="BE274" s="12" t="e">
        <f>bdrate(E274:E277,H274:H277,AU274:AU277,AX274:AX277)</f>
        <v>#VALUE!</v>
      </c>
      <c r="BF274" s="12" t="e">
        <f>bdrate(E274:E277,I274:I277,AU274:AU277,AY274:AY277)</f>
        <v>#VALUE!</v>
      </c>
      <c r="BG274" s="14" t="e">
        <f>bdrate(E274:E277,K274:K277,AU274:AU277,BA274:BA277)</f>
        <v>#VALUE!</v>
      </c>
      <c r="BH274" s="12">
        <f>bdrate(E276:E279,F276:F279,AU276:AU279,AV276:AV279)</f>
        <v>1.3802525513847526</v>
      </c>
      <c r="BI274" s="12">
        <f>bdrate(E276:E279,H276:H279,AU276:AU279,AX276:AX279)</f>
        <v>-0.4966781565771029</v>
      </c>
      <c r="BJ274" s="12">
        <f>bdrate(E276:E279,I276:I279,AU276:AU279,AY276:AY279)</f>
        <v>1.8595940529313801</v>
      </c>
      <c r="BK274" s="14">
        <f>bdrate(E276:E279,K276:K279,AU276:AU279,BA276:BA279)</f>
        <v>-0.47585234818692079</v>
      </c>
    </row>
    <row r="275" spans="1:63">
      <c r="A275" s="49"/>
      <c r="B275" s="7" t="s">
        <v>18</v>
      </c>
      <c r="C275" s="17">
        <v>1</v>
      </c>
      <c r="D275" s="7">
        <v>25</v>
      </c>
      <c r="E275" s="1">
        <v>0.96747834712343295</v>
      </c>
      <c r="F275" s="1">
        <v>38.829050301715597</v>
      </c>
      <c r="G275" s="1">
        <v>0.98573047531704705</v>
      </c>
      <c r="H275" s="1">
        <v>18.4559049296866</v>
      </c>
      <c r="I275" s="1">
        <v>42.406806007546102</v>
      </c>
      <c r="J275" s="1">
        <v>0.98786198669521097</v>
      </c>
      <c r="K275" s="8">
        <v>19.158523908039299</v>
      </c>
      <c r="L275" s="7">
        <v>24</v>
      </c>
      <c r="M275" s="1">
        <v>0.83910491363042505</v>
      </c>
      <c r="N275" s="1">
        <v>38.660281359039899</v>
      </c>
      <c r="O275" s="1">
        <v>0.98530274891051295</v>
      </c>
      <c r="P275" s="1">
        <v>18.3276388622497</v>
      </c>
      <c r="Q275" s="1">
        <v>42.184157698002103</v>
      </c>
      <c r="R275" s="1">
        <v>0.98742678538810602</v>
      </c>
      <c r="S275" s="8">
        <v>19.005536714212901</v>
      </c>
      <c r="T275" s="7"/>
      <c r="U275" s="1"/>
      <c r="V275" s="1"/>
      <c r="W275" s="8"/>
      <c r="X275" s="7"/>
      <c r="Y275" s="1"/>
      <c r="Z275" s="1"/>
      <c r="AA275" s="8"/>
      <c r="AB275" s="7">
        <v>64</v>
      </c>
      <c r="AC275" s="1">
        <v>0.18214499564523101</v>
      </c>
      <c r="AD275" s="1">
        <v>35.637833592447301</v>
      </c>
      <c r="AE275" s="1">
        <v>0.97162030793346799</v>
      </c>
      <c r="AF275" s="1">
        <v>15.469923211594301</v>
      </c>
      <c r="AG275" s="1">
        <v>39.8083066690008</v>
      </c>
      <c r="AH275" s="1">
        <v>0.97345944518276095</v>
      </c>
      <c r="AI275" s="1">
        <v>15.760900026642499</v>
      </c>
      <c r="AJ275" s="1">
        <v>410.67404627799903</v>
      </c>
      <c r="AK275" s="1">
        <v>159.759403467178</v>
      </c>
      <c r="AL275" s="7"/>
      <c r="AM275" s="1"/>
      <c r="AN275" s="1"/>
      <c r="AO275" s="8"/>
      <c r="AP275" s="1"/>
      <c r="AQ275" s="1"/>
      <c r="AR275" s="1"/>
      <c r="AS275" s="8"/>
      <c r="AT275" s="7">
        <v>0.64</v>
      </c>
      <c r="AU275" s="1">
        <v>0.50804044491217804</v>
      </c>
      <c r="AV275" s="1">
        <v>35.9112234893501</v>
      </c>
      <c r="AW275" s="1">
        <v>0.98809556864062498</v>
      </c>
      <c r="AX275" s="1">
        <v>19.242913447684501</v>
      </c>
      <c r="AY275" s="1">
        <v>39.854202511922303</v>
      </c>
      <c r="AZ275" s="1">
        <v>0.98917972985284497</v>
      </c>
      <c r="BA275" s="1">
        <v>19.657618961653199</v>
      </c>
      <c r="BB275" s="1">
        <v>186.39006662368701</v>
      </c>
      <c r="BC275" s="1">
        <v>119.590187311172</v>
      </c>
      <c r="BD275" s="7"/>
      <c r="BE275" s="1"/>
      <c r="BF275" s="1"/>
      <c r="BG275" s="8"/>
      <c r="BH275" s="1"/>
      <c r="BI275" s="1"/>
      <c r="BJ275" s="1"/>
      <c r="BK275" s="8"/>
    </row>
    <row r="276" spans="1:63">
      <c r="A276" s="49"/>
      <c r="B276" s="7" t="s">
        <v>18</v>
      </c>
      <c r="C276" s="17">
        <v>0.5</v>
      </c>
      <c r="D276" s="7">
        <v>27</v>
      </c>
      <c r="E276" s="1">
        <v>0.394442226738278</v>
      </c>
      <c r="F276" s="1">
        <v>36.398333991393102</v>
      </c>
      <c r="G276" s="1">
        <v>0.97620423664595102</v>
      </c>
      <c r="H276" s="1">
        <v>16.235003587310199</v>
      </c>
      <c r="I276" s="1">
        <v>40.303309280468802</v>
      </c>
      <c r="J276" s="1">
        <v>0.97865481764900797</v>
      </c>
      <c r="K276" s="8">
        <v>16.707001306847499</v>
      </c>
      <c r="L276" s="7">
        <v>26</v>
      </c>
      <c r="M276" s="1">
        <v>0.32726311874002001</v>
      </c>
      <c r="N276" s="1">
        <v>36.295435986182703</v>
      </c>
      <c r="O276" s="1">
        <v>0.97561319051200401</v>
      </c>
      <c r="P276" s="1">
        <v>16.128450144625798</v>
      </c>
      <c r="Q276" s="1">
        <v>40.191558454565801</v>
      </c>
      <c r="R276" s="1">
        <v>0.97781901009206196</v>
      </c>
      <c r="S276" s="8">
        <v>16.540190757720001</v>
      </c>
      <c r="T276" s="7"/>
      <c r="U276" s="1"/>
      <c r="V276" s="1"/>
      <c r="W276" s="8"/>
      <c r="X276" s="7"/>
      <c r="Y276" s="1"/>
      <c r="Z276" s="1"/>
      <c r="AA276" s="8"/>
      <c r="AB276" s="7">
        <v>32</v>
      </c>
      <c r="AC276" s="1">
        <v>0.102543456960371</v>
      </c>
      <c r="AD276" s="1">
        <v>35.117242830326198</v>
      </c>
      <c r="AE276" s="1">
        <v>0.96614630004803204</v>
      </c>
      <c r="AF276" s="1">
        <v>14.7039385930054</v>
      </c>
      <c r="AG276" s="1">
        <v>39.102898654196601</v>
      </c>
      <c r="AH276" s="1">
        <v>0.96809744916954998</v>
      </c>
      <c r="AI276" s="1">
        <v>14.961745906952</v>
      </c>
      <c r="AJ276" s="1">
        <v>411.76052427291802</v>
      </c>
      <c r="AK276" s="1">
        <v>241.42807579040499</v>
      </c>
      <c r="AL276" s="7"/>
      <c r="AM276" s="1"/>
      <c r="AN276" s="1"/>
      <c r="AO276" s="8"/>
      <c r="AP276" s="1"/>
      <c r="AQ276" s="1"/>
      <c r="AR276" s="1"/>
      <c r="AS276" s="8"/>
      <c r="AT276" s="7">
        <v>0.32</v>
      </c>
      <c r="AU276" s="1">
        <v>0.34836257681327698</v>
      </c>
      <c r="AV276" s="1">
        <v>35.453401290837498</v>
      </c>
      <c r="AW276" s="1">
        <v>0.98413950853743204</v>
      </c>
      <c r="AX276" s="1">
        <v>17.996833595042801</v>
      </c>
      <c r="AY276" s="1">
        <v>39.245665738359001</v>
      </c>
      <c r="AZ276" s="1">
        <v>0.98551369668909405</v>
      </c>
      <c r="BA276" s="1">
        <v>18.390424258815699</v>
      </c>
      <c r="BB276" s="1">
        <v>244.13341355323701</v>
      </c>
      <c r="BC276" s="1">
        <v>152.59596538543701</v>
      </c>
      <c r="BD276" s="7"/>
      <c r="BE276" s="1"/>
      <c r="BF276" s="1"/>
      <c r="BG276" s="8"/>
      <c r="BH276" s="1"/>
      <c r="BI276" s="1"/>
      <c r="BJ276" s="1"/>
      <c r="BK276" s="8"/>
    </row>
    <row r="277" spans="1:63">
      <c r="A277" s="49"/>
      <c r="B277" s="7" t="s">
        <v>18</v>
      </c>
      <c r="C277" s="17">
        <v>0.25</v>
      </c>
      <c r="D277" s="7">
        <v>28</v>
      </c>
      <c r="E277" s="1">
        <v>0.24165940871921399</v>
      </c>
      <c r="F277" s="1">
        <v>35.767953353386503</v>
      </c>
      <c r="G277" s="1">
        <v>0.97188326031626504</v>
      </c>
      <c r="H277" s="1">
        <v>15.5103503996279</v>
      </c>
      <c r="I277" s="1">
        <v>39.729403838503799</v>
      </c>
      <c r="J277" s="1">
        <v>0.97446835383705699</v>
      </c>
      <c r="K277" s="8">
        <v>15.929211829852401</v>
      </c>
      <c r="L277" s="7">
        <v>27</v>
      </c>
      <c r="M277" s="1">
        <v>0.19271060144191199</v>
      </c>
      <c r="N277" s="1">
        <v>35.708084785857302</v>
      </c>
      <c r="O277" s="1">
        <v>0.97162468365121102</v>
      </c>
      <c r="P277" s="1">
        <v>15.4705928793918</v>
      </c>
      <c r="Q277" s="1">
        <v>39.688818021373102</v>
      </c>
      <c r="R277" s="1">
        <v>0.97382422493806498</v>
      </c>
      <c r="S277" s="8">
        <v>15.82100450045</v>
      </c>
      <c r="T277" s="7"/>
      <c r="U277" s="1"/>
      <c r="V277" s="1"/>
      <c r="W277" s="8"/>
      <c r="X277" s="7"/>
      <c r="Y277" s="1"/>
      <c r="Z277" s="1"/>
      <c r="AA277" s="8"/>
      <c r="AB277" s="7">
        <v>16</v>
      </c>
      <c r="AC277" s="1">
        <v>6.4797593990419497E-2</v>
      </c>
      <c r="AD277" s="1">
        <v>34.758960467789997</v>
      </c>
      <c r="AE277" s="1">
        <v>0.96093579807851404</v>
      </c>
      <c r="AF277" s="1">
        <v>14.0822104386523</v>
      </c>
      <c r="AG277" s="1">
        <v>38.7404800361168</v>
      </c>
      <c r="AH277" s="1">
        <v>0.96313457929415502</v>
      </c>
      <c r="AI277" s="1">
        <v>14.333808055915</v>
      </c>
      <c r="AJ277" s="1">
        <v>187.50997877120901</v>
      </c>
      <c r="AK277" s="1">
        <v>132.79907536506599</v>
      </c>
      <c r="AL277" s="7"/>
      <c r="AM277" s="1"/>
      <c r="AN277" s="1"/>
      <c r="AO277" s="8"/>
      <c r="AP277" s="1"/>
      <c r="AQ277" s="1"/>
      <c r="AR277" s="1"/>
      <c r="AS277" s="8"/>
      <c r="AT277" s="7">
        <v>0.16</v>
      </c>
      <c r="AU277" s="1">
        <v>0.15596195021048001</v>
      </c>
      <c r="AV277" s="1">
        <v>34.48961152743</v>
      </c>
      <c r="AW277" s="1">
        <v>0.97474347787166504</v>
      </c>
      <c r="AX277" s="1">
        <v>15.976264528488599</v>
      </c>
      <c r="AY277" s="1">
        <v>37.759245577517099</v>
      </c>
      <c r="AZ277" s="1">
        <v>0.97662118382320795</v>
      </c>
      <c r="BA277" s="1">
        <v>16.3117748380308</v>
      </c>
      <c r="BB277" s="1">
        <v>186.847989082336</v>
      </c>
      <c r="BC277" s="1">
        <v>138.53389930725001</v>
      </c>
      <c r="BD277" s="7"/>
      <c r="BE277" s="1"/>
      <c r="BF277" s="1"/>
      <c r="BG277" s="8"/>
      <c r="BH277" s="1"/>
      <c r="BI277" s="1"/>
      <c r="BJ277" s="1"/>
      <c r="BK277" s="8"/>
    </row>
    <row r="278" spans="1:63">
      <c r="A278" s="49"/>
      <c r="B278" s="7" t="s">
        <v>18</v>
      </c>
      <c r="C278" s="17">
        <v>0.12</v>
      </c>
      <c r="D278" s="7">
        <v>31</v>
      </c>
      <c r="E278" s="1">
        <v>0.117810851841099</v>
      </c>
      <c r="F278" s="1">
        <v>35.145291005456698</v>
      </c>
      <c r="G278" s="1">
        <v>0.96468589622699397</v>
      </c>
      <c r="H278" s="1">
        <v>14.5205181111399</v>
      </c>
      <c r="I278" s="1">
        <v>39.000644098250802</v>
      </c>
      <c r="J278" s="1">
        <v>0.96777733119023301</v>
      </c>
      <c r="K278" s="8">
        <v>14.9183849242844</v>
      </c>
      <c r="L278" s="7">
        <v>29</v>
      </c>
      <c r="M278" s="1">
        <v>0.10798767358590899</v>
      </c>
      <c r="N278" s="1">
        <v>35.263654368712402</v>
      </c>
      <c r="O278" s="1">
        <v>0.96662551867163304</v>
      </c>
      <c r="P278" s="1">
        <v>14.765854749301001</v>
      </c>
      <c r="Q278" s="1">
        <v>39.226326644497497</v>
      </c>
      <c r="R278" s="1">
        <v>0.96899607246882602</v>
      </c>
      <c r="S278" s="8">
        <v>15.085832869052799</v>
      </c>
      <c r="T278" s="7"/>
      <c r="U278" s="1"/>
      <c r="V278" s="1"/>
      <c r="W278" s="8"/>
      <c r="X278" s="7"/>
      <c r="Y278" s="1"/>
      <c r="Z278" s="1"/>
      <c r="AA278" s="8"/>
      <c r="AB278" s="7">
        <v>8</v>
      </c>
      <c r="AC278" s="1">
        <v>4.7142636812309402E-2</v>
      </c>
      <c r="AD278" s="1">
        <v>34.3988603113851</v>
      </c>
      <c r="AE278" s="1">
        <v>0.95723087369331905</v>
      </c>
      <c r="AF278" s="1">
        <v>13.688696214771801</v>
      </c>
      <c r="AG278" s="1">
        <v>38.288038493955298</v>
      </c>
      <c r="AH278" s="1">
        <v>0.95960039348227799</v>
      </c>
      <c r="AI278" s="1">
        <v>13.9362286479074</v>
      </c>
      <c r="AJ278" s="1">
        <v>174.300293922424</v>
      </c>
      <c r="AK278" s="1">
        <v>119.138617992401</v>
      </c>
      <c r="AL278" s="7"/>
      <c r="AM278" s="1"/>
      <c r="AN278" s="1"/>
      <c r="AO278" s="8"/>
      <c r="AP278" s="1"/>
      <c r="AQ278" s="1"/>
      <c r="AR278" s="1"/>
      <c r="AS278" s="8"/>
      <c r="AT278" s="7">
        <v>0.08</v>
      </c>
      <c r="AU278" s="1">
        <v>7.5131096675860001E-2</v>
      </c>
      <c r="AV278" s="1">
        <v>33.499125934562002</v>
      </c>
      <c r="AW278" s="1">
        <v>0.96700430865433395</v>
      </c>
      <c r="AX278" s="1">
        <v>14.8154276760608</v>
      </c>
      <c r="AY278" s="1">
        <v>36.390107675035601</v>
      </c>
      <c r="AZ278" s="1">
        <v>0.96951389943853605</v>
      </c>
      <c r="BA278" s="1">
        <v>15.158981221397401</v>
      </c>
      <c r="BB278" s="1">
        <v>168.95983242988501</v>
      </c>
      <c r="BC278" s="1">
        <v>125.12061452865601</v>
      </c>
      <c r="BD278" s="7"/>
      <c r="BE278" s="1"/>
      <c r="BF278" s="1"/>
      <c r="BG278" s="8"/>
      <c r="BH278" s="1"/>
      <c r="BI278" s="1"/>
      <c r="BJ278" s="1"/>
      <c r="BK278" s="8"/>
    </row>
    <row r="279" spans="1:63">
      <c r="A279" s="49"/>
      <c r="B279" s="7" t="s">
        <v>18</v>
      </c>
      <c r="C279" s="17">
        <v>0.06</v>
      </c>
      <c r="D279" s="7">
        <v>36</v>
      </c>
      <c r="E279" s="1">
        <v>5.5543710988532398E-2</v>
      </c>
      <c r="F279" s="1">
        <v>34.459736352143302</v>
      </c>
      <c r="G279" s="1">
        <v>0.95623700102495801</v>
      </c>
      <c r="H279" s="1">
        <v>13.588929244789099</v>
      </c>
      <c r="I279" s="1">
        <v>38.074917687815798</v>
      </c>
      <c r="J279" s="1">
        <v>0.96047828415250902</v>
      </c>
      <c r="K279" s="8">
        <v>14.0316420864613</v>
      </c>
      <c r="L279" s="7">
        <v>33</v>
      </c>
      <c r="M279" s="1">
        <v>5.4152604393477501E-2</v>
      </c>
      <c r="N279" s="1">
        <v>34.7510265196847</v>
      </c>
      <c r="O279" s="1">
        <v>0.960006197804252</v>
      </c>
      <c r="P279" s="1">
        <v>13.9800730569051</v>
      </c>
      <c r="Q279" s="1">
        <v>38.581800967310599</v>
      </c>
      <c r="R279" s="1">
        <v>0.96286786321087503</v>
      </c>
      <c r="S279" s="8">
        <v>14.3025005834119</v>
      </c>
      <c r="T279" s="7"/>
      <c r="U279" s="1"/>
      <c r="V279" s="1"/>
      <c r="W279" s="8"/>
      <c r="X279" s="7"/>
      <c r="Y279" s="1"/>
      <c r="Z279" s="1"/>
      <c r="AA279" s="8"/>
      <c r="AB279" s="7">
        <v>4</v>
      </c>
      <c r="AC279" s="1">
        <v>3.4282461169981099E-2</v>
      </c>
      <c r="AD279" s="1">
        <v>33.883182848193002</v>
      </c>
      <c r="AE279" s="1">
        <v>0.95182391218909801</v>
      </c>
      <c r="AF279" s="1">
        <v>13.1716847023892</v>
      </c>
      <c r="AG279" s="1">
        <v>37.597216331912101</v>
      </c>
      <c r="AH279" s="1">
        <v>0.95458834800340397</v>
      </c>
      <c r="AI279" s="1">
        <v>13.4283269893682</v>
      </c>
      <c r="AJ279" s="1">
        <v>170.82726311683601</v>
      </c>
      <c r="AK279" s="1">
        <v>121.309355735778</v>
      </c>
      <c r="AL279" s="7"/>
      <c r="AM279" s="1"/>
      <c r="AN279" s="1"/>
      <c r="AO279" s="8"/>
      <c r="AP279" s="1"/>
      <c r="AQ279" s="1"/>
      <c r="AR279" s="1"/>
      <c r="AS279" s="8"/>
      <c r="AT279" s="7">
        <v>0.04</v>
      </c>
      <c r="AU279" s="1">
        <v>4.2033344220254502E-2</v>
      </c>
      <c r="AV279" s="1">
        <v>32.520401793736902</v>
      </c>
      <c r="AW279" s="1">
        <v>0.95987322389755303</v>
      </c>
      <c r="AX279" s="1">
        <v>13.9656573129932</v>
      </c>
      <c r="AY279" s="1">
        <v>35.283237442208097</v>
      </c>
      <c r="AZ279" s="1">
        <v>0.96340857731825502</v>
      </c>
      <c r="BA279" s="1">
        <v>14.3662070472985</v>
      </c>
      <c r="BB279" s="1">
        <v>167.63799381256101</v>
      </c>
      <c r="BC279" s="1">
        <v>122.64414882659899</v>
      </c>
      <c r="BD279" s="7"/>
      <c r="BE279" s="1"/>
      <c r="BF279" s="1"/>
      <c r="BG279" s="8"/>
      <c r="BH279" s="1"/>
      <c r="BI279" s="1"/>
      <c r="BJ279" s="1"/>
      <c r="BK279" s="8"/>
    </row>
    <row r="280" spans="1:63">
      <c r="A280" s="49"/>
      <c r="B280" s="7" t="s">
        <v>66</v>
      </c>
      <c r="C280" s="17">
        <v>1.5</v>
      </c>
      <c r="D280" s="7">
        <v>14</v>
      </c>
      <c r="E280" s="1">
        <v>1.41837409679781</v>
      </c>
      <c r="F280" s="1">
        <v>49.4415395239144</v>
      </c>
      <c r="G280" s="1">
        <v>0.99868389767013699</v>
      </c>
      <c r="H280" s="1">
        <v>28.807103420542401</v>
      </c>
      <c r="I280" s="1">
        <v>52.543275257962001</v>
      </c>
      <c r="J280" s="1">
        <v>0.99901163470769905</v>
      </c>
      <c r="K280" s="8">
        <v>30.050825138029701</v>
      </c>
      <c r="L280" s="7">
        <v>12</v>
      </c>
      <c r="M280" s="1">
        <v>1.30399269082633</v>
      </c>
      <c r="N280" s="1">
        <v>47.985566012465497</v>
      </c>
      <c r="O280" s="1">
        <v>0.99835329514231597</v>
      </c>
      <c r="P280" s="1">
        <v>27.833842333532701</v>
      </c>
      <c r="Q280" s="1">
        <v>51.4986703759511</v>
      </c>
      <c r="R280" s="1">
        <v>0.99890615443005903</v>
      </c>
      <c r="S280" s="8">
        <v>29.610439877436399</v>
      </c>
      <c r="T280" s="13">
        <f>bdrate(E280:E283,F280:F283,M280:M283,N280:N283)</f>
        <v>1.2741661164090257E-2</v>
      </c>
      <c r="U280" s="12">
        <f>bdrate(E280:E283,H280:H283,M280:M283,P280:P283)</f>
        <v>-2.2765445674292617E-2</v>
      </c>
      <c r="V280" s="12">
        <f>bdrate(E280:E283,I280:I283,M280:M283,Q280:Q283)</f>
        <v>-3.1081795489981134E-2</v>
      </c>
      <c r="W280" s="14">
        <f>bdrate(E280:E283,K280:K283,M280:M283,S280:S283)</f>
        <v>-4.4113436752496571E-2</v>
      </c>
      <c r="X280" s="13">
        <f>bdrate(E282:E285,F282:F285,M282:M285,N282:N285)</f>
        <v>-0.21866365658040421</v>
      </c>
      <c r="Y280" s="12">
        <f>bdrate(E282:E285,H282:H285,M282:M285,P282:P285)</f>
        <v>-0.22731353872855398</v>
      </c>
      <c r="Z280" s="12">
        <f>bdrate(E282:E285,I282:I285,M282:M285,Q282:Q285)</f>
        <v>-0.22823795318546591</v>
      </c>
      <c r="AA280" s="14">
        <f>bdrate(E282:E285,K282:K285,M282:M285,S282:S285)</f>
        <v>-0.19815240986855109</v>
      </c>
      <c r="AB280" s="7"/>
      <c r="AC280" s="1"/>
      <c r="AD280" s="1"/>
      <c r="AE280" s="1"/>
      <c r="AF280" s="1"/>
      <c r="AG280" s="1"/>
      <c r="AH280" s="1"/>
      <c r="AI280" s="1"/>
      <c r="AJ280" s="1"/>
      <c r="AK280" s="1"/>
      <c r="AL280" s="13" t="e">
        <f>bdrate(E280:E283,F280:F283,AC280:AC283,AD280:AD283)</f>
        <v>#VALUE!</v>
      </c>
      <c r="AM280" s="12" t="e">
        <f>bdrate(E280:E283,H280:H283,AC280:AC283,AF280:AF283)</f>
        <v>#VALUE!</v>
      </c>
      <c r="AN280" s="12" t="e">
        <f>bdrate(E280:E283,I280:I283,AC280:AC283,AG280:AG283)</f>
        <v>#VALUE!</v>
      </c>
      <c r="AO280" s="14" t="e">
        <f>bdrate(E280:E283,K280:K283,AC280:AC283,AI280:AI283)</f>
        <v>#VALUE!</v>
      </c>
      <c r="AP280" s="12">
        <f>bdrate(E282:E285,F282:F285,AC282:AC285,AD282:AD285)</f>
        <v>-0.1636785110460206</v>
      </c>
      <c r="AQ280" s="12">
        <f>bdrate(E282:E285,H282:H285,AC282:AC285,AF282:AF285)</f>
        <v>-0.19344699362840767</v>
      </c>
      <c r="AR280" s="12">
        <f>bdrate(E282:E285,I282:I285,AC282:AC285,AG282:AG285)</f>
        <v>-0.15898991444522148</v>
      </c>
      <c r="AS280" s="14">
        <f>bdrate(E282:E285,K282:K285,AC282:AC285,AI282:AI285)</f>
        <v>-0.11964165431951901</v>
      </c>
      <c r="AT280" s="7"/>
      <c r="AU280" s="1"/>
      <c r="AV280" s="1"/>
      <c r="AW280" s="1"/>
      <c r="AX280" s="1"/>
      <c r="AY280" s="1"/>
      <c r="AZ280" s="1"/>
      <c r="BA280" s="1"/>
      <c r="BB280" s="1"/>
      <c r="BC280" s="1"/>
      <c r="BD280" s="13" t="e">
        <f>bdrate(E280:E283,F280:F283,AU280:AU283,AV280:AV283)</f>
        <v>#VALUE!</v>
      </c>
      <c r="BE280" s="12" t="e">
        <f>bdrate(E280:E283,H280:H283,AU280:AU283,AX280:AX283)</f>
        <v>#VALUE!</v>
      </c>
      <c r="BF280" s="12" t="e">
        <f>bdrate(E280:E283,I280:I283,AU280:AU283,AY280:AY283)</f>
        <v>#VALUE!</v>
      </c>
      <c r="BG280" s="14" t="e">
        <f>bdrate(E280:E283,K280:K283,AU280:AU283,BA280:BA283)</f>
        <v>#VALUE!</v>
      </c>
      <c r="BH280" s="12">
        <f>bdrate(E282:E285,F282:F285,AU282:AU285,AV282:AV285)</f>
        <v>0.15931820758317716</v>
      </c>
      <c r="BI280" s="12">
        <f>bdrate(E282:E285,H282:H285,AU282:AU285,AX282:AX285)</f>
        <v>-0.37248186466690758</v>
      </c>
      <c r="BJ280" s="12">
        <f>bdrate(E282:E285,I282:I285,AU282:AU285,AY282:AY285)</f>
        <v>0.2032270202624018</v>
      </c>
      <c r="BK280" s="14">
        <f>bdrate(E282:E285,K282:K285,AU282:AU285,BA282:BA285)</f>
        <v>-0.36963423626506087</v>
      </c>
    </row>
    <row r="281" spans="1:63">
      <c r="A281" s="49"/>
      <c r="B281" s="7" t="s">
        <v>18</v>
      </c>
      <c r="C281" s="17">
        <v>1</v>
      </c>
      <c r="D281" s="7">
        <v>16</v>
      </c>
      <c r="E281" s="1">
        <v>0.97773576760249503</v>
      </c>
      <c r="F281" s="1">
        <v>47.642000946402902</v>
      </c>
      <c r="G281" s="1">
        <v>0.99788170667013099</v>
      </c>
      <c r="H281" s="1">
        <v>26.740139012999901</v>
      </c>
      <c r="I281" s="1">
        <v>50.725189654317397</v>
      </c>
      <c r="J281" s="1">
        <v>0.99845688158364798</v>
      </c>
      <c r="K281" s="8">
        <v>28.116007456186601</v>
      </c>
      <c r="L281" s="7">
        <v>14</v>
      </c>
      <c r="M281" s="1">
        <v>0.91391776881206999</v>
      </c>
      <c r="N281" s="1">
        <v>46.9129698769515</v>
      </c>
      <c r="O281" s="1">
        <v>0.99768449701020201</v>
      </c>
      <c r="P281" s="1">
        <v>26.353546539048399</v>
      </c>
      <c r="Q281" s="1">
        <v>50.248800708636303</v>
      </c>
      <c r="R281" s="1">
        <v>0.99839441974089205</v>
      </c>
      <c r="S281" s="8">
        <v>27.943679802150601</v>
      </c>
      <c r="T281" s="7"/>
      <c r="U281" s="1"/>
      <c r="V281" s="1"/>
      <c r="W281" s="8"/>
      <c r="X281" s="7"/>
      <c r="Y281" s="1"/>
      <c r="Z281" s="1"/>
      <c r="AA281" s="8"/>
      <c r="AB281" s="7">
        <v>64</v>
      </c>
      <c r="AC281" s="1">
        <v>0.17402507878151199</v>
      </c>
      <c r="AD281" s="1">
        <v>42.543958028799899</v>
      </c>
      <c r="AE281" s="1">
        <v>0.99406321152739996</v>
      </c>
      <c r="AF281" s="1">
        <v>22.264484246834101</v>
      </c>
      <c r="AG281" s="1">
        <v>45.546992104831602</v>
      </c>
      <c r="AH281" s="1">
        <v>0.995904514966655</v>
      </c>
      <c r="AI281" s="1">
        <v>23.876946568263801</v>
      </c>
      <c r="AJ281" s="1">
        <v>622.54302525520302</v>
      </c>
      <c r="AK281" s="1">
        <v>259.392791986465</v>
      </c>
      <c r="AL281" s="7"/>
      <c r="AM281" s="1"/>
      <c r="AN281" s="1"/>
      <c r="AO281" s="8"/>
      <c r="AP281" s="1"/>
      <c r="AQ281" s="1"/>
      <c r="AR281" s="1"/>
      <c r="AS281" s="8"/>
      <c r="AT281" s="7">
        <v>0.64</v>
      </c>
      <c r="AU281" s="1">
        <v>0.18729011490959999</v>
      </c>
      <c r="AV281" s="1">
        <v>41.584668367258303</v>
      </c>
      <c r="AW281" s="1">
        <v>0.99554878249312295</v>
      </c>
      <c r="AX281" s="1">
        <v>23.515211835812298</v>
      </c>
      <c r="AY281" s="1">
        <v>44.337287955191002</v>
      </c>
      <c r="AZ281" s="1">
        <v>0.99687793422719395</v>
      </c>
      <c r="BA281" s="1">
        <v>25.055579518611498</v>
      </c>
      <c r="BB281" s="1">
        <v>264.932713031768</v>
      </c>
      <c r="BC281" s="1">
        <v>182.053551912307</v>
      </c>
      <c r="BD281" s="7"/>
      <c r="BE281" s="1"/>
      <c r="BF281" s="1"/>
      <c r="BG281" s="8"/>
      <c r="BH281" s="1"/>
      <c r="BI281" s="1"/>
      <c r="BJ281" s="1"/>
      <c r="BK281" s="8"/>
    </row>
    <row r="282" spans="1:63">
      <c r="A282" s="49"/>
      <c r="B282" s="7" t="s">
        <v>18</v>
      </c>
      <c r="C282" s="17">
        <v>0.5</v>
      </c>
      <c r="D282" s="7">
        <v>21</v>
      </c>
      <c r="E282" s="1">
        <v>0.47153023141074601</v>
      </c>
      <c r="F282" s="1">
        <v>45.140271090067898</v>
      </c>
      <c r="G282" s="1">
        <v>0.996361672261311</v>
      </c>
      <c r="H282" s="1">
        <v>24.390981824872</v>
      </c>
      <c r="I282" s="1">
        <v>48.194206816674303</v>
      </c>
      <c r="J282" s="1">
        <v>0.99744379022718899</v>
      </c>
      <c r="K282" s="8">
        <v>25.924035091068699</v>
      </c>
      <c r="L282" s="7">
        <v>18</v>
      </c>
      <c r="M282" s="1">
        <v>0.47747564935064901</v>
      </c>
      <c r="N282" s="1">
        <v>45.243221848159799</v>
      </c>
      <c r="O282" s="1">
        <v>0.99647112001188498</v>
      </c>
      <c r="P282" s="1">
        <v>24.5236311108916</v>
      </c>
      <c r="Q282" s="1">
        <v>48.422219346174003</v>
      </c>
      <c r="R282" s="1">
        <v>0.99750614172434204</v>
      </c>
      <c r="S282" s="8">
        <v>26.031282308289001</v>
      </c>
      <c r="T282" s="7"/>
      <c r="U282" s="1"/>
      <c r="V282" s="1"/>
      <c r="W282" s="8"/>
      <c r="X282" s="7"/>
      <c r="Y282" s="1"/>
      <c r="Z282" s="1"/>
      <c r="AA282" s="8"/>
      <c r="AB282" s="7">
        <v>32</v>
      </c>
      <c r="AC282" s="1">
        <v>0.14056979325821201</v>
      </c>
      <c r="AD282" s="1">
        <v>41.167368242652898</v>
      </c>
      <c r="AE282" s="1">
        <v>0.99259717893195898</v>
      </c>
      <c r="AF282" s="1">
        <v>21.306027477272799</v>
      </c>
      <c r="AG282" s="1">
        <v>44.201119244101903</v>
      </c>
      <c r="AH282" s="1">
        <v>0.99466057341270298</v>
      </c>
      <c r="AI282" s="1">
        <v>22.725053803018799</v>
      </c>
      <c r="AJ282" s="1">
        <v>581.54307126998901</v>
      </c>
      <c r="AK282" s="1">
        <v>324.54518771171502</v>
      </c>
      <c r="AL282" s="7"/>
      <c r="AM282" s="1"/>
      <c r="AN282" s="1"/>
      <c r="AO282" s="8"/>
      <c r="AP282" s="1"/>
      <c r="AQ282" s="1"/>
      <c r="AR282" s="1"/>
      <c r="AS282" s="8"/>
      <c r="AT282" s="7">
        <v>0.32</v>
      </c>
      <c r="AU282" s="1">
        <v>0.13194759437865999</v>
      </c>
      <c r="AV282" s="1">
        <v>40.202996008990098</v>
      </c>
      <c r="AW282" s="1">
        <v>0.99404522200895695</v>
      </c>
      <c r="AX282" s="1">
        <v>22.251344254595502</v>
      </c>
      <c r="AY282" s="1">
        <v>42.906470946666403</v>
      </c>
      <c r="AZ282" s="1">
        <v>0.995858353794565</v>
      </c>
      <c r="BA282" s="1">
        <v>23.82827002881</v>
      </c>
      <c r="BB282" s="1">
        <v>388.223010301589</v>
      </c>
      <c r="BC282" s="1">
        <v>223.35421848297099</v>
      </c>
      <c r="BD282" s="7"/>
      <c r="BE282" s="1"/>
      <c r="BF282" s="1"/>
      <c r="BG282" s="8"/>
      <c r="BH282" s="1"/>
      <c r="BI282" s="1"/>
      <c r="BJ282" s="1"/>
      <c r="BK282" s="8"/>
    </row>
    <row r="283" spans="1:63">
      <c r="A283" s="49"/>
      <c r="B283" s="7" t="s">
        <v>18</v>
      </c>
      <c r="C283" s="17">
        <v>0.25</v>
      </c>
      <c r="D283" s="7">
        <v>27</v>
      </c>
      <c r="E283" s="1">
        <v>0.240763066590272</v>
      </c>
      <c r="F283" s="1">
        <v>42.7889347912323</v>
      </c>
      <c r="G283" s="1">
        <v>0.99413286650872901</v>
      </c>
      <c r="H283" s="1">
        <v>22.315740304366901</v>
      </c>
      <c r="I283" s="1">
        <v>45.810424709638198</v>
      </c>
      <c r="J283" s="1">
        <v>0.99597347579308504</v>
      </c>
      <c r="K283" s="8">
        <v>23.950696856444601</v>
      </c>
      <c r="L283" s="7">
        <v>24</v>
      </c>
      <c r="M283" s="1">
        <v>0.22771189441685699</v>
      </c>
      <c r="N283" s="1">
        <v>43.328142268970097</v>
      </c>
      <c r="O283" s="1">
        <v>0.99484067682434296</v>
      </c>
      <c r="P283" s="1">
        <v>22.874072674341999</v>
      </c>
      <c r="Q283" s="1">
        <v>46.427901567458498</v>
      </c>
      <c r="R283" s="1">
        <v>0.99640834371655995</v>
      </c>
      <c r="S283" s="8">
        <v>24.447052314000299</v>
      </c>
      <c r="T283" s="7"/>
      <c r="U283" s="1"/>
      <c r="V283" s="1"/>
      <c r="W283" s="8"/>
      <c r="X283" s="7"/>
      <c r="Y283" s="1"/>
      <c r="Z283" s="1"/>
      <c r="AA283" s="8"/>
      <c r="AB283" s="7">
        <v>16</v>
      </c>
      <c r="AC283" s="1">
        <v>9.6657057709447394E-2</v>
      </c>
      <c r="AD283" s="1">
        <v>39.895129932439801</v>
      </c>
      <c r="AE283" s="1">
        <v>0.98989174358331899</v>
      </c>
      <c r="AF283" s="1">
        <v>19.953237498410601</v>
      </c>
      <c r="AG283" s="1">
        <v>42.843919941539099</v>
      </c>
      <c r="AH283" s="1">
        <v>0.99231176606846705</v>
      </c>
      <c r="AI283" s="1">
        <v>21.141734107677099</v>
      </c>
      <c r="AJ283" s="1">
        <v>279.66889429092402</v>
      </c>
      <c r="AK283" s="1">
        <v>200.26429295539799</v>
      </c>
      <c r="AL283" s="7"/>
      <c r="AM283" s="1"/>
      <c r="AN283" s="1"/>
      <c r="AO283" s="8"/>
      <c r="AP283" s="1"/>
      <c r="AQ283" s="1"/>
      <c r="AR283" s="1"/>
      <c r="AS283" s="8"/>
      <c r="AT283" s="7">
        <v>0.16</v>
      </c>
      <c r="AU283" s="1">
        <v>9.3677883085052205E-2</v>
      </c>
      <c r="AV283" s="1">
        <v>37.9895249855362</v>
      </c>
      <c r="AW283" s="1">
        <v>0.99179530644809599</v>
      </c>
      <c r="AX283" s="1">
        <v>20.859376353546399</v>
      </c>
      <c r="AY283" s="1">
        <v>40.7813546344779</v>
      </c>
      <c r="AZ283" s="1">
        <v>0.99425049059206205</v>
      </c>
      <c r="BA283" s="1">
        <v>22.403692110521799</v>
      </c>
      <c r="BB283" s="1">
        <v>278.00057125091502</v>
      </c>
      <c r="BC283" s="1">
        <v>212.49501276016201</v>
      </c>
      <c r="BD283" s="7"/>
      <c r="BE283" s="1"/>
      <c r="BF283" s="1"/>
      <c r="BG283" s="8"/>
      <c r="BH283" s="1"/>
      <c r="BI283" s="1"/>
      <c r="BJ283" s="1"/>
      <c r="BK283" s="8"/>
    </row>
    <row r="284" spans="1:63">
      <c r="A284" s="49"/>
      <c r="B284" s="7" t="s">
        <v>18</v>
      </c>
      <c r="C284" s="17">
        <v>0.12</v>
      </c>
      <c r="D284" s="7">
        <v>34</v>
      </c>
      <c r="E284" s="1">
        <v>0.112057251878023</v>
      </c>
      <c r="F284" s="1">
        <v>39.592672300180702</v>
      </c>
      <c r="G284" s="1">
        <v>0.98894990474005495</v>
      </c>
      <c r="H284" s="1">
        <v>19.566339780250299</v>
      </c>
      <c r="I284" s="1">
        <v>42.573697494346</v>
      </c>
      <c r="J284" s="1">
        <v>0.99219775603286198</v>
      </c>
      <c r="K284" s="8">
        <v>21.077804739261701</v>
      </c>
      <c r="L284" s="7">
        <v>30</v>
      </c>
      <c r="M284" s="1">
        <v>0.11985731792717</v>
      </c>
      <c r="N284" s="1">
        <v>41.135639887064201</v>
      </c>
      <c r="O284" s="1">
        <v>0.991860253496888</v>
      </c>
      <c r="P284" s="1">
        <v>20.893891201739802</v>
      </c>
      <c r="Q284" s="1">
        <v>44.156239302589398</v>
      </c>
      <c r="R284" s="1">
        <v>0.99409189920539698</v>
      </c>
      <c r="S284" s="8">
        <v>22.285521040564099</v>
      </c>
      <c r="T284" s="7"/>
      <c r="U284" s="1"/>
      <c r="V284" s="1"/>
      <c r="W284" s="8"/>
      <c r="X284" s="7"/>
      <c r="Y284" s="1"/>
      <c r="Z284" s="1"/>
      <c r="AA284" s="8"/>
      <c r="AB284" s="7">
        <v>8</v>
      </c>
      <c r="AC284" s="1">
        <v>7.3269293512859601E-2</v>
      </c>
      <c r="AD284" s="1">
        <v>38.474766730110296</v>
      </c>
      <c r="AE284" s="1">
        <v>0.98659767515825803</v>
      </c>
      <c r="AF284" s="1">
        <v>18.728198599662701</v>
      </c>
      <c r="AG284" s="1">
        <v>41.402378766558101</v>
      </c>
      <c r="AH284" s="1">
        <v>0.989415530347177</v>
      </c>
      <c r="AI284" s="1">
        <v>19.7533089793017</v>
      </c>
      <c r="AJ284" s="1">
        <v>256.33309531211802</v>
      </c>
      <c r="AK284" s="1">
        <v>184.744194746017</v>
      </c>
      <c r="AL284" s="7"/>
      <c r="AM284" s="1"/>
      <c r="AN284" s="1"/>
      <c r="AO284" s="8"/>
      <c r="AP284" s="1"/>
      <c r="AQ284" s="1"/>
      <c r="AR284" s="1"/>
      <c r="AS284" s="8"/>
      <c r="AT284" s="7">
        <v>0.08</v>
      </c>
      <c r="AU284" s="1">
        <v>6.7853064521262996E-2</v>
      </c>
      <c r="AV284" s="1">
        <v>35.7035947338657</v>
      </c>
      <c r="AW284" s="1">
        <v>0.98817848177139</v>
      </c>
      <c r="AX284" s="1">
        <v>19.2732674376226</v>
      </c>
      <c r="AY284" s="1">
        <v>38.630778420953497</v>
      </c>
      <c r="AZ284" s="1">
        <v>0.99162792907743402</v>
      </c>
      <c r="BA284" s="1">
        <v>20.771671012664299</v>
      </c>
      <c r="BB284" s="1">
        <v>253.132645606994</v>
      </c>
      <c r="BC284" s="1">
        <v>188.968869924545</v>
      </c>
      <c r="BD284" s="7"/>
      <c r="BE284" s="1"/>
      <c r="BF284" s="1"/>
      <c r="BG284" s="8"/>
      <c r="BH284" s="1"/>
      <c r="BI284" s="1"/>
      <c r="BJ284" s="1"/>
      <c r="BK284" s="8"/>
    </row>
    <row r="285" spans="1:63">
      <c r="A285" s="49"/>
      <c r="B285" s="7" t="s">
        <v>18</v>
      </c>
      <c r="C285" s="17">
        <v>0.06</v>
      </c>
      <c r="D285" s="7">
        <v>40</v>
      </c>
      <c r="E285" s="1">
        <v>5.7315042494270399E-2</v>
      </c>
      <c r="F285" s="1">
        <v>36.417233526624699</v>
      </c>
      <c r="G285" s="1">
        <v>0.98010972504949501</v>
      </c>
      <c r="H285" s="1">
        <v>17.013592134234901</v>
      </c>
      <c r="I285" s="1">
        <v>39.357436439220699</v>
      </c>
      <c r="J285" s="1">
        <v>0.98511254287517103</v>
      </c>
      <c r="K285" s="8">
        <v>18.271794762549</v>
      </c>
      <c r="L285" s="7">
        <v>37</v>
      </c>
      <c r="M285" s="1">
        <v>5.5797603132161901E-2</v>
      </c>
      <c r="N285" s="1">
        <v>37.813954694898499</v>
      </c>
      <c r="O285" s="1">
        <v>0.984498137571999</v>
      </c>
      <c r="P285" s="1">
        <v>18.096161215965601</v>
      </c>
      <c r="Q285" s="1">
        <v>40.752508013751999</v>
      </c>
      <c r="R285" s="1">
        <v>0.98813619301270905</v>
      </c>
      <c r="S285" s="8">
        <v>19.257759274750001</v>
      </c>
      <c r="T285" s="7"/>
      <c r="U285" s="1"/>
      <c r="V285" s="1"/>
      <c r="W285" s="8"/>
      <c r="X285" s="7"/>
      <c r="Y285" s="1"/>
      <c r="Z285" s="1"/>
      <c r="AA285" s="8"/>
      <c r="AB285" s="7">
        <v>4</v>
      </c>
      <c r="AC285" s="1">
        <v>5.4548737108479697E-2</v>
      </c>
      <c r="AD285" s="1">
        <v>36.807194471592702</v>
      </c>
      <c r="AE285" s="1">
        <v>0.98145738929272497</v>
      </c>
      <c r="AF285" s="1">
        <v>17.318291193856101</v>
      </c>
      <c r="AG285" s="1">
        <v>39.729785174000902</v>
      </c>
      <c r="AH285" s="1">
        <v>0.984693846221535</v>
      </c>
      <c r="AI285" s="1">
        <v>18.151339276978501</v>
      </c>
      <c r="AJ285" s="1">
        <v>243.61374783515899</v>
      </c>
      <c r="AK285" s="1">
        <v>184.098685979843</v>
      </c>
      <c r="AL285" s="7"/>
      <c r="AM285" s="1"/>
      <c r="AN285" s="1"/>
      <c r="AO285" s="8"/>
      <c r="AP285" s="1"/>
      <c r="AQ285" s="1"/>
      <c r="AR285" s="1"/>
      <c r="AS285" s="8"/>
      <c r="AT285" s="7">
        <v>0.04</v>
      </c>
      <c r="AU285" s="1">
        <v>4.9002200311942898E-2</v>
      </c>
      <c r="AV285" s="1">
        <v>32.8497449528979</v>
      </c>
      <c r="AW285" s="1">
        <v>0.98294298796655799</v>
      </c>
      <c r="AX285" s="1">
        <v>17.680970441556301</v>
      </c>
      <c r="AY285" s="1">
        <v>36.108177128740799</v>
      </c>
      <c r="AZ285" s="1">
        <v>0.98769041171580696</v>
      </c>
      <c r="BA285" s="1">
        <v>19.097564725677302</v>
      </c>
      <c r="BB285" s="1">
        <v>256.962676525115</v>
      </c>
      <c r="BC285" s="1">
        <v>195.986176252365</v>
      </c>
      <c r="BD285" s="7"/>
      <c r="BE285" s="1"/>
      <c r="BF285" s="1"/>
      <c r="BG285" s="8"/>
      <c r="BH285" s="1"/>
      <c r="BI285" s="1"/>
      <c r="BJ285" s="1"/>
      <c r="BK285" s="8"/>
    </row>
    <row r="286" spans="1:63">
      <c r="A286" s="49"/>
      <c r="B286" s="7" t="s">
        <v>67</v>
      </c>
      <c r="C286" s="17">
        <v>1.5</v>
      </c>
      <c r="D286" s="7">
        <v>24</v>
      </c>
      <c r="E286" s="1">
        <v>1.3727825010520101</v>
      </c>
      <c r="F286" s="1">
        <v>40.471607860175801</v>
      </c>
      <c r="G286" s="1">
        <v>0.99561201901221597</v>
      </c>
      <c r="H286" s="1">
        <v>23.5773526280162</v>
      </c>
      <c r="I286" s="1">
        <v>43.9269267672654</v>
      </c>
      <c r="J286" s="1">
        <v>0.997533815753053</v>
      </c>
      <c r="K286" s="8">
        <v>26.079744806830298</v>
      </c>
      <c r="L286" s="7">
        <v>20</v>
      </c>
      <c r="M286" s="1">
        <v>1.4151816610763599</v>
      </c>
      <c r="N286" s="1">
        <v>42.202514925495301</v>
      </c>
      <c r="O286" s="1">
        <v>0.99705198934780503</v>
      </c>
      <c r="P286" s="1">
        <v>25.3047095155218</v>
      </c>
      <c r="Q286" s="1">
        <v>45.745213054694503</v>
      </c>
      <c r="R286" s="1">
        <v>0.99826763116040595</v>
      </c>
      <c r="S286" s="8">
        <v>27.613596365989999</v>
      </c>
      <c r="T286" s="13">
        <f>bdrate(E286:E289,F286:F289,M286:M289,N286:N289)</f>
        <v>-0.27066672275557069</v>
      </c>
      <c r="U286" s="12">
        <f>bdrate(E286:E289,H286:H289,M286:M289,P286:P289)</f>
        <v>-0.30301324145800479</v>
      </c>
      <c r="V286" s="12">
        <f>bdrate(E286:E289,I286:I289,M286:M289,Q286:Q289)</f>
        <v>-0.25994693464949914</v>
      </c>
      <c r="W286" s="14">
        <f>bdrate(E286:E289,K286:K289,M286:M289,S286:S289)</f>
        <v>-0.19726353361905657</v>
      </c>
      <c r="X286" s="13">
        <f>bdrate(E288:E291,F288:F291,M288:M291,N288:N291)</f>
        <v>-0.28364202911231795</v>
      </c>
      <c r="Y286" s="12">
        <f>bdrate(E288:E291,H288:H291,M288:M291,P288:P291)</f>
        <v>-0.29705724259403576</v>
      </c>
      <c r="Z286" s="12">
        <f>bdrate(E288:E291,I288:I291,M288:M291,Q288:Q291)</f>
        <v>-0.28369111482576415</v>
      </c>
      <c r="AA286" s="14">
        <f>bdrate(E288:E291,K288:K291,M288:M291,S288:S291)</f>
        <v>-0.20152435747331976</v>
      </c>
      <c r="AB286" s="7"/>
      <c r="AC286" s="1"/>
      <c r="AD286" s="1"/>
      <c r="AE286" s="1"/>
      <c r="AF286" s="1"/>
      <c r="AG286" s="1"/>
      <c r="AH286" s="1"/>
      <c r="AI286" s="1"/>
      <c r="AJ286" s="1"/>
      <c r="AK286" s="1"/>
      <c r="AL286" s="13" t="e">
        <f>bdrate(E286:E289,F286:F289,AC286:AC289,AD286:AD289)</f>
        <v>#VALUE!</v>
      </c>
      <c r="AM286" s="12" t="e">
        <f>bdrate(E286:E289,H286:H289,AC286:AC289,AF286:AF289)</f>
        <v>#VALUE!</v>
      </c>
      <c r="AN286" s="12" t="e">
        <f>bdrate(E286:E289,I286:I289,AC286:AC289,AG286:AG289)</f>
        <v>#VALUE!</v>
      </c>
      <c r="AO286" s="14" t="e">
        <f>bdrate(E286:E289,K286:K289,AC286:AC289,AI286:AI289)</f>
        <v>#VALUE!</v>
      </c>
      <c r="AP286" s="12">
        <f>bdrate(E288:E291,F288:F291,AC288:AC291,AD288:AD291)</f>
        <v>-0.33266232493386028</v>
      </c>
      <c r="AQ286" s="12">
        <f>bdrate(E288:E291,H288:H291,AC288:AC291,AF288:AF291)</f>
        <v>-0.40694169872051</v>
      </c>
      <c r="AR286" s="12">
        <f>bdrate(E288:E291,I288:I291,AC288:AC291,AG288:AG291)</f>
        <v>-0.32519771764725791</v>
      </c>
      <c r="AS286" s="14">
        <f>bdrate(E288:E291,K288:K291,AC288:AC291,AI288:AI291)</f>
        <v>-0.28472970187946067</v>
      </c>
      <c r="AT286" s="7"/>
      <c r="AU286" s="1"/>
      <c r="AV286" s="1"/>
      <c r="AW286" s="1"/>
      <c r="AX286" s="1"/>
      <c r="AY286" s="1"/>
      <c r="AZ286" s="1"/>
      <c r="BA286" s="1"/>
      <c r="BB286" s="1"/>
      <c r="BC286" s="1"/>
      <c r="BD286" s="13" t="e">
        <f>bdrate(E286:E289,F286:F289,AU286:AU289,AV286:AV289)</f>
        <v>#VALUE!</v>
      </c>
      <c r="BE286" s="12" t="e">
        <f>bdrate(E286:E289,H286:H289,AU286:AU289,AX286:AX289)</f>
        <v>#VALUE!</v>
      </c>
      <c r="BF286" s="12" t="e">
        <f>bdrate(E286:E289,I286:I289,AU286:AU289,AY286:AY289)</f>
        <v>#VALUE!</v>
      </c>
      <c r="BG286" s="14" t="e">
        <f>bdrate(E286:E289,K286:K289,AU286:AU289,BA286:BA289)</f>
        <v>#VALUE!</v>
      </c>
      <c r="BH286" s="12">
        <f>bdrate(E288:E291,F288:F291,AU288:AU291,AV288:AV291)</f>
        <v>-9.5467527606452607E-2</v>
      </c>
      <c r="BI286" s="12">
        <f>bdrate(E288:E291,H288:H291,AU288:AU291,AX288:AX291)</f>
        <v>-0.58751448612895296</v>
      </c>
      <c r="BJ286" s="12">
        <f>bdrate(E288:E291,I288:I291,AU288:AU291,AY288:AY291)</f>
        <v>-5.8167714784036928E-2</v>
      </c>
      <c r="BK286" s="14">
        <f>bdrate(E288:E291,K288:K291,AU288:AU291,BA288:BA291)</f>
        <v>-0.51257771805972874</v>
      </c>
    </row>
    <row r="287" spans="1:63">
      <c r="A287" s="49"/>
      <c r="B287" s="7" t="s">
        <v>18</v>
      </c>
      <c r="C287" s="17">
        <v>1</v>
      </c>
      <c r="D287" s="7">
        <v>28</v>
      </c>
      <c r="E287" s="1">
        <v>0.90421172615813195</v>
      </c>
      <c r="F287" s="1">
        <v>37.856921528748401</v>
      </c>
      <c r="G287" s="1">
        <v>0.99251456461990795</v>
      </c>
      <c r="H287" s="1">
        <v>21.2578293444286</v>
      </c>
      <c r="I287" s="1">
        <v>41.166257239201201</v>
      </c>
      <c r="J287" s="1">
        <v>0.99550117003954597</v>
      </c>
      <c r="K287" s="8">
        <v>23.469004212893001</v>
      </c>
      <c r="L287" s="7">
        <v>24</v>
      </c>
      <c r="M287" s="1">
        <v>0.94515155105425896</v>
      </c>
      <c r="N287" s="1">
        <v>39.843649929394203</v>
      </c>
      <c r="O287" s="1">
        <v>0.99526307386136703</v>
      </c>
      <c r="P287" s="1">
        <v>23.245033870336002</v>
      </c>
      <c r="Q287" s="1">
        <v>43.167900335553703</v>
      </c>
      <c r="R287" s="1">
        <v>0.99684944162226297</v>
      </c>
      <c r="S287" s="8">
        <v>25.016124687884499</v>
      </c>
      <c r="T287" s="7"/>
      <c r="U287" s="1"/>
      <c r="V287" s="1"/>
      <c r="W287" s="8"/>
      <c r="X287" s="7"/>
      <c r="Y287" s="1"/>
      <c r="Z287" s="1"/>
      <c r="AA287" s="8"/>
      <c r="AB287" s="7">
        <v>64</v>
      </c>
      <c r="AC287" s="1">
        <v>0.62251592317654603</v>
      </c>
      <c r="AD287" s="1">
        <v>37.982400089524297</v>
      </c>
      <c r="AE287" s="1">
        <v>0.99387262914198404</v>
      </c>
      <c r="AF287" s="1">
        <v>22.127258332774201</v>
      </c>
      <c r="AG287" s="1">
        <v>41.101695758926098</v>
      </c>
      <c r="AH287" s="1">
        <v>0.99572308054115999</v>
      </c>
      <c r="AI287" s="1">
        <v>23.688689281184001</v>
      </c>
      <c r="AJ287" s="1">
        <v>421.23977494239801</v>
      </c>
      <c r="AK287" s="1">
        <v>171.2529296875</v>
      </c>
      <c r="AL287" s="7"/>
      <c r="AM287" s="1"/>
      <c r="AN287" s="1"/>
      <c r="AO287" s="8"/>
      <c r="AP287" s="1"/>
      <c r="AQ287" s="1"/>
      <c r="AR287" s="1"/>
      <c r="AS287" s="8"/>
      <c r="AT287" s="7">
        <v>0.64</v>
      </c>
      <c r="AU287" s="1">
        <v>0.431619200143809</v>
      </c>
      <c r="AV287" s="1">
        <v>33.691470908054903</v>
      </c>
      <c r="AW287" s="1">
        <v>0.99475142551953399</v>
      </c>
      <c r="AX287" s="1">
        <v>22.7995863551475</v>
      </c>
      <c r="AY287" s="1">
        <v>36.5926857274996</v>
      </c>
      <c r="AZ287" s="1">
        <v>0.99602804145653601</v>
      </c>
      <c r="BA287" s="1">
        <v>24.009952930162498</v>
      </c>
      <c r="BB287" s="1">
        <v>172.96680164337101</v>
      </c>
      <c r="BC287" s="1">
        <v>114.79992198943999</v>
      </c>
      <c r="BD287" s="7"/>
      <c r="BE287" s="1"/>
      <c r="BF287" s="1"/>
      <c r="BG287" s="8"/>
      <c r="BH287" s="1"/>
      <c r="BI287" s="1"/>
      <c r="BJ287" s="1"/>
      <c r="BK287" s="8"/>
    </row>
    <row r="288" spans="1:63">
      <c r="A288" s="49"/>
      <c r="B288" s="7" t="s">
        <v>18</v>
      </c>
      <c r="C288" s="17">
        <v>0.5</v>
      </c>
      <c r="D288" s="7">
        <v>34</v>
      </c>
      <c r="E288" s="1">
        <v>0.46129125828842699</v>
      </c>
      <c r="F288" s="1">
        <v>34.078114628146601</v>
      </c>
      <c r="G288" s="1">
        <v>0.98372754545212304</v>
      </c>
      <c r="H288" s="1">
        <v>17.885469328531599</v>
      </c>
      <c r="I288" s="1">
        <v>37.234263994617002</v>
      </c>
      <c r="J288" s="1">
        <v>0.98941618531976605</v>
      </c>
      <c r="K288" s="8">
        <v>19.753577731343</v>
      </c>
      <c r="L288" s="7">
        <v>30</v>
      </c>
      <c r="M288" s="1">
        <v>0.49981983012554598</v>
      </c>
      <c r="N288" s="1">
        <v>36.278061945718797</v>
      </c>
      <c r="O288" s="1">
        <v>0.99025350585888405</v>
      </c>
      <c r="P288" s="1">
        <v>20.111515739397898</v>
      </c>
      <c r="Q288" s="1">
        <v>39.424276042355402</v>
      </c>
      <c r="R288" s="1">
        <v>0.99275610854810104</v>
      </c>
      <c r="S288" s="8">
        <v>21.400280661153602</v>
      </c>
      <c r="T288" s="7"/>
      <c r="U288" s="1"/>
      <c r="V288" s="1"/>
      <c r="W288" s="8"/>
      <c r="X288" s="7"/>
      <c r="Y288" s="1"/>
      <c r="Z288" s="1"/>
      <c r="AA288" s="8"/>
      <c r="AB288" s="7">
        <v>32</v>
      </c>
      <c r="AC288" s="1">
        <v>0.46026498453643999</v>
      </c>
      <c r="AD288" s="1">
        <v>36.231655232429603</v>
      </c>
      <c r="AE288" s="1">
        <v>0.99140907936341305</v>
      </c>
      <c r="AF288" s="1">
        <v>20.659602929830498</v>
      </c>
      <c r="AG288" s="1">
        <v>39.316591182435502</v>
      </c>
      <c r="AH288" s="1">
        <v>0.99356568241368404</v>
      </c>
      <c r="AI288" s="1">
        <v>21.9149750691235</v>
      </c>
      <c r="AJ288" s="1">
        <v>318.788925886154</v>
      </c>
      <c r="AK288" s="1">
        <v>195.619789600372</v>
      </c>
      <c r="AL288" s="7"/>
      <c r="AM288" s="1"/>
      <c r="AN288" s="1"/>
      <c r="AO288" s="8"/>
      <c r="AP288" s="1"/>
      <c r="AQ288" s="1"/>
      <c r="AR288" s="1"/>
      <c r="AS288" s="8"/>
      <c r="AT288" s="7">
        <v>0.32</v>
      </c>
      <c r="AU288" s="1">
        <v>0.31871274548655998</v>
      </c>
      <c r="AV288" s="1">
        <v>32.505791196846602</v>
      </c>
      <c r="AW288" s="1">
        <v>0.99197327233579502</v>
      </c>
      <c r="AX288" s="1">
        <v>20.9546147178587</v>
      </c>
      <c r="AY288" s="1">
        <v>35.386199154480799</v>
      </c>
      <c r="AZ288" s="1">
        <v>0.99374459060446196</v>
      </c>
      <c r="BA288" s="1">
        <v>22.037442619250601</v>
      </c>
      <c r="BB288" s="1">
        <v>259.413821935653</v>
      </c>
      <c r="BC288" s="1">
        <v>141.11033701896599</v>
      </c>
      <c r="BD288" s="7"/>
      <c r="BE288" s="1"/>
      <c r="BF288" s="1"/>
      <c r="BG288" s="8"/>
      <c r="BH288" s="1"/>
      <c r="BI288" s="1"/>
      <c r="BJ288" s="1"/>
      <c r="BK288" s="8"/>
    </row>
    <row r="289" spans="1:63">
      <c r="A289" s="49"/>
      <c r="B289" s="7" t="s">
        <v>18</v>
      </c>
      <c r="C289" s="17">
        <v>0.25</v>
      </c>
      <c r="D289" s="7">
        <v>40</v>
      </c>
      <c r="E289" s="1">
        <v>0.22342371787276899</v>
      </c>
      <c r="F289" s="1">
        <v>30.462771331189</v>
      </c>
      <c r="G289" s="1">
        <v>0.96434157308471402</v>
      </c>
      <c r="H289" s="1">
        <v>14.478378198000399</v>
      </c>
      <c r="I289" s="1">
        <v>33.527989417135103</v>
      </c>
      <c r="J289" s="1">
        <v>0.97435782290540895</v>
      </c>
      <c r="K289" s="8">
        <v>15.9104510473713</v>
      </c>
      <c r="L289" s="7">
        <v>37</v>
      </c>
      <c r="M289" s="1">
        <v>0.22323170009273999</v>
      </c>
      <c r="N289" s="1">
        <v>32.102516364848398</v>
      </c>
      <c r="O289" s="1">
        <v>0.97599825289328601</v>
      </c>
      <c r="P289" s="1">
        <v>16.197571444888499</v>
      </c>
      <c r="Q289" s="1">
        <v>35.167534356095899</v>
      </c>
      <c r="R289" s="1">
        <v>0.98042489567607205</v>
      </c>
      <c r="S289" s="8">
        <v>17.082959147267101</v>
      </c>
      <c r="T289" s="7"/>
      <c r="U289" s="1"/>
      <c r="V289" s="1"/>
      <c r="W289" s="8"/>
      <c r="X289" s="7"/>
      <c r="Y289" s="1"/>
      <c r="Z289" s="1"/>
      <c r="AA289" s="8"/>
      <c r="AB289" s="7">
        <v>16</v>
      </c>
      <c r="AC289" s="1">
        <v>0.32873689070102802</v>
      </c>
      <c r="AD289" s="1">
        <v>34.495230268911897</v>
      </c>
      <c r="AE289" s="1">
        <v>0.98724958284525699</v>
      </c>
      <c r="AF289" s="1">
        <v>18.944756062073498</v>
      </c>
      <c r="AG289" s="1">
        <v>37.535967285980398</v>
      </c>
      <c r="AH289" s="1">
        <v>0.98970731385604205</v>
      </c>
      <c r="AI289" s="1">
        <v>19.8747127001301</v>
      </c>
      <c r="AJ289" s="1">
        <v>183.569120883941</v>
      </c>
      <c r="AK289" s="1">
        <v>121.95117521285999</v>
      </c>
      <c r="AL289" s="7"/>
      <c r="AM289" s="1"/>
      <c r="AN289" s="1"/>
      <c r="AO289" s="8"/>
      <c r="AP289" s="1"/>
      <c r="AQ289" s="1"/>
      <c r="AR289" s="1"/>
      <c r="AS289" s="8"/>
      <c r="AT289" s="7">
        <v>0.16</v>
      </c>
      <c r="AU289" s="1">
        <v>0.22930436452328501</v>
      </c>
      <c r="AV289" s="1">
        <v>31.082679429173599</v>
      </c>
      <c r="AW289" s="1">
        <v>0.98763149557303598</v>
      </c>
      <c r="AX289" s="1">
        <v>19.076828111537701</v>
      </c>
      <c r="AY289" s="1">
        <v>33.956473946650299</v>
      </c>
      <c r="AZ289" s="1">
        <v>0.99006137349822598</v>
      </c>
      <c r="BA289" s="1">
        <v>20.026736300812001</v>
      </c>
      <c r="BB289" s="1">
        <v>175.664768934249</v>
      </c>
      <c r="BC289" s="1">
        <v>127.332811594009</v>
      </c>
      <c r="BD289" s="7"/>
      <c r="BE289" s="1"/>
      <c r="BF289" s="1"/>
      <c r="BG289" s="8"/>
      <c r="BH289" s="1"/>
      <c r="BI289" s="1"/>
      <c r="BJ289" s="1"/>
      <c r="BK289" s="8"/>
    </row>
    <row r="290" spans="1:63">
      <c r="A290" s="49"/>
      <c r="B290" s="7" t="s">
        <v>18</v>
      </c>
      <c r="C290" s="17">
        <v>0.12</v>
      </c>
      <c r="D290" s="7">
        <v>45</v>
      </c>
      <c r="E290" s="1">
        <v>0.116643038946925</v>
      </c>
      <c r="F290" s="1">
        <v>27.574284740003201</v>
      </c>
      <c r="G290" s="1">
        <v>0.93238983504163397</v>
      </c>
      <c r="H290" s="1">
        <v>11.6998800445109</v>
      </c>
      <c r="I290" s="1">
        <v>30.622020297892</v>
      </c>
      <c r="J290" s="1">
        <v>0.94630993170872901</v>
      </c>
      <c r="K290" s="8">
        <v>12.7010604363402</v>
      </c>
      <c r="L290" s="7">
        <v>43</v>
      </c>
      <c r="M290" s="1">
        <v>0.10641952208000099</v>
      </c>
      <c r="N290" s="1">
        <v>28.607944361962801</v>
      </c>
      <c r="O290" s="1">
        <v>0.94666269998044805</v>
      </c>
      <c r="P290" s="1">
        <v>12.729689724535699</v>
      </c>
      <c r="Q290" s="1">
        <v>31.674207531654801</v>
      </c>
      <c r="R290" s="1">
        <v>0.953510334290816</v>
      </c>
      <c r="S290" s="8">
        <v>13.3264357666437</v>
      </c>
      <c r="T290" s="7"/>
      <c r="U290" s="1"/>
      <c r="V290" s="1"/>
      <c r="W290" s="8"/>
      <c r="X290" s="7"/>
      <c r="Y290" s="1"/>
      <c r="Z290" s="1"/>
      <c r="AA290" s="8"/>
      <c r="AB290" s="7">
        <v>8</v>
      </c>
      <c r="AC290" s="1">
        <v>0.23874510252523801</v>
      </c>
      <c r="AD290" s="1">
        <v>32.772179824106402</v>
      </c>
      <c r="AE290" s="1">
        <v>0.98139756612306805</v>
      </c>
      <c r="AF290" s="1">
        <v>17.304302305041301</v>
      </c>
      <c r="AG290" s="1">
        <v>35.819737426812601</v>
      </c>
      <c r="AH290" s="1">
        <v>0.98436794768025504</v>
      </c>
      <c r="AI290" s="1">
        <v>18.059840000596299</v>
      </c>
      <c r="AJ290" s="1">
        <v>160.678580284118</v>
      </c>
      <c r="AK290" s="1">
        <v>118.81186723709099</v>
      </c>
      <c r="AL290" s="7"/>
      <c r="AM290" s="1"/>
      <c r="AN290" s="1"/>
      <c r="AO290" s="8"/>
      <c r="AP290" s="1"/>
      <c r="AQ290" s="1"/>
      <c r="AR290" s="1"/>
      <c r="AS290" s="8"/>
      <c r="AT290" s="7">
        <v>0.08</v>
      </c>
      <c r="AU290" s="1">
        <v>0.16716904509966499</v>
      </c>
      <c r="AV290" s="1">
        <v>29.620671331994199</v>
      </c>
      <c r="AW290" s="1">
        <v>0.98153325236289601</v>
      </c>
      <c r="AX290" s="1">
        <v>17.336095857527699</v>
      </c>
      <c r="AY290" s="1">
        <v>32.502251139458799</v>
      </c>
      <c r="AZ290" s="1">
        <v>0.98475297743885004</v>
      </c>
      <c r="BA290" s="1">
        <v>18.168149570720399</v>
      </c>
      <c r="BB290" s="1">
        <v>158.51045823097201</v>
      </c>
      <c r="BC290" s="1">
        <v>114.71249294281</v>
      </c>
      <c r="BD290" s="7"/>
      <c r="BE290" s="1"/>
      <c r="BF290" s="1"/>
      <c r="BG290" s="8"/>
      <c r="BH290" s="1"/>
      <c r="BI290" s="1"/>
      <c r="BJ290" s="1"/>
      <c r="BK290" s="8"/>
    </row>
    <row r="291" spans="1:63" ht="15" thickBot="1">
      <c r="A291" s="50"/>
      <c r="B291" s="7" t="s">
        <v>18</v>
      </c>
      <c r="C291" s="17">
        <v>0.06</v>
      </c>
      <c r="D291" s="7">
        <v>50</v>
      </c>
      <c r="E291" s="1">
        <v>5.58020010703969E-2</v>
      </c>
      <c r="F291" s="1">
        <v>24.814017508941401</v>
      </c>
      <c r="G291" s="1">
        <v>0.87781700280847097</v>
      </c>
      <c r="H291" s="1">
        <v>9.12989225678254</v>
      </c>
      <c r="I291" s="1">
        <v>27.870831145293799</v>
      </c>
      <c r="J291" s="1">
        <v>0.89399805473862803</v>
      </c>
      <c r="K291" s="8">
        <v>9.7468616484345603</v>
      </c>
      <c r="L291" s="7">
        <v>48</v>
      </c>
      <c r="M291" s="1">
        <v>5.3399736077689497E-2</v>
      </c>
      <c r="N291" s="1">
        <v>25.732412564213298</v>
      </c>
      <c r="O291" s="1">
        <v>0.89920635477022903</v>
      </c>
      <c r="P291" s="1">
        <v>9.9656684813496508</v>
      </c>
      <c r="Q291" s="1">
        <v>28.828714720064699</v>
      </c>
      <c r="R291" s="1">
        <v>0.90825660807467401</v>
      </c>
      <c r="S291" s="8">
        <v>10.374252072254</v>
      </c>
      <c r="T291" s="9"/>
      <c r="U291" s="10"/>
      <c r="V291" s="10"/>
      <c r="W291" s="11"/>
      <c r="X291" s="9"/>
      <c r="Y291" s="10"/>
      <c r="Z291" s="10"/>
      <c r="AA291" s="11"/>
      <c r="AB291" s="7">
        <v>4</v>
      </c>
      <c r="AC291" s="1">
        <v>0.17451638075083001</v>
      </c>
      <c r="AD291" s="1">
        <v>31.119538559467401</v>
      </c>
      <c r="AE291" s="1">
        <v>0.97208899464587994</v>
      </c>
      <c r="AF291" s="1">
        <v>15.5422451994695</v>
      </c>
      <c r="AG291" s="1">
        <v>34.194876743424302</v>
      </c>
      <c r="AH291" s="1">
        <v>0.97541732090098399</v>
      </c>
      <c r="AI291" s="1">
        <v>16.093707880681599</v>
      </c>
      <c r="AJ291" s="1">
        <v>154.60630989074701</v>
      </c>
      <c r="AK291" s="1">
        <v>113.730191707611</v>
      </c>
      <c r="AL291" s="9"/>
      <c r="AM291" s="10"/>
      <c r="AN291" s="10"/>
      <c r="AO291" s="11"/>
      <c r="AP291" s="10"/>
      <c r="AQ291" s="10"/>
      <c r="AR291" s="10"/>
      <c r="AS291" s="11"/>
      <c r="AT291" s="7">
        <v>0.04</v>
      </c>
      <c r="AU291" s="1">
        <v>0.12100470239286799</v>
      </c>
      <c r="AV291" s="1">
        <v>28.1143007860693</v>
      </c>
      <c r="AW291" s="1">
        <v>0.97214186433068395</v>
      </c>
      <c r="AX291" s="1">
        <v>15.550479509278601</v>
      </c>
      <c r="AY291" s="1">
        <v>30.986424546059698</v>
      </c>
      <c r="AZ291" s="1">
        <v>0.97648522771683299</v>
      </c>
      <c r="BA291" s="1">
        <v>16.2865922260122</v>
      </c>
      <c r="BB291" s="1">
        <v>162.56655573844901</v>
      </c>
      <c r="BC291" s="1">
        <v>123.826046943664</v>
      </c>
      <c r="BD291" s="9"/>
      <c r="BE291" s="10"/>
      <c r="BF291" s="10"/>
      <c r="BG291" s="11"/>
      <c r="BH291" s="10"/>
      <c r="BI291" s="10"/>
      <c r="BJ291" s="10"/>
      <c r="BK291" s="11"/>
    </row>
    <row r="292" spans="1:63">
      <c r="A292" s="48" t="s">
        <v>68</v>
      </c>
      <c r="B292" s="15" t="s">
        <v>69</v>
      </c>
      <c r="C292" s="16">
        <v>1.5</v>
      </c>
      <c r="D292" s="15">
        <v>16</v>
      </c>
      <c r="E292" s="19">
        <v>1.3934577546296201</v>
      </c>
      <c r="F292" s="19">
        <v>46.393437796586902</v>
      </c>
      <c r="G292" s="19">
        <v>0.99678742078885096</v>
      </c>
      <c r="H292" s="19">
        <v>24.9314615532112</v>
      </c>
      <c r="I292" s="19">
        <v>49.6379327318921</v>
      </c>
      <c r="J292" s="19">
        <v>0.99832824539481702</v>
      </c>
      <c r="K292" s="20">
        <v>27.768274717753101</v>
      </c>
      <c r="L292" s="15">
        <v>14</v>
      </c>
      <c r="M292" s="19">
        <v>1.32527777777777</v>
      </c>
      <c r="N292" s="19">
        <v>46.363750033009502</v>
      </c>
      <c r="O292" s="19">
        <v>0.99696165191771202</v>
      </c>
      <c r="P292" s="19">
        <v>25.173624735420301</v>
      </c>
      <c r="Q292" s="19">
        <v>49.668722485119297</v>
      </c>
      <c r="R292" s="19">
        <v>0.99836750294953802</v>
      </c>
      <c r="S292" s="19">
        <v>27.8714759472034</v>
      </c>
      <c r="T292" s="21">
        <f>bdrate(E292:E295,F292:F295,M292:M295,N292:N295)</f>
        <v>-8.5708623880965229E-2</v>
      </c>
      <c r="U292" s="22">
        <f>bdrate(E292:E295,H292:H295,M292:M295,P292:P295)</f>
        <v>-0.16530383339452659</v>
      </c>
      <c r="V292" s="22">
        <f>bdrate(E292:E295,I292:I295,M292:M295,Q292:Q295)</f>
        <v>-9.0486395717561674E-2</v>
      </c>
      <c r="W292" s="23">
        <f>bdrate(E292:E295,K292:K295,M292:M295,S292:S295)</f>
        <v>-0.12053951417262676</v>
      </c>
      <c r="X292" s="21">
        <f>bdrate(E294:E297,F294:F297,M294:M297,N294:N297)</f>
        <v>-0.25210197847146243</v>
      </c>
      <c r="Y292" s="22">
        <f>bdrate(E294:E297,H294:H297,M294:M297,P294:P297)</f>
        <v>-0.28557718578218105</v>
      </c>
      <c r="Z292" s="22">
        <f>bdrate(E294:E297,I294:I297,M294:M297,Q294:Q297)</f>
        <v>-0.24638401700887747</v>
      </c>
      <c r="AA292" s="23">
        <f>bdrate(E294:E297,K294:K297,M294:M297,S294:S297)</f>
        <v>-0.23707944039012063</v>
      </c>
      <c r="AB292" s="15"/>
      <c r="AC292" s="19"/>
      <c r="AD292" s="19"/>
      <c r="AE292" s="19"/>
      <c r="AF292" s="19"/>
      <c r="AG292" s="19"/>
      <c r="AH292" s="19"/>
      <c r="AI292" s="19"/>
      <c r="AJ292" s="19"/>
      <c r="AK292" s="19"/>
      <c r="AL292" s="21" t="e">
        <f>bdrate(E292:E295,F292:F295,AC292:AC295,AD292:AD295)</f>
        <v>#VALUE!</v>
      </c>
      <c r="AM292" s="22" t="e">
        <f>bdrate(E292:E295,H292:H295,AC292:AC295,AF292:AF295)</f>
        <v>#VALUE!</v>
      </c>
      <c r="AN292" s="22" t="e">
        <f>bdrate(E292:E295,I292:I295,AC292:AC295,AG292:AG295)</f>
        <v>#VALUE!</v>
      </c>
      <c r="AO292" s="23" t="e">
        <f>bdrate(E292:E295,K292:K295,AC292:AC295,AI292:AI295)</f>
        <v>#VALUE!</v>
      </c>
      <c r="AP292" s="22">
        <f>bdrate(E294:E297,F294:F297,AC294:AC297,AD294:AD297)</f>
        <v>-4.1176714614709398E-2</v>
      </c>
      <c r="AQ292" s="22">
        <f>bdrate(E294:E297,H294:H297,AC294:AC297,AF294:AF297)</f>
        <v>-0.21143450203429104</v>
      </c>
      <c r="AR292" s="22">
        <f>bdrate(E294:E297,I294:I297,AC294:AC297,AG294:AG297)</f>
        <v>-6.6894365599209471E-2</v>
      </c>
      <c r="AS292" s="23">
        <f>bdrate(E294:E297,K294:K297,AC294:AC297,AI294:AI297)</f>
        <v>-0.11811091210096147</v>
      </c>
      <c r="AT292" s="15"/>
      <c r="AU292" s="19"/>
      <c r="AV292" s="19"/>
      <c r="AW292" s="19"/>
      <c r="AX292" s="19"/>
      <c r="AY292" s="19"/>
      <c r="AZ292" s="19"/>
      <c r="BA292" s="19"/>
      <c r="BB292" s="19"/>
      <c r="BC292" s="19"/>
      <c r="BD292" s="21" t="e">
        <f>bdrate(E292:E295,F292:F295,AU292:AU295,AV292:AV295)</f>
        <v>#VALUE!</v>
      </c>
      <c r="BE292" s="22" t="e">
        <f>bdrate(E292:E295,H292:H295,AU292:AU295,AX292:AX295)</f>
        <v>#VALUE!</v>
      </c>
      <c r="BF292" s="22" t="e">
        <f>bdrate(E292:E295,I292:I295,AU292:AU295,AY292:AY295)</f>
        <v>#VALUE!</v>
      </c>
      <c r="BG292" s="23" t="e">
        <f>bdrate(E292:E295,K292:K295,AU292:AU295,BA292:BA295)</f>
        <v>#VALUE!</v>
      </c>
      <c r="BH292" s="22">
        <f>bdrate(E294:E297,F294:F297,AU294:AU297,AV294:AV297)</f>
        <v>0.59237924479815685</v>
      </c>
      <c r="BI292" s="22">
        <f>bdrate(E294:E297,H294:H297,AU294:AU297,AX294:AX297)</f>
        <v>-0.47800034374100386</v>
      </c>
      <c r="BJ292" s="22">
        <f>bdrate(E294:E297,I294:I297,AU294:AU297,AY294:AY297)</f>
        <v>0.64621710723581982</v>
      </c>
      <c r="BK292" s="23">
        <f>bdrate(E294:E297,K294:K297,AU294:AU297,BA294:BA297)</f>
        <v>-0.4059322042301009</v>
      </c>
    </row>
    <row r="293" spans="1:63">
      <c r="A293" s="49"/>
      <c r="B293" s="7" t="s">
        <v>18</v>
      </c>
      <c r="C293" s="17">
        <v>1</v>
      </c>
      <c r="D293" s="7">
        <v>18</v>
      </c>
      <c r="E293" s="1">
        <v>0.94128761574074005</v>
      </c>
      <c r="F293" s="1">
        <v>45.014104138123301</v>
      </c>
      <c r="G293" s="1">
        <v>0.99578383559307104</v>
      </c>
      <c r="H293" s="1">
        <v>23.750824623994198</v>
      </c>
      <c r="I293" s="1">
        <v>48.139383388990403</v>
      </c>
      <c r="J293" s="1">
        <v>0.997523858159864</v>
      </c>
      <c r="K293" s="8">
        <v>26.0622448137084</v>
      </c>
      <c r="L293" s="7">
        <v>16</v>
      </c>
      <c r="M293" s="1">
        <v>0.94345486111111099</v>
      </c>
      <c r="N293" s="1">
        <v>45.228472455181503</v>
      </c>
      <c r="O293" s="1">
        <v>0.99614858771863801</v>
      </c>
      <c r="P293" s="1">
        <v>24.143799890540599</v>
      </c>
      <c r="Q293" s="1">
        <v>48.403944931303002</v>
      </c>
      <c r="R293" s="1">
        <v>0.99772005659871299</v>
      </c>
      <c r="S293" s="1">
        <v>26.420759340582599</v>
      </c>
      <c r="T293" s="7"/>
      <c r="U293" s="1"/>
      <c r="V293" s="1"/>
      <c r="W293" s="8"/>
      <c r="X293" s="7"/>
      <c r="Y293" s="1"/>
      <c r="Z293" s="1"/>
      <c r="AA293" s="8"/>
      <c r="AB293" s="7">
        <v>64</v>
      </c>
      <c r="AC293" s="1">
        <v>0.113764467592592</v>
      </c>
      <c r="AD293" s="1">
        <v>41.579967729524498</v>
      </c>
      <c r="AE293" s="1">
        <v>0.991306198054003</v>
      </c>
      <c r="AF293" s="1">
        <v>20.607902577201099</v>
      </c>
      <c r="AG293" s="1">
        <v>44.676043772036401</v>
      </c>
      <c r="AH293" s="1">
        <v>0.99326967667524402</v>
      </c>
      <c r="AI293" s="1">
        <v>21.7196407176646</v>
      </c>
      <c r="AJ293" s="1">
        <v>96.086920499801593</v>
      </c>
      <c r="AK293" s="1">
        <v>45.0904986858367</v>
      </c>
      <c r="AL293" s="7"/>
      <c r="AM293" s="1"/>
      <c r="AN293" s="1"/>
      <c r="AO293" s="8"/>
      <c r="AP293" s="1"/>
      <c r="AQ293" s="1"/>
      <c r="AR293" s="1"/>
      <c r="AS293" s="8"/>
      <c r="AT293" s="7">
        <v>0.64</v>
      </c>
      <c r="AU293" s="1">
        <v>0.202809606481481</v>
      </c>
      <c r="AV293" s="1">
        <v>40.940113514454197</v>
      </c>
      <c r="AW293" s="1">
        <v>0.99420571520868495</v>
      </c>
      <c r="AX293" s="1">
        <v>22.3700016286768</v>
      </c>
      <c r="AY293" s="1">
        <v>43.953375220686503</v>
      </c>
      <c r="AZ293" s="1">
        <v>0.99549301324543304</v>
      </c>
      <c r="BA293" s="1">
        <v>23.461137182607199</v>
      </c>
      <c r="BB293" s="1">
        <v>48.696492433547903</v>
      </c>
      <c r="BC293" s="1">
        <v>30.2984793186187</v>
      </c>
      <c r="BD293" s="7"/>
      <c r="BE293" s="1"/>
      <c r="BF293" s="1"/>
      <c r="BG293" s="8"/>
      <c r="BH293" s="1"/>
      <c r="BI293" s="1"/>
      <c r="BJ293" s="1"/>
      <c r="BK293" s="8"/>
    </row>
    <row r="294" spans="1:63">
      <c r="A294" s="49"/>
      <c r="B294" s="7" t="s">
        <v>18</v>
      </c>
      <c r="C294" s="17">
        <v>0.5</v>
      </c>
      <c r="D294" s="7">
        <v>21</v>
      </c>
      <c r="E294" s="1">
        <v>0.39928819444444402</v>
      </c>
      <c r="F294" s="1">
        <v>42.9949936716094</v>
      </c>
      <c r="G294" s="1">
        <v>0.99323077557691797</v>
      </c>
      <c r="H294" s="1">
        <v>21.694610873076002</v>
      </c>
      <c r="I294" s="1">
        <v>46.076065831730503</v>
      </c>
      <c r="J294" s="1">
        <v>0.99525652262910702</v>
      </c>
      <c r="K294" s="8">
        <v>23.2390316691206</v>
      </c>
      <c r="L294" s="7">
        <v>19</v>
      </c>
      <c r="M294" s="1">
        <v>0.43447337962962901</v>
      </c>
      <c r="N294" s="1">
        <v>43.343391156262001</v>
      </c>
      <c r="O294" s="1">
        <v>0.99408904306461598</v>
      </c>
      <c r="P294" s="1">
        <v>22.2834220471699</v>
      </c>
      <c r="Q294" s="1">
        <v>46.4271266296889</v>
      </c>
      <c r="R294" s="1">
        <v>0.99592112042576997</v>
      </c>
      <c r="S294" s="1">
        <v>23.894591167029301</v>
      </c>
      <c r="T294" s="7"/>
      <c r="U294" s="1"/>
      <c r="V294" s="1"/>
      <c r="W294" s="8"/>
      <c r="X294" s="7"/>
      <c r="Y294" s="1"/>
      <c r="Z294" s="1"/>
      <c r="AA294" s="8"/>
      <c r="AB294" s="7">
        <v>32</v>
      </c>
      <c r="AC294" s="1">
        <v>8.6009837962962896E-2</v>
      </c>
      <c r="AD294" s="1">
        <v>40.807442749767503</v>
      </c>
      <c r="AE294" s="1">
        <v>0.99052532475796395</v>
      </c>
      <c r="AF294" s="1">
        <v>20.234356671655899</v>
      </c>
      <c r="AG294" s="1">
        <v>43.953347420480803</v>
      </c>
      <c r="AH294" s="1">
        <v>0.99255146558418905</v>
      </c>
      <c r="AI294" s="1">
        <v>21.2792917124378</v>
      </c>
      <c r="AJ294" s="1">
        <v>78.152848243713294</v>
      </c>
      <c r="AK294" s="1">
        <v>43.3334927558898</v>
      </c>
      <c r="AL294" s="7"/>
      <c r="AM294" s="1"/>
      <c r="AN294" s="1"/>
      <c r="AO294" s="8"/>
      <c r="AP294" s="1"/>
      <c r="AQ294" s="1"/>
      <c r="AR294" s="1"/>
      <c r="AS294" s="8"/>
      <c r="AT294" s="7">
        <v>0.32</v>
      </c>
      <c r="AU294" s="1">
        <v>9.7835648148148102E-2</v>
      </c>
      <c r="AV294" s="1">
        <v>39.793557068930397</v>
      </c>
      <c r="AW294" s="1">
        <v>0.99201787968300703</v>
      </c>
      <c r="AX294" s="1">
        <v>20.9788173024629</v>
      </c>
      <c r="AY294" s="1">
        <v>42.773676988566301</v>
      </c>
      <c r="AZ294" s="1">
        <v>0.99367978622287201</v>
      </c>
      <c r="BA294" s="1">
        <v>21.9926823174027</v>
      </c>
      <c r="BB294" s="1">
        <v>65.123638629913302</v>
      </c>
      <c r="BC294" s="1">
        <v>39.372284173965397</v>
      </c>
      <c r="BD294" s="7"/>
      <c r="BE294" s="1"/>
      <c r="BF294" s="1"/>
      <c r="BG294" s="8"/>
      <c r="BH294" s="1"/>
      <c r="BI294" s="1"/>
      <c r="BJ294" s="1"/>
      <c r="BK294" s="8"/>
    </row>
    <row r="295" spans="1:63">
      <c r="A295" s="49"/>
      <c r="B295" s="7" t="s">
        <v>18</v>
      </c>
      <c r="C295" s="17">
        <v>0.25</v>
      </c>
      <c r="D295" s="7">
        <v>23</v>
      </c>
      <c r="E295" s="1">
        <v>0.22968460648148101</v>
      </c>
      <c r="F295" s="1">
        <v>42.255420696474999</v>
      </c>
      <c r="G295" s="1">
        <v>0.99189165594888296</v>
      </c>
      <c r="H295" s="1">
        <v>20.910678317191199</v>
      </c>
      <c r="I295" s="1">
        <v>45.340091088228597</v>
      </c>
      <c r="J295" s="1">
        <v>0.99399192408845705</v>
      </c>
      <c r="K295" s="8">
        <v>22.212645886943299</v>
      </c>
      <c r="L295" s="7">
        <v>21</v>
      </c>
      <c r="M295" s="1">
        <v>0.213220486111111</v>
      </c>
      <c r="N295" s="1">
        <v>42.379290343153798</v>
      </c>
      <c r="O295" s="1">
        <v>0.99232576001349604</v>
      </c>
      <c r="P295" s="1">
        <v>21.1496462380011</v>
      </c>
      <c r="Q295" s="1">
        <v>45.451674736828302</v>
      </c>
      <c r="R295" s="1">
        <v>0.99426665869020303</v>
      </c>
      <c r="S295" s="1">
        <v>22.4159220360314</v>
      </c>
      <c r="T295" s="7"/>
      <c r="U295" s="1"/>
      <c r="V295" s="1"/>
      <c r="W295" s="8"/>
      <c r="X295" s="7"/>
      <c r="Y295" s="1"/>
      <c r="Z295" s="1"/>
      <c r="AA295" s="8"/>
      <c r="AB295" s="7">
        <v>16</v>
      </c>
      <c r="AC295" s="1">
        <v>6.4377893518518498E-2</v>
      </c>
      <c r="AD295" s="1">
        <v>40.067709051599302</v>
      </c>
      <c r="AE295" s="1">
        <v>0.98920178634242095</v>
      </c>
      <c r="AF295" s="1">
        <v>19.666480836633301</v>
      </c>
      <c r="AG295" s="1">
        <v>43.2197337278131</v>
      </c>
      <c r="AH295" s="1">
        <v>0.99133560732447001</v>
      </c>
      <c r="AI295" s="1">
        <v>20.622618734474599</v>
      </c>
      <c r="AJ295" s="1">
        <v>53.5224447250366</v>
      </c>
      <c r="AK295" s="1">
        <v>36.190372228622401</v>
      </c>
      <c r="AL295" s="7"/>
      <c r="AM295" s="1"/>
      <c r="AN295" s="1"/>
      <c r="AO295" s="8"/>
      <c r="AP295" s="1"/>
      <c r="AQ295" s="1"/>
      <c r="AR295" s="1"/>
      <c r="AS295" s="8"/>
      <c r="AT295" s="7">
        <v>0.16</v>
      </c>
      <c r="AU295" s="1">
        <v>6.1056134259259202E-2</v>
      </c>
      <c r="AV295" s="1">
        <v>38.372584034123904</v>
      </c>
      <c r="AW295" s="1">
        <v>0.99043068996727601</v>
      </c>
      <c r="AX295" s="1">
        <v>20.1911937463518</v>
      </c>
      <c r="AY295" s="1">
        <v>41.252809917997297</v>
      </c>
      <c r="AZ295" s="1">
        <v>0.99246231796483098</v>
      </c>
      <c r="BA295" s="1">
        <v>21.227621865048999</v>
      </c>
      <c r="BB295" s="1">
        <v>55.589337110519402</v>
      </c>
      <c r="BC295" s="1">
        <v>39.530303478240903</v>
      </c>
      <c r="BD295" s="7"/>
      <c r="BE295" s="1"/>
      <c r="BF295" s="1"/>
      <c r="BG295" s="8"/>
      <c r="BH295" s="1"/>
      <c r="BI295" s="1"/>
      <c r="BJ295" s="1"/>
      <c r="BK295" s="8"/>
    </row>
    <row r="296" spans="1:63">
      <c r="A296" s="49"/>
      <c r="B296" s="7" t="s">
        <v>18</v>
      </c>
      <c r="C296" s="17">
        <v>0.12</v>
      </c>
      <c r="D296" s="7">
        <v>28</v>
      </c>
      <c r="E296" s="1">
        <v>0.115040509259259</v>
      </c>
      <c r="F296" s="1">
        <v>41.254148894767901</v>
      </c>
      <c r="G296" s="1">
        <v>0.99034644565659102</v>
      </c>
      <c r="H296" s="1">
        <v>20.1531275427079</v>
      </c>
      <c r="I296" s="1">
        <v>44.332502422974798</v>
      </c>
      <c r="J296" s="1">
        <v>0.99273143335763903</v>
      </c>
      <c r="K296" s="8">
        <v>21.385512233483102</v>
      </c>
      <c r="L296" s="7">
        <v>24</v>
      </c>
      <c r="M296" s="1">
        <v>0.119024884259259</v>
      </c>
      <c r="N296" s="1">
        <v>41.810164760334402</v>
      </c>
      <c r="O296" s="1">
        <v>0.99129496792324601</v>
      </c>
      <c r="P296" s="1">
        <v>20.602296242328801</v>
      </c>
      <c r="Q296" s="1">
        <v>44.878079265483002</v>
      </c>
      <c r="R296" s="1">
        <v>0.99341166952353699</v>
      </c>
      <c r="S296" s="1">
        <v>21.812246243619398</v>
      </c>
      <c r="T296" s="7"/>
      <c r="U296" s="1"/>
      <c r="V296" s="1"/>
      <c r="W296" s="8"/>
      <c r="X296" s="7"/>
      <c r="Y296" s="1"/>
      <c r="Z296" s="1"/>
      <c r="AA296" s="8"/>
      <c r="AB296" s="7">
        <v>8</v>
      </c>
      <c r="AC296" s="1">
        <v>4.9725115740740698E-2</v>
      </c>
      <c r="AD296" s="1">
        <v>39.057944539249704</v>
      </c>
      <c r="AE296" s="1">
        <v>0.98755099137527802</v>
      </c>
      <c r="AF296" s="1">
        <v>19.048652321791401</v>
      </c>
      <c r="AG296" s="1">
        <v>42.233383566201503</v>
      </c>
      <c r="AH296" s="1">
        <v>0.98979013656083803</v>
      </c>
      <c r="AI296" s="1">
        <v>19.909800667294501</v>
      </c>
      <c r="AJ296" s="1">
        <v>46.110989809036198</v>
      </c>
      <c r="AK296" s="1">
        <v>30.8894412517547</v>
      </c>
      <c r="AL296" s="7"/>
      <c r="AM296" s="1"/>
      <c r="AN296" s="1"/>
      <c r="AO296" s="8"/>
      <c r="AP296" s="1"/>
      <c r="AQ296" s="1"/>
      <c r="AR296" s="1"/>
      <c r="AS296" s="8"/>
      <c r="AT296" s="7">
        <v>0.08</v>
      </c>
      <c r="AU296" s="1">
        <v>4.4551504629629597E-2</v>
      </c>
      <c r="AV296" s="1">
        <v>36.812354284478801</v>
      </c>
      <c r="AW296" s="1">
        <v>0.98883586372893995</v>
      </c>
      <c r="AX296" s="1">
        <v>19.521748710898802</v>
      </c>
      <c r="AY296" s="1">
        <v>39.745845657357499</v>
      </c>
      <c r="AZ296" s="1">
        <v>0.99122690546285297</v>
      </c>
      <c r="BA296" s="1">
        <v>20.568471907440301</v>
      </c>
      <c r="BB296" s="1">
        <v>44.358580112457197</v>
      </c>
      <c r="BC296" s="1">
        <v>30.457128286361598</v>
      </c>
      <c r="BD296" s="7"/>
      <c r="BE296" s="1"/>
      <c r="BF296" s="1"/>
      <c r="BG296" s="8"/>
      <c r="BH296" s="1"/>
      <c r="BI296" s="1"/>
      <c r="BJ296" s="1"/>
      <c r="BK296" s="8"/>
    </row>
    <row r="297" spans="1:63">
      <c r="A297" s="49"/>
      <c r="B297" s="7" t="s">
        <v>18</v>
      </c>
      <c r="C297" s="17">
        <v>0.06</v>
      </c>
      <c r="D297" s="7">
        <v>34</v>
      </c>
      <c r="E297" s="1">
        <v>5.9184027777777697E-2</v>
      </c>
      <c r="F297" s="1">
        <v>39.680173792657499</v>
      </c>
      <c r="G297" s="1">
        <v>0.98781670325353899</v>
      </c>
      <c r="H297" s="1">
        <v>19.142351776255602</v>
      </c>
      <c r="I297" s="1">
        <v>42.760348855152799</v>
      </c>
      <c r="J297" s="1">
        <v>0.99058855178571203</v>
      </c>
      <c r="K297" s="8">
        <v>20.263435430891601</v>
      </c>
      <c r="L297" s="7">
        <v>31</v>
      </c>
      <c r="M297" s="1">
        <v>5.4473379629629601E-2</v>
      </c>
      <c r="N297" s="1">
        <v>40.574879775293297</v>
      </c>
      <c r="O297" s="1">
        <v>0.98949037506822801</v>
      </c>
      <c r="P297" s="1">
        <v>19.7841278282697</v>
      </c>
      <c r="Q297" s="1">
        <v>43.657062233960602</v>
      </c>
      <c r="R297" s="1">
        <v>0.99185427308904905</v>
      </c>
      <c r="S297" s="1">
        <v>20.8907015391801</v>
      </c>
      <c r="T297" s="7"/>
      <c r="U297" s="1"/>
      <c r="V297" s="1"/>
      <c r="W297" s="8"/>
      <c r="X297" s="7"/>
      <c r="Y297" s="1"/>
      <c r="Z297" s="1"/>
      <c r="AA297" s="8"/>
      <c r="AB297" s="7">
        <v>4</v>
      </c>
      <c r="AC297" s="1">
        <v>3.77864583333333E-2</v>
      </c>
      <c r="AD297" s="1">
        <v>37.7735505923768</v>
      </c>
      <c r="AE297" s="1">
        <v>0.98468578040135701</v>
      </c>
      <c r="AF297" s="1">
        <v>18.149051296206402</v>
      </c>
      <c r="AG297" s="1">
        <v>41.005959283897397</v>
      </c>
      <c r="AH297" s="1">
        <v>0.98711370072596905</v>
      </c>
      <c r="AI297" s="1">
        <v>18.8987178672933</v>
      </c>
      <c r="AJ297" s="1">
        <v>47.399541378021198</v>
      </c>
      <c r="AK297" s="1">
        <v>32.422084093093801</v>
      </c>
      <c r="AL297" s="7"/>
      <c r="AM297" s="1"/>
      <c r="AN297" s="1"/>
      <c r="AO297" s="8"/>
      <c r="AP297" s="1"/>
      <c r="AQ297" s="1"/>
      <c r="AR297" s="1"/>
      <c r="AS297" s="8"/>
      <c r="AT297" s="7">
        <v>0.04</v>
      </c>
      <c r="AU297" s="1">
        <v>3.3706597222222197E-2</v>
      </c>
      <c r="AV297" s="1">
        <v>35.153070303396902</v>
      </c>
      <c r="AW297" s="1">
        <v>0.98642565216835998</v>
      </c>
      <c r="AX297" s="1">
        <v>18.672810265585699</v>
      </c>
      <c r="AY297" s="1">
        <v>38.179970454927002</v>
      </c>
      <c r="AZ297" s="1">
        <v>0.98926231316570101</v>
      </c>
      <c r="BA297" s="1">
        <v>19.690892664297099</v>
      </c>
      <c r="BB297" s="1">
        <v>46.643192529678302</v>
      </c>
      <c r="BC297" s="1">
        <v>35.020399093627901</v>
      </c>
      <c r="BD297" s="7"/>
      <c r="BE297" s="1"/>
      <c r="BF297" s="1"/>
      <c r="BG297" s="8"/>
      <c r="BH297" s="1"/>
      <c r="BI297" s="1"/>
      <c r="BJ297" s="1"/>
      <c r="BK297" s="8"/>
    </row>
    <row r="298" spans="1:63">
      <c r="A298" s="49"/>
      <c r="B298" s="7" t="s">
        <v>70</v>
      </c>
      <c r="C298" s="17">
        <v>1.5</v>
      </c>
      <c r="D298" s="7">
        <v>24</v>
      </c>
      <c r="E298" s="1">
        <v>1.36642071759259</v>
      </c>
      <c r="F298" s="1">
        <v>39.590370610957002</v>
      </c>
      <c r="G298" s="1">
        <v>0.99255591287866995</v>
      </c>
      <c r="H298" s="1">
        <v>21.281885527778101</v>
      </c>
      <c r="I298" s="1">
        <v>42.747578000678899</v>
      </c>
      <c r="J298" s="1">
        <v>0.99547115554770504</v>
      </c>
      <c r="K298" s="8">
        <v>23.4401259534052</v>
      </c>
      <c r="L298" s="7">
        <v>21</v>
      </c>
      <c r="M298" s="1">
        <v>1.4796556712962901</v>
      </c>
      <c r="N298" s="1">
        <v>40.661214806708202</v>
      </c>
      <c r="O298" s="1">
        <v>0.99407690729590903</v>
      </c>
      <c r="P298" s="1">
        <v>22.2745147003337</v>
      </c>
      <c r="Q298" s="1">
        <v>43.933080456426801</v>
      </c>
      <c r="R298" s="1">
        <v>0.99653139398352497</v>
      </c>
      <c r="S298" s="1">
        <v>24.598450269346301</v>
      </c>
      <c r="T298" s="13">
        <f>bdrate(E298:E301,F298:F301,M298:M301,N298:N301)</f>
        <v>-0.17961598082629593</v>
      </c>
      <c r="U298" s="12">
        <f>bdrate(E298:E301,H298:H301,M298:M301,P298:P301)</f>
        <v>-0.17273943769854616</v>
      </c>
      <c r="V298" s="12">
        <f>bdrate(E298:E301,I298:I301,M298:M301,Q298:Q301)</f>
        <v>-0.18483568319263455</v>
      </c>
      <c r="W298" s="14">
        <f>bdrate(E298:E301,K298:K301,M298:M301,S298:S301)</f>
        <v>-0.14792333570261507</v>
      </c>
      <c r="X298" s="13">
        <f>bdrate(E300:E303,F300:F303,M300:M303,N300:N303)</f>
        <v>-0.29625672200182085</v>
      </c>
      <c r="Y298" s="12">
        <f>bdrate(E300:E303,H300:H303,M300:M303,P300:P303)</f>
        <v>-0.2602489779275019</v>
      </c>
      <c r="Z298" s="12">
        <f>bdrate(E300:E303,I300:I303,M300:M303,Q300:Q303)</f>
        <v>-0.30704256878090841</v>
      </c>
      <c r="AA298" s="14">
        <f>bdrate(E300:E303,K300:K303,M300:M303,S300:S303)</f>
        <v>-0.2243079869729957</v>
      </c>
      <c r="AB298" s="7"/>
      <c r="AC298" s="1"/>
      <c r="AD298" s="1"/>
      <c r="AE298" s="1"/>
      <c r="AF298" s="1"/>
      <c r="AG298" s="1"/>
      <c r="AH298" s="1"/>
      <c r="AI298" s="1"/>
      <c r="AJ298" s="1"/>
      <c r="AK298" s="1"/>
      <c r="AL298" s="13" t="e">
        <f>bdrate(E298:E301,F298:F301,AC298:AC301,AD298:AD301)</f>
        <v>#VALUE!</v>
      </c>
      <c r="AM298" s="12" t="e">
        <f>bdrate(E298:E301,H298:H301,AC298:AC301,AF298:AF301)</f>
        <v>#VALUE!</v>
      </c>
      <c r="AN298" s="12" t="e">
        <f>bdrate(E298:E301,I298:I301,AC298:AC301,AG298:AG301)</f>
        <v>#VALUE!</v>
      </c>
      <c r="AO298" s="14" t="e">
        <f>bdrate(E298:E301,K298:K301,AC298:AC301,AI298:AI301)</f>
        <v>#VALUE!</v>
      </c>
      <c r="AP298" s="12">
        <f>bdrate(E300:E303,F300:F303,AC300:AC303,AD300:AD303)</f>
        <v>-0.16259891276357796</v>
      </c>
      <c r="AQ298" s="12">
        <f>bdrate(E300:E303,H300:H303,AC300:AC303,AF300:AF303)</f>
        <v>-0.21409221065122186</v>
      </c>
      <c r="AR298" s="12">
        <f>bdrate(E300:E303,I300:I303,AC300:AC303,AG300:AG303)</f>
        <v>-0.18703858851506516</v>
      </c>
      <c r="AS298" s="14">
        <f>bdrate(E300:E303,K300:K303,AC300:AC303,AI300:AI303)</f>
        <v>-0.16190012176118684</v>
      </c>
      <c r="AT298" s="7"/>
      <c r="AU298" s="1"/>
      <c r="AV298" s="1"/>
      <c r="AW298" s="1"/>
      <c r="AX298" s="1"/>
      <c r="AY298" s="1"/>
      <c r="AZ298" s="1"/>
      <c r="BA298" s="1"/>
      <c r="BB298" s="1"/>
      <c r="BC298" s="1"/>
      <c r="BD298" s="13" t="e">
        <f>bdrate(E298:E301,F298:F301,AU298:AU301,AV298:AV301)</f>
        <v>#VALUE!</v>
      </c>
      <c r="BE298" s="12" t="e">
        <f>bdrate(E298:E301,H298:H301,AU298:AU301,AX298:AX301)</f>
        <v>#VALUE!</v>
      </c>
      <c r="BF298" s="12" t="e">
        <f>bdrate(E298:E301,I298:I301,AU298:AU301,AY298:AY301)</f>
        <v>#VALUE!</v>
      </c>
      <c r="BG298" s="14" t="e">
        <f>bdrate(E298:E301,K298:K301,AU298:AU301,BA298:BA301)</f>
        <v>#VALUE!</v>
      </c>
      <c r="BH298" s="12">
        <f>bdrate(E300:E303,F300:F303,AU300:AU303,AV300:AV303)</f>
        <v>0.41213823819739637</v>
      </c>
      <c r="BI298" s="12">
        <f>bdrate(E300:E303,H300:H303,AU300:AU303,AX300:AX303)</f>
        <v>-0.50947544426130498</v>
      </c>
      <c r="BJ298" s="12">
        <f>bdrate(E300:E303,I300:I303,AU300:AU303,AY300:AY303)</f>
        <v>0.38627217765193533</v>
      </c>
      <c r="BK298" s="14">
        <f>bdrate(E300:E303,K300:K303,AU300:AU303,BA300:BA303)</f>
        <v>-0.4764422131360222</v>
      </c>
    </row>
    <row r="299" spans="1:63">
      <c r="A299" s="49"/>
      <c r="B299" s="7" t="s">
        <v>18</v>
      </c>
      <c r="C299" s="17">
        <v>1</v>
      </c>
      <c r="D299" s="7">
        <v>26</v>
      </c>
      <c r="E299" s="1">
        <v>0.99173611111111104</v>
      </c>
      <c r="F299" s="1">
        <v>38.030912376572303</v>
      </c>
      <c r="G299" s="1">
        <v>0.98949510162908405</v>
      </c>
      <c r="H299" s="1">
        <v>19.786081447967199</v>
      </c>
      <c r="I299" s="1">
        <v>41.1155647388887</v>
      </c>
      <c r="J299" s="1">
        <v>0.993095541747262</v>
      </c>
      <c r="K299" s="8">
        <v>21.608703919697199</v>
      </c>
      <c r="L299" s="7">
        <v>24</v>
      </c>
      <c r="M299" s="1">
        <v>0.95165509259259196</v>
      </c>
      <c r="N299" s="1">
        <v>38.503498860902802</v>
      </c>
      <c r="O299" s="1">
        <v>0.99061999073494</v>
      </c>
      <c r="P299" s="1">
        <v>20.277967326484301</v>
      </c>
      <c r="Q299" s="1">
        <v>41.633763728455499</v>
      </c>
      <c r="R299" s="1">
        <v>0.99385591872688295</v>
      </c>
      <c r="S299" s="1">
        <v>22.11543048147</v>
      </c>
      <c r="T299" s="7"/>
      <c r="U299" s="1"/>
      <c r="V299" s="1"/>
      <c r="W299" s="8"/>
      <c r="X299" s="7"/>
      <c r="Y299" s="1"/>
      <c r="Z299" s="1"/>
      <c r="AA299" s="8"/>
      <c r="AB299" s="7">
        <v>64</v>
      </c>
      <c r="AC299" s="1">
        <v>0.56692997685185098</v>
      </c>
      <c r="AD299" s="1">
        <v>36.367508505969802</v>
      </c>
      <c r="AE299" s="1">
        <v>0.98530950102131298</v>
      </c>
      <c r="AF299" s="1">
        <v>18.329634526774001</v>
      </c>
      <c r="AG299" s="1">
        <v>39.428067323744401</v>
      </c>
      <c r="AH299" s="1">
        <v>0.98950923218674303</v>
      </c>
      <c r="AI299" s="1">
        <v>19.791927248800899</v>
      </c>
      <c r="AJ299" s="1">
        <v>92.841364383697496</v>
      </c>
      <c r="AK299" s="1">
        <v>44.067447900772002</v>
      </c>
      <c r="AL299" s="7"/>
      <c r="AM299" s="1"/>
      <c r="AN299" s="1"/>
      <c r="AO299" s="8"/>
      <c r="AP299" s="1"/>
      <c r="AQ299" s="1"/>
      <c r="AR299" s="1"/>
      <c r="AS299" s="8"/>
      <c r="AT299" s="7">
        <v>0.64</v>
      </c>
      <c r="AU299" s="1">
        <v>0.49786747685185101</v>
      </c>
      <c r="AV299" s="1">
        <v>33.764048154467297</v>
      </c>
      <c r="AW299" s="1">
        <v>0.99052541606631195</v>
      </c>
      <c r="AX299" s="1">
        <v>20.234398525230699</v>
      </c>
      <c r="AY299" s="1">
        <v>36.796383149818602</v>
      </c>
      <c r="AZ299" s="1">
        <v>0.99304614929746204</v>
      </c>
      <c r="BA299" s="1">
        <v>21.577746377482502</v>
      </c>
      <c r="BB299" s="1">
        <v>48.383272647857602</v>
      </c>
      <c r="BC299" s="1">
        <v>31.330895185470499</v>
      </c>
      <c r="BD299" s="7"/>
      <c r="BE299" s="1"/>
      <c r="BF299" s="1"/>
      <c r="BG299" s="8"/>
      <c r="BH299" s="1"/>
      <c r="BI299" s="1"/>
      <c r="BJ299" s="1"/>
      <c r="BK299" s="8"/>
    </row>
    <row r="300" spans="1:63">
      <c r="A300" s="49"/>
      <c r="B300" s="7" t="s">
        <v>18</v>
      </c>
      <c r="C300" s="17">
        <v>0.5</v>
      </c>
      <c r="D300" s="7">
        <v>31</v>
      </c>
      <c r="E300" s="1">
        <v>0.43761574074074</v>
      </c>
      <c r="F300" s="1">
        <v>35.116340699128202</v>
      </c>
      <c r="G300" s="1">
        <v>0.97936640773487404</v>
      </c>
      <c r="H300" s="1">
        <v>16.854251556861499</v>
      </c>
      <c r="I300" s="1">
        <v>38.144665100422102</v>
      </c>
      <c r="J300" s="1">
        <v>0.98439320885634196</v>
      </c>
      <c r="K300" s="8">
        <v>18.066863814896902</v>
      </c>
      <c r="L300" s="7">
        <v>28</v>
      </c>
      <c r="M300" s="1">
        <v>0.46499710648148102</v>
      </c>
      <c r="N300" s="1">
        <v>36.007928271608897</v>
      </c>
      <c r="O300" s="1">
        <v>0.98283166961439805</v>
      </c>
      <c r="P300" s="1">
        <v>17.652719377789101</v>
      </c>
      <c r="Q300" s="1">
        <v>39.072299599713901</v>
      </c>
      <c r="R300" s="1">
        <v>0.987050536437731</v>
      </c>
      <c r="S300" s="1">
        <v>18.877482220670501</v>
      </c>
      <c r="T300" s="7"/>
      <c r="U300" s="1"/>
      <c r="V300" s="1"/>
      <c r="W300" s="8"/>
      <c r="X300" s="7"/>
      <c r="Y300" s="1"/>
      <c r="Z300" s="1"/>
      <c r="AA300" s="8"/>
      <c r="AB300" s="7">
        <v>32</v>
      </c>
      <c r="AC300" s="1">
        <v>0.36701099537037002</v>
      </c>
      <c r="AD300" s="1">
        <v>35.065638357387002</v>
      </c>
      <c r="AE300" s="1">
        <v>0.98025974909963298</v>
      </c>
      <c r="AF300" s="1">
        <v>17.046473317093302</v>
      </c>
      <c r="AG300" s="1">
        <v>38.125747586585298</v>
      </c>
      <c r="AH300" s="1">
        <v>0.98482766585759096</v>
      </c>
      <c r="AI300" s="1">
        <v>18.1894760133662</v>
      </c>
      <c r="AJ300" s="1">
        <v>72.292335271835299</v>
      </c>
      <c r="AK300" s="1">
        <v>43.606982707977203</v>
      </c>
      <c r="AL300" s="7"/>
      <c r="AM300" s="1"/>
      <c r="AN300" s="1"/>
      <c r="AO300" s="8"/>
      <c r="AP300" s="1"/>
      <c r="AQ300" s="1"/>
      <c r="AR300" s="1"/>
      <c r="AS300" s="8"/>
      <c r="AT300" s="7">
        <v>0.32</v>
      </c>
      <c r="AU300" s="1">
        <v>0.35228877314814799</v>
      </c>
      <c r="AV300" s="1">
        <v>32.806720060211902</v>
      </c>
      <c r="AW300" s="1">
        <v>0.98728331178925699</v>
      </c>
      <c r="AX300" s="1">
        <v>18.956259766647801</v>
      </c>
      <c r="AY300" s="1">
        <v>35.861402695255201</v>
      </c>
      <c r="AZ300" s="1">
        <v>0.99033797202019902</v>
      </c>
      <c r="BA300" s="1">
        <v>20.1493170919526</v>
      </c>
      <c r="BB300" s="1">
        <v>63.1769571304321</v>
      </c>
      <c r="BC300" s="1">
        <v>38.5364024639129</v>
      </c>
      <c r="BD300" s="7"/>
      <c r="BE300" s="1"/>
      <c r="BF300" s="1"/>
      <c r="BG300" s="8"/>
      <c r="BH300" s="1"/>
      <c r="BI300" s="1"/>
      <c r="BJ300" s="1"/>
      <c r="BK300" s="8"/>
    </row>
    <row r="301" spans="1:63">
      <c r="A301" s="49"/>
      <c r="B301" s="7" t="s">
        <v>18</v>
      </c>
      <c r="C301" s="17">
        <v>0.25</v>
      </c>
      <c r="D301" s="7">
        <v>36</v>
      </c>
      <c r="E301" s="1">
        <v>0.22276909722222199</v>
      </c>
      <c r="F301" s="1">
        <v>32.950760804764599</v>
      </c>
      <c r="G301" s="1">
        <v>0.97004495534628299</v>
      </c>
      <c r="H301" s="1">
        <v>15.235300286742399</v>
      </c>
      <c r="I301" s="1">
        <v>35.960680079012697</v>
      </c>
      <c r="J301" s="1">
        <v>0.97608524131904795</v>
      </c>
      <c r="K301" s="8">
        <v>16.213339971486899</v>
      </c>
      <c r="L301" s="7">
        <v>33</v>
      </c>
      <c r="M301" s="1">
        <v>0.22298900462962901</v>
      </c>
      <c r="N301" s="1">
        <v>34.0014183765105</v>
      </c>
      <c r="O301" s="1">
        <v>0.97422382735869895</v>
      </c>
      <c r="P301" s="1">
        <v>15.887815681371</v>
      </c>
      <c r="Q301" s="1">
        <v>37.047007949752498</v>
      </c>
      <c r="R301" s="1">
        <v>0.97931433935035905</v>
      </c>
      <c r="S301" s="1">
        <v>16.8433060423854</v>
      </c>
      <c r="T301" s="7"/>
      <c r="U301" s="1"/>
      <c r="V301" s="1"/>
      <c r="W301" s="8"/>
      <c r="X301" s="7"/>
      <c r="Y301" s="1"/>
      <c r="Z301" s="1"/>
      <c r="AA301" s="8"/>
      <c r="AB301" s="7">
        <v>16</v>
      </c>
      <c r="AC301" s="1">
        <v>0.241623263888888</v>
      </c>
      <c r="AD301" s="1">
        <v>33.821519138326003</v>
      </c>
      <c r="AE301" s="1">
        <v>0.97496134711638005</v>
      </c>
      <c r="AF301" s="1">
        <v>16.013890405154498</v>
      </c>
      <c r="AG301" s="1">
        <v>36.908582153704202</v>
      </c>
      <c r="AH301" s="1">
        <v>0.97974796756403604</v>
      </c>
      <c r="AI301" s="1">
        <v>16.935313857119802</v>
      </c>
      <c r="AJ301" s="1">
        <v>50.982953071594203</v>
      </c>
      <c r="AK301" s="1">
        <v>35.211693763732903</v>
      </c>
      <c r="AL301" s="7"/>
      <c r="AM301" s="1"/>
      <c r="AN301" s="1"/>
      <c r="AO301" s="8"/>
      <c r="AP301" s="1"/>
      <c r="AQ301" s="1"/>
      <c r="AR301" s="1"/>
      <c r="AS301" s="8"/>
      <c r="AT301" s="7">
        <v>0.16</v>
      </c>
      <c r="AU301" s="1">
        <v>0.22269386574073999</v>
      </c>
      <c r="AV301" s="1">
        <v>31.545838034206302</v>
      </c>
      <c r="AW301" s="1">
        <v>0.98139611498899204</v>
      </c>
      <c r="AX301" s="1">
        <v>17.3039635348857</v>
      </c>
      <c r="AY301" s="1">
        <v>34.6335913917803</v>
      </c>
      <c r="AZ301" s="1">
        <v>0.98521443543628895</v>
      </c>
      <c r="BA301" s="1">
        <v>18.3016208796417</v>
      </c>
      <c r="BB301" s="1">
        <v>53.433040857315</v>
      </c>
      <c r="BC301" s="1">
        <v>38.7145705223083</v>
      </c>
      <c r="BD301" s="7"/>
      <c r="BE301" s="1"/>
      <c r="BF301" s="1"/>
      <c r="BG301" s="8"/>
      <c r="BH301" s="1"/>
      <c r="BI301" s="1"/>
      <c r="BJ301" s="1"/>
      <c r="BK301" s="8"/>
    </row>
    <row r="302" spans="1:63">
      <c r="A302" s="49"/>
      <c r="B302" s="7" t="s">
        <v>18</v>
      </c>
      <c r="C302" s="17">
        <v>0.12</v>
      </c>
      <c r="D302" s="7">
        <v>41</v>
      </c>
      <c r="E302" s="1">
        <v>0.114580439814814</v>
      </c>
      <c r="F302" s="1">
        <v>30.614665088852199</v>
      </c>
      <c r="G302" s="1">
        <v>0.95665100864001396</v>
      </c>
      <c r="H302" s="1">
        <v>13.6302100319097</v>
      </c>
      <c r="I302" s="1">
        <v>33.636306174435802</v>
      </c>
      <c r="J302" s="1">
        <v>0.963828310200598</v>
      </c>
      <c r="K302" s="8">
        <v>14.4163120223053</v>
      </c>
      <c r="L302" s="7">
        <v>38</v>
      </c>
      <c r="M302" s="1">
        <v>0.11755787037036999</v>
      </c>
      <c r="N302" s="1">
        <v>31.987268511119201</v>
      </c>
      <c r="O302" s="1">
        <v>0.96421834808471196</v>
      </c>
      <c r="P302" s="1">
        <v>14.4633961342953</v>
      </c>
      <c r="Q302" s="1">
        <v>35.055425376844703</v>
      </c>
      <c r="R302" s="1">
        <v>0.96987783654860105</v>
      </c>
      <c r="S302" s="1">
        <v>15.2111383920234</v>
      </c>
      <c r="T302" s="7"/>
      <c r="U302" s="1"/>
      <c r="V302" s="1"/>
      <c r="W302" s="8"/>
      <c r="X302" s="7"/>
      <c r="Y302" s="1"/>
      <c r="Z302" s="1"/>
      <c r="AA302" s="8"/>
      <c r="AB302" s="7">
        <v>8</v>
      </c>
      <c r="AC302" s="1">
        <v>0.16886863425925899</v>
      </c>
      <c r="AD302" s="1">
        <v>32.615662588443499</v>
      </c>
      <c r="AE302" s="1">
        <v>0.96955025992383204</v>
      </c>
      <c r="AF302" s="1">
        <v>15.164164102221701</v>
      </c>
      <c r="AG302" s="1">
        <v>35.750763836956203</v>
      </c>
      <c r="AH302" s="1">
        <v>0.97451047654641199</v>
      </c>
      <c r="AI302" s="1">
        <v>15.936382839270401</v>
      </c>
      <c r="AJ302" s="1">
        <v>43.958693027496302</v>
      </c>
      <c r="AK302" s="1">
        <v>30.817249059677099</v>
      </c>
      <c r="AL302" s="7"/>
      <c r="AM302" s="1"/>
      <c r="AN302" s="1"/>
      <c r="AO302" s="8"/>
      <c r="AP302" s="1"/>
      <c r="AQ302" s="1"/>
      <c r="AR302" s="1"/>
      <c r="AS302" s="8"/>
      <c r="AT302" s="7">
        <v>0.08</v>
      </c>
      <c r="AU302" s="1">
        <v>0.13921585648148099</v>
      </c>
      <c r="AV302" s="1">
        <v>30.3278426492198</v>
      </c>
      <c r="AW302" s="1">
        <v>0.97383380961496802</v>
      </c>
      <c r="AX302" s="1">
        <v>15.822595030076</v>
      </c>
      <c r="AY302" s="1">
        <v>33.410441763221598</v>
      </c>
      <c r="AZ302" s="1">
        <v>0.97850874383220998</v>
      </c>
      <c r="BA302" s="1">
        <v>16.677381991760399</v>
      </c>
      <c r="BB302" s="1">
        <v>43.830966472625697</v>
      </c>
      <c r="BC302" s="1">
        <v>31.093758821487398</v>
      </c>
      <c r="BD302" s="7"/>
      <c r="BE302" s="1"/>
      <c r="BF302" s="1"/>
      <c r="BG302" s="8"/>
      <c r="BH302" s="1"/>
      <c r="BI302" s="1"/>
      <c r="BJ302" s="1"/>
      <c r="BK302" s="8"/>
    </row>
    <row r="303" spans="1:63">
      <c r="A303" s="49"/>
      <c r="B303" s="7" t="s">
        <v>18</v>
      </c>
      <c r="C303" s="17">
        <v>0.06</v>
      </c>
      <c r="D303" s="7">
        <v>46</v>
      </c>
      <c r="E303" s="1">
        <v>5.7627314814814798E-2</v>
      </c>
      <c r="F303" s="1">
        <v>28.1441625727381</v>
      </c>
      <c r="G303" s="1">
        <v>0.93387363709053195</v>
      </c>
      <c r="H303" s="1">
        <v>11.796253637588499</v>
      </c>
      <c r="I303" s="1">
        <v>31.2015098019323</v>
      </c>
      <c r="J303" s="1">
        <v>0.94299587170649002</v>
      </c>
      <c r="K303" s="8">
        <v>12.440936911666601</v>
      </c>
      <c r="L303" s="7">
        <v>44</v>
      </c>
      <c r="M303" s="1">
        <v>5.3263888888888798E-2</v>
      </c>
      <c r="N303" s="1">
        <v>29.2658881810301</v>
      </c>
      <c r="O303" s="1">
        <v>0.94375168519761399</v>
      </c>
      <c r="P303" s="1">
        <v>12.498904844697201</v>
      </c>
      <c r="Q303" s="1">
        <v>32.3940952095383</v>
      </c>
      <c r="R303" s="1">
        <v>0.950290322837954</v>
      </c>
      <c r="S303" s="1">
        <v>13.035590573638601</v>
      </c>
      <c r="T303" s="7"/>
      <c r="U303" s="1"/>
      <c r="V303" s="1"/>
      <c r="W303" s="8"/>
      <c r="X303" s="7"/>
      <c r="Y303" s="1"/>
      <c r="Z303" s="1"/>
      <c r="AA303" s="8"/>
      <c r="AB303" s="7">
        <v>4</v>
      </c>
      <c r="AC303" s="1">
        <v>0.11836516203703699</v>
      </c>
      <c r="AD303" s="1">
        <v>31.354401152826501</v>
      </c>
      <c r="AE303" s="1">
        <v>0.96219016701612903</v>
      </c>
      <c r="AF303" s="1">
        <v>14.223952410279299</v>
      </c>
      <c r="AG303" s="1">
        <v>34.546897407244202</v>
      </c>
      <c r="AH303" s="1">
        <v>0.96725298328212395</v>
      </c>
      <c r="AI303" s="1">
        <v>14.8482825848071</v>
      </c>
      <c r="AJ303" s="1">
        <v>45.356908321380601</v>
      </c>
      <c r="AK303" s="1">
        <v>32.720125436782801</v>
      </c>
      <c r="AL303" s="7"/>
      <c r="AM303" s="1"/>
      <c r="AN303" s="1"/>
      <c r="AO303" s="8"/>
      <c r="AP303" s="1"/>
      <c r="AQ303" s="1"/>
      <c r="AR303" s="1"/>
      <c r="AS303" s="8"/>
      <c r="AT303" s="7">
        <v>0.04</v>
      </c>
      <c r="AU303" s="1">
        <v>9.27054398148148E-2</v>
      </c>
      <c r="AV303" s="1">
        <v>29.2000774935149</v>
      </c>
      <c r="AW303" s="1">
        <v>0.96565805638386304</v>
      </c>
      <c r="AX303" s="1">
        <v>14.641751291554099</v>
      </c>
      <c r="AY303" s="1">
        <v>32.284733334596297</v>
      </c>
      <c r="AZ303" s="1">
        <v>0.97109842225297205</v>
      </c>
      <c r="BA303" s="1">
        <v>15.390784483117899</v>
      </c>
      <c r="BB303" s="1">
        <v>47.6463363170623</v>
      </c>
      <c r="BC303" s="1">
        <v>36.080076694488497</v>
      </c>
      <c r="BD303" s="7"/>
      <c r="BE303" s="1"/>
      <c r="BF303" s="1"/>
      <c r="BG303" s="8"/>
      <c r="BH303" s="1"/>
      <c r="BI303" s="1"/>
      <c r="BJ303" s="1"/>
      <c r="BK303" s="8"/>
    </row>
    <row r="304" spans="1:63">
      <c r="A304" s="49"/>
      <c r="B304" s="7" t="s">
        <v>71</v>
      </c>
      <c r="C304" s="17">
        <v>1.5</v>
      </c>
      <c r="D304" s="7">
        <v>26</v>
      </c>
      <c r="E304" s="1">
        <v>1.3110706018518501</v>
      </c>
      <c r="F304" s="1">
        <v>37.196459299759198</v>
      </c>
      <c r="G304" s="1">
        <v>0.98269843465662099</v>
      </c>
      <c r="H304" s="1">
        <v>17.619146026955999</v>
      </c>
      <c r="I304" s="1">
        <v>40.899770477477503</v>
      </c>
      <c r="J304" s="1">
        <v>0.99174419873302699</v>
      </c>
      <c r="K304" s="8">
        <v>20.8324076989513</v>
      </c>
      <c r="L304" s="7">
        <v>23</v>
      </c>
      <c r="M304" s="1">
        <v>1.397421875</v>
      </c>
      <c r="N304" s="1">
        <v>38.032870226754397</v>
      </c>
      <c r="O304" s="1">
        <v>0.98599624581656597</v>
      </c>
      <c r="P304" s="1">
        <v>18.537555212800001</v>
      </c>
      <c r="Q304" s="1">
        <v>41.917394368500503</v>
      </c>
      <c r="R304" s="1">
        <v>0.99368480625313704</v>
      </c>
      <c r="S304" s="1">
        <v>21.996133209752099</v>
      </c>
      <c r="T304" s="13">
        <f>bdrate(E304:E307,F304:F307,M304:M307,N304:N307)</f>
        <v>-0.19702901739638612</v>
      </c>
      <c r="U304" s="12">
        <f>bdrate(E304:E307,H304:H307,M304:M307,P304:P307)</f>
        <v>-0.17335081065362956</v>
      </c>
      <c r="V304" s="12">
        <f>bdrate(E304:E307,I304:I307,M304:M307,Q304:Q307)</f>
        <v>-0.20625025482843606</v>
      </c>
      <c r="W304" s="14">
        <f>bdrate(E304:E307,K304:K307,M304:M307,S304:S307)</f>
        <v>-0.17516197845340986</v>
      </c>
      <c r="X304" s="13">
        <f>bdrate(E306:E309,F306:F309,M306:M309,N306:N309)</f>
        <v>-0.27494443947877378</v>
      </c>
      <c r="Y304" s="12">
        <f>bdrate(E306:E309,H306:H309,M306:M309,P306:P309)</f>
        <v>-0.22931217013809491</v>
      </c>
      <c r="Z304" s="12">
        <f>bdrate(E306:E309,I306:I309,M306:M309,Q306:Q309)</f>
        <v>-0.27294192701308162</v>
      </c>
      <c r="AA304" s="14">
        <f>bdrate(E306:E309,K306:K309,M306:M309,S306:S309)</f>
        <v>-0.21132164747935323</v>
      </c>
      <c r="AB304" s="7"/>
      <c r="AC304" s="1"/>
      <c r="AD304" s="1"/>
      <c r="AE304" s="1"/>
      <c r="AF304" s="1"/>
      <c r="AG304" s="1"/>
      <c r="AH304" s="1"/>
      <c r="AI304" s="1"/>
      <c r="AJ304" s="1"/>
      <c r="AK304" s="1"/>
      <c r="AL304" s="13" t="e">
        <f>bdrate(E304:E307,F304:F307,AC304:AC307,AD304:AD307)</f>
        <v>#VALUE!</v>
      </c>
      <c r="AM304" s="12" t="e">
        <f>bdrate(E304:E307,H304:H307,AC304:AC307,AF304:AF307)</f>
        <v>#VALUE!</v>
      </c>
      <c r="AN304" s="12" t="e">
        <f>bdrate(E304:E307,I304:I307,AC304:AC307,AG304:AG307)</f>
        <v>#VALUE!</v>
      </c>
      <c r="AO304" s="14" t="e">
        <f>bdrate(E304:E307,K304:K307,AC304:AC307,AI304:AI307)</f>
        <v>#VALUE!</v>
      </c>
      <c r="AP304" s="12">
        <f>bdrate(E306:E309,F306:F309,AC306:AC309,AD306:AD309)</f>
        <v>-0.20033477094020524</v>
      </c>
      <c r="AQ304" s="12">
        <f>bdrate(E306:E309,H306:H309,AC306:AC309,AF306:AF309)</f>
        <v>-0.23850034900123818</v>
      </c>
      <c r="AR304" s="12">
        <f>bdrate(E306:E309,I306:I309,AC306:AC309,AG306:AG309)</f>
        <v>-0.18899567625929581</v>
      </c>
      <c r="AS304" s="14">
        <f>bdrate(E306:E309,K306:K309,AC306:AC309,AI306:AI309)</f>
        <v>-0.24326074761370753</v>
      </c>
      <c r="AT304" s="7"/>
      <c r="AU304" s="1"/>
      <c r="AV304" s="1"/>
      <c r="AW304" s="1"/>
      <c r="AX304" s="1"/>
      <c r="AY304" s="1"/>
      <c r="AZ304" s="1"/>
      <c r="BA304" s="1"/>
      <c r="BB304" s="1"/>
      <c r="BC304" s="1"/>
      <c r="BD304" s="13" t="e">
        <f>bdrate(E304:E307,F304:F307,AU304:AU307,AV304:AV307)</f>
        <v>#VALUE!</v>
      </c>
      <c r="BE304" s="12" t="e">
        <f>bdrate(E304:E307,H304:H307,AU304:AU307,AX304:AX307)</f>
        <v>#VALUE!</v>
      </c>
      <c r="BF304" s="12" t="e">
        <f>bdrate(E304:E307,I304:I307,AU304:AU307,AY304:AY307)</f>
        <v>#VALUE!</v>
      </c>
      <c r="BG304" s="14" t="e">
        <f>bdrate(E304:E307,K304:K307,AU304:AU307,BA304:BA307)</f>
        <v>#VALUE!</v>
      </c>
      <c r="BH304" s="12">
        <f>bdrate(E306:E309,F306:F309,AU306:AU309,AV306:AV309)</f>
        <v>0.61005939675745524</v>
      </c>
      <c r="BI304" s="12">
        <f>bdrate(E306:E309,H306:H309,AU306:AU309,AX306:AX309)</f>
        <v>-0.56443527720652398</v>
      </c>
      <c r="BJ304" s="12">
        <f>bdrate(E306:E309,I306:I309,AU306:AU309,AY306:AY309)</f>
        <v>0.7074964841918443</v>
      </c>
      <c r="BK304" s="14">
        <f>bdrate(E306:E309,K306:K309,AU306:AU309,BA306:BA309)</f>
        <v>-0.42930091212822452</v>
      </c>
    </row>
    <row r="305" spans="1:63">
      <c r="A305" s="49"/>
      <c r="B305" s="7" t="s">
        <v>18</v>
      </c>
      <c r="C305" s="17">
        <v>1</v>
      </c>
      <c r="D305" s="7">
        <v>28</v>
      </c>
      <c r="E305" s="1">
        <v>0.98913483796296298</v>
      </c>
      <c r="F305" s="1">
        <v>35.9928372913446</v>
      </c>
      <c r="G305" s="1">
        <v>0.97614346052025203</v>
      </c>
      <c r="H305" s="1">
        <v>16.223925528637299</v>
      </c>
      <c r="I305" s="1">
        <v>39.647429638905201</v>
      </c>
      <c r="J305" s="1">
        <v>0.98890392833148</v>
      </c>
      <c r="K305" s="8">
        <v>19.548307468570901</v>
      </c>
      <c r="L305" s="7">
        <v>26</v>
      </c>
      <c r="M305" s="1">
        <v>0.90481192129629595</v>
      </c>
      <c r="N305" s="1">
        <v>36.277007477590502</v>
      </c>
      <c r="O305" s="1">
        <v>0.97748286367092796</v>
      </c>
      <c r="P305" s="1">
        <v>16.474868427533099</v>
      </c>
      <c r="Q305" s="1">
        <v>40.042150515677903</v>
      </c>
      <c r="R305" s="1">
        <v>0.98983106901961504</v>
      </c>
      <c r="S305" s="1">
        <v>19.927247003439899</v>
      </c>
      <c r="T305" s="7"/>
      <c r="U305" s="1"/>
      <c r="V305" s="1"/>
      <c r="W305" s="8"/>
      <c r="X305" s="7"/>
      <c r="Y305" s="1"/>
      <c r="Z305" s="1"/>
      <c r="AA305" s="8"/>
      <c r="AB305" s="7">
        <v>64</v>
      </c>
      <c r="AC305" s="1">
        <v>0.70084780092592502</v>
      </c>
      <c r="AD305" s="1">
        <v>34.997720659221002</v>
      </c>
      <c r="AE305" s="1">
        <v>0.96871012075336904</v>
      </c>
      <c r="AF305" s="1">
        <v>15.0459611287245</v>
      </c>
      <c r="AG305" s="1">
        <v>39.182258943599997</v>
      </c>
      <c r="AH305" s="1">
        <v>0.99031480758509705</v>
      </c>
      <c r="AI305" s="1">
        <v>20.1389174676724</v>
      </c>
      <c r="AJ305" s="1">
        <v>92.830097675323401</v>
      </c>
      <c r="AK305" s="1">
        <v>44.731042861938398</v>
      </c>
      <c r="AL305" s="7"/>
      <c r="AM305" s="1"/>
      <c r="AN305" s="1"/>
      <c r="AO305" s="8"/>
      <c r="AP305" s="1"/>
      <c r="AQ305" s="1"/>
      <c r="AR305" s="1"/>
      <c r="AS305" s="8"/>
      <c r="AT305" s="7">
        <v>0.64</v>
      </c>
      <c r="AU305" s="1">
        <v>0.64344039351851801</v>
      </c>
      <c r="AV305" s="1">
        <v>31.654848177738199</v>
      </c>
      <c r="AW305" s="1">
        <v>0.98180084295405801</v>
      </c>
      <c r="AX305" s="1">
        <v>17.399487273321999</v>
      </c>
      <c r="AY305" s="1">
        <v>34.3583050656203</v>
      </c>
      <c r="AZ305" s="1">
        <v>0.99035164130334297</v>
      </c>
      <c r="BA305" s="1">
        <v>20.1554655915468</v>
      </c>
      <c r="BB305" s="1">
        <v>50.386540889739898</v>
      </c>
      <c r="BC305" s="1">
        <v>34.581017017364502</v>
      </c>
      <c r="BD305" s="7"/>
      <c r="BE305" s="1"/>
      <c r="BF305" s="1"/>
      <c r="BG305" s="8"/>
      <c r="BH305" s="1"/>
      <c r="BI305" s="1"/>
      <c r="BJ305" s="1"/>
      <c r="BK305" s="8"/>
    </row>
    <row r="306" spans="1:63">
      <c r="A306" s="49"/>
      <c r="B306" s="7" t="s">
        <v>18</v>
      </c>
      <c r="C306" s="17">
        <v>0.5</v>
      </c>
      <c r="D306" s="7">
        <v>33</v>
      </c>
      <c r="E306" s="1">
        <v>0.49097222222222198</v>
      </c>
      <c r="F306" s="1">
        <v>33.352484932892501</v>
      </c>
      <c r="G306" s="1">
        <v>0.95740865052129498</v>
      </c>
      <c r="H306" s="1">
        <v>13.706785993751801</v>
      </c>
      <c r="I306" s="1">
        <v>36.819065149781601</v>
      </c>
      <c r="J306" s="1">
        <v>0.98250267707489702</v>
      </c>
      <c r="K306" s="8">
        <v>17.570283929018402</v>
      </c>
      <c r="L306" s="7">
        <v>31</v>
      </c>
      <c r="M306" s="1">
        <v>0.43571469907407401</v>
      </c>
      <c r="N306" s="1">
        <v>33.792910985043903</v>
      </c>
      <c r="O306" s="1">
        <v>0.96031668450198304</v>
      </c>
      <c r="P306" s="1">
        <v>14.013920501685501</v>
      </c>
      <c r="Q306" s="1">
        <v>37.325281950257597</v>
      </c>
      <c r="R306" s="1">
        <v>0.98316688151345</v>
      </c>
      <c r="S306" s="1">
        <v>17.738354196129499</v>
      </c>
      <c r="T306" s="7"/>
      <c r="U306" s="1"/>
      <c r="V306" s="1"/>
      <c r="W306" s="8"/>
      <c r="X306" s="7"/>
      <c r="Y306" s="1"/>
      <c r="Z306" s="1"/>
      <c r="AA306" s="8"/>
      <c r="AB306" s="7">
        <v>32</v>
      </c>
      <c r="AC306" s="1">
        <v>0.49230034722222199</v>
      </c>
      <c r="AD306" s="1">
        <v>33.954342009955297</v>
      </c>
      <c r="AE306" s="1">
        <v>0.961367679511411</v>
      </c>
      <c r="AF306" s="1">
        <v>14.130492047435499</v>
      </c>
      <c r="AG306" s="1">
        <v>37.713361258352101</v>
      </c>
      <c r="AH306" s="1">
        <v>0.98664398014763899</v>
      </c>
      <c r="AI306" s="1">
        <v>18.743229440827601</v>
      </c>
      <c r="AJ306" s="1">
        <v>75.023436546325598</v>
      </c>
      <c r="AK306" s="1">
        <v>42.926922798156703</v>
      </c>
      <c r="AL306" s="7"/>
      <c r="AM306" s="1"/>
      <c r="AN306" s="1"/>
      <c r="AO306" s="8"/>
      <c r="AP306" s="1"/>
      <c r="AQ306" s="1"/>
      <c r="AR306" s="1"/>
      <c r="AS306" s="8"/>
      <c r="AT306" s="7">
        <v>0.32</v>
      </c>
      <c r="AU306" s="1">
        <v>0.47666377314814801</v>
      </c>
      <c r="AV306" s="1">
        <v>30.8029095226787</v>
      </c>
      <c r="AW306" s="1">
        <v>0.97753299539863003</v>
      </c>
      <c r="AX306" s="1">
        <v>16.4845482574786</v>
      </c>
      <c r="AY306" s="1">
        <v>33.512534615445702</v>
      </c>
      <c r="AZ306" s="1">
        <v>0.98811109618000303</v>
      </c>
      <c r="BA306" s="1">
        <v>19.248581863294099</v>
      </c>
      <c r="BB306" s="1">
        <v>67.021624803543006</v>
      </c>
      <c r="BC306" s="1">
        <v>41.666925668716402</v>
      </c>
      <c r="BD306" s="7"/>
      <c r="BE306" s="1"/>
      <c r="BF306" s="1"/>
      <c r="BG306" s="8"/>
      <c r="BH306" s="1"/>
      <c r="BI306" s="1"/>
      <c r="BJ306" s="1"/>
      <c r="BK306" s="8"/>
    </row>
    <row r="307" spans="1:63">
      <c r="A307" s="49"/>
      <c r="B307" s="7" t="s">
        <v>18</v>
      </c>
      <c r="C307" s="17">
        <v>0.25</v>
      </c>
      <c r="D307" s="7">
        <v>39</v>
      </c>
      <c r="E307" s="1">
        <v>0.224337384259259</v>
      </c>
      <c r="F307" s="1">
        <v>30.503172420387401</v>
      </c>
      <c r="G307" s="1">
        <v>0.94032559733106902</v>
      </c>
      <c r="H307" s="1">
        <v>12.242119195166</v>
      </c>
      <c r="I307" s="1">
        <v>33.587599861896102</v>
      </c>
      <c r="J307" s="1">
        <v>0.97143199261241497</v>
      </c>
      <c r="K307" s="8">
        <v>15.441200505082501</v>
      </c>
      <c r="L307" s="7">
        <v>36</v>
      </c>
      <c r="M307" s="1">
        <v>0.225651041666666</v>
      </c>
      <c r="N307" s="1">
        <v>31.661430856374398</v>
      </c>
      <c r="O307" s="1">
        <v>0.94593762530115599</v>
      </c>
      <c r="P307" s="1">
        <v>12.671048817606099</v>
      </c>
      <c r="Q307" s="1">
        <v>34.846282281532297</v>
      </c>
      <c r="R307" s="1">
        <v>0.97553758587532602</v>
      </c>
      <c r="S307" s="1">
        <v>16.115006859224199</v>
      </c>
      <c r="T307" s="7"/>
      <c r="U307" s="1"/>
      <c r="V307" s="1"/>
      <c r="W307" s="8"/>
      <c r="X307" s="7"/>
      <c r="Y307" s="1"/>
      <c r="Z307" s="1"/>
      <c r="AA307" s="8"/>
      <c r="AB307" s="7">
        <v>16</v>
      </c>
      <c r="AC307" s="1">
        <v>0.33484085648148099</v>
      </c>
      <c r="AD307" s="1">
        <v>32.764527950181701</v>
      </c>
      <c r="AE307" s="1">
        <v>0.95473743726846905</v>
      </c>
      <c r="AF307" s="1">
        <v>13.442608602651999</v>
      </c>
      <c r="AG307" s="1">
        <v>36.118468976494498</v>
      </c>
      <c r="AH307" s="1">
        <v>0.98216793298577398</v>
      </c>
      <c r="AI307" s="1">
        <v>17.487983124140001</v>
      </c>
      <c r="AJ307" s="1">
        <v>51.925560951232903</v>
      </c>
      <c r="AK307" s="1">
        <v>36.268250226974402</v>
      </c>
      <c r="AL307" s="7"/>
      <c r="AM307" s="1"/>
      <c r="AN307" s="1"/>
      <c r="AO307" s="8"/>
      <c r="AP307" s="1"/>
      <c r="AQ307" s="1"/>
      <c r="AR307" s="1"/>
      <c r="AS307" s="8"/>
      <c r="AT307" s="7">
        <v>0.16</v>
      </c>
      <c r="AU307" s="1">
        <v>0.30653645833333298</v>
      </c>
      <c r="AV307" s="1">
        <v>29.642984787866499</v>
      </c>
      <c r="AW307" s="1">
        <v>0.96870142313047103</v>
      </c>
      <c r="AX307" s="1">
        <v>15.0447540915521</v>
      </c>
      <c r="AY307" s="1">
        <v>32.381348078302601</v>
      </c>
      <c r="AZ307" s="1">
        <v>0.98375929800059203</v>
      </c>
      <c r="BA307" s="1">
        <v>17.893952024421299</v>
      </c>
      <c r="BB307" s="1">
        <v>53.924430131912203</v>
      </c>
      <c r="BC307" s="1">
        <v>39.782333135604802</v>
      </c>
      <c r="BD307" s="7"/>
      <c r="BE307" s="1"/>
      <c r="BF307" s="1"/>
      <c r="BG307" s="8"/>
      <c r="BH307" s="1"/>
      <c r="BI307" s="1"/>
      <c r="BJ307" s="1"/>
      <c r="BK307" s="8"/>
    </row>
    <row r="308" spans="1:63">
      <c r="A308" s="49"/>
      <c r="B308" s="7" t="s">
        <v>18</v>
      </c>
      <c r="C308" s="17">
        <v>0.12</v>
      </c>
      <c r="D308" s="7">
        <v>44</v>
      </c>
      <c r="E308" s="1">
        <v>0.113029513888888</v>
      </c>
      <c r="F308" s="1">
        <v>28.0369721033512</v>
      </c>
      <c r="G308" s="1">
        <v>0.91968700995418895</v>
      </c>
      <c r="H308" s="1">
        <v>10.9521420504567</v>
      </c>
      <c r="I308" s="1">
        <v>30.9585029670341</v>
      </c>
      <c r="J308" s="1">
        <v>0.95334369610880898</v>
      </c>
      <c r="K308" s="8">
        <v>13.3108966895505</v>
      </c>
      <c r="L308" s="7">
        <v>41</v>
      </c>
      <c r="M308" s="1">
        <v>0.117265625</v>
      </c>
      <c r="N308" s="1">
        <v>29.340741494964298</v>
      </c>
      <c r="O308" s="1">
        <v>0.93017785994666402</v>
      </c>
      <c r="P308" s="1">
        <v>11.560068441624599</v>
      </c>
      <c r="Q308" s="1">
        <v>32.324706029304402</v>
      </c>
      <c r="R308" s="1">
        <v>0.96190851606101702</v>
      </c>
      <c r="S308" s="1">
        <v>14.1917210809625</v>
      </c>
      <c r="T308" s="7"/>
      <c r="U308" s="1"/>
      <c r="V308" s="1"/>
      <c r="W308" s="8"/>
      <c r="X308" s="7"/>
      <c r="Y308" s="1"/>
      <c r="Z308" s="1"/>
      <c r="AA308" s="8"/>
      <c r="AB308" s="7">
        <v>8</v>
      </c>
      <c r="AC308" s="1">
        <v>0.23399594907407401</v>
      </c>
      <c r="AD308" s="1">
        <v>31.4752013100459</v>
      </c>
      <c r="AE308" s="1">
        <v>0.94819599241322305</v>
      </c>
      <c r="AF308" s="1">
        <v>12.856366416929999</v>
      </c>
      <c r="AG308" s="1">
        <v>34.580612416421999</v>
      </c>
      <c r="AH308" s="1">
        <v>0.97680060372463096</v>
      </c>
      <c r="AI308" s="1">
        <v>16.3452331673356</v>
      </c>
      <c r="AJ308" s="1">
        <v>46.3658127784729</v>
      </c>
      <c r="AK308" s="1">
        <v>32.057152509689303</v>
      </c>
      <c r="AL308" s="7"/>
      <c r="AM308" s="1"/>
      <c r="AN308" s="1"/>
      <c r="AO308" s="8"/>
      <c r="AP308" s="1"/>
      <c r="AQ308" s="1"/>
      <c r="AR308" s="1"/>
      <c r="AS308" s="8"/>
      <c r="AT308" s="7">
        <v>0.08</v>
      </c>
      <c r="AU308" s="1">
        <v>0.18574363425925899</v>
      </c>
      <c r="AV308" s="1">
        <v>28.351731620562301</v>
      </c>
      <c r="AW308" s="1">
        <v>0.95595011744013203</v>
      </c>
      <c r="AX308" s="1">
        <v>13.560552451104799</v>
      </c>
      <c r="AY308" s="1">
        <v>31.1260174044004</v>
      </c>
      <c r="AZ308" s="1">
        <v>0.97749418236839802</v>
      </c>
      <c r="BA308" s="1">
        <v>16.477052046120701</v>
      </c>
      <c r="BB308" s="1">
        <v>44.968538284301701</v>
      </c>
      <c r="BC308" s="1">
        <v>32.289838790893498</v>
      </c>
      <c r="BD308" s="7"/>
      <c r="BE308" s="1"/>
      <c r="BF308" s="1"/>
      <c r="BG308" s="8"/>
      <c r="BH308" s="1"/>
      <c r="BI308" s="1"/>
      <c r="BJ308" s="1"/>
      <c r="BK308" s="8"/>
    </row>
    <row r="309" spans="1:63">
      <c r="A309" s="49"/>
      <c r="B309" s="7" t="s">
        <v>18</v>
      </c>
      <c r="C309" s="17">
        <v>0.06</v>
      </c>
      <c r="D309" s="7">
        <v>49</v>
      </c>
      <c r="E309" s="1">
        <v>5.12326388888888E-2</v>
      </c>
      <c r="F309" s="1">
        <v>25.554675831030401</v>
      </c>
      <c r="G309" s="1">
        <v>0.88518134092796297</v>
      </c>
      <c r="H309" s="1">
        <v>9.3998752941593207</v>
      </c>
      <c r="I309" s="1">
        <v>28.469373087118299</v>
      </c>
      <c r="J309" s="1">
        <v>0.92090452895069796</v>
      </c>
      <c r="K309" s="8">
        <v>11.018483831850901</v>
      </c>
      <c r="L309" s="7">
        <v>46</v>
      </c>
      <c r="M309" s="1">
        <v>5.7071759259259197E-2</v>
      </c>
      <c r="N309" s="1">
        <v>26.919333380540699</v>
      </c>
      <c r="O309" s="1">
        <v>0.903721120218829</v>
      </c>
      <c r="P309" s="1">
        <v>10.164689714473401</v>
      </c>
      <c r="Q309" s="1">
        <v>29.862797318449498</v>
      </c>
      <c r="R309" s="1">
        <v>0.93734699984302206</v>
      </c>
      <c r="S309" s="1">
        <v>12.0305812785541</v>
      </c>
      <c r="T309" s="7"/>
      <c r="U309" s="1"/>
      <c r="V309" s="1"/>
      <c r="W309" s="8"/>
      <c r="X309" s="7"/>
      <c r="Y309" s="1"/>
      <c r="Z309" s="1"/>
      <c r="AA309" s="8"/>
      <c r="AB309" s="7">
        <v>4</v>
      </c>
      <c r="AC309" s="1">
        <v>0.162051504629629</v>
      </c>
      <c r="AD309" s="1">
        <v>30.1386750142332</v>
      </c>
      <c r="AE309" s="1">
        <v>0.93961656878833499</v>
      </c>
      <c r="AF309" s="1">
        <v>12.1908221238027</v>
      </c>
      <c r="AG309" s="1">
        <v>33.099647630815802</v>
      </c>
      <c r="AH309" s="1">
        <v>0.96909742229783602</v>
      </c>
      <c r="AI309" s="1">
        <v>15.1000529290092</v>
      </c>
      <c r="AJ309" s="1">
        <v>45.438506126403801</v>
      </c>
      <c r="AK309" s="1">
        <v>33.585560083389197</v>
      </c>
      <c r="AL309" s="7"/>
      <c r="AM309" s="1"/>
      <c r="AN309" s="1"/>
      <c r="AO309" s="8"/>
      <c r="AP309" s="1"/>
      <c r="AQ309" s="1"/>
      <c r="AR309" s="1"/>
      <c r="AS309" s="8"/>
      <c r="AT309" s="7">
        <v>0.04</v>
      </c>
      <c r="AU309" s="1">
        <v>0.115755208333333</v>
      </c>
      <c r="AV309" s="1">
        <v>27.2236535250861</v>
      </c>
      <c r="AW309" s="1">
        <v>0.94292283245845998</v>
      </c>
      <c r="AX309" s="1">
        <v>12.4353758691691</v>
      </c>
      <c r="AY309" s="1">
        <v>29.998950022963101</v>
      </c>
      <c r="AZ309" s="1">
        <v>0.96941782361859097</v>
      </c>
      <c r="BA309" s="1">
        <v>15.145316112453701</v>
      </c>
      <c r="BB309" s="1">
        <v>47.582605838775599</v>
      </c>
      <c r="BC309" s="1">
        <v>36.687477827072101</v>
      </c>
      <c r="BD309" s="7"/>
      <c r="BE309" s="1"/>
      <c r="BF309" s="1"/>
      <c r="BG309" s="8"/>
      <c r="BH309" s="1"/>
      <c r="BI309" s="1"/>
      <c r="BJ309" s="1"/>
      <c r="BK309" s="8"/>
    </row>
    <row r="310" spans="1:63">
      <c r="A310" s="49"/>
      <c r="B310" s="7" t="s">
        <v>72</v>
      </c>
      <c r="C310" s="17">
        <v>1.5</v>
      </c>
      <c r="D310" s="7">
        <v>29</v>
      </c>
      <c r="E310" s="1">
        <v>1.4867939814814799</v>
      </c>
      <c r="F310" s="1">
        <v>35.1373239579708</v>
      </c>
      <c r="G310" s="1">
        <v>0.99210131468364504</v>
      </c>
      <c r="H310" s="1">
        <v>21.024451881229901</v>
      </c>
      <c r="I310" s="1">
        <v>38.467208547903503</v>
      </c>
      <c r="J310" s="1">
        <v>0.99534769063962503</v>
      </c>
      <c r="K310" s="8">
        <v>23.3233141409914</v>
      </c>
      <c r="L310" s="7">
        <v>26</v>
      </c>
      <c r="M310" s="1">
        <v>1.4607793209876501</v>
      </c>
      <c r="N310" s="1">
        <v>36.695716140455502</v>
      </c>
      <c r="O310" s="1">
        <v>0.994169436615152</v>
      </c>
      <c r="P310" s="1">
        <v>22.342894790130199</v>
      </c>
      <c r="Q310" s="1">
        <v>39.931582351992198</v>
      </c>
      <c r="R310" s="1">
        <v>0.99641024565857605</v>
      </c>
      <c r="S310" s="1">
        <v>24.449352705900701</v>
      </c>
      <c r="T310" s="13">
        <f>bdrate(E310:E313,F310:F313,M310:M313,N310:N313)</f>
        <v>-0.22736853125836631</v>
      </c>
      <c r="U310" s="12">
        <f>bdrate(E310:E313,H310:H313,M310:M313,P310:P313)</f>
        <v>-0.18697785156789004</v>
      </c>
      <c r="V310" s="12">
        <f>bdrate(E310:E313,I310:I313,M310:M313,Q310:Q313)</f>
        <v>-0.23423008781774102</v>
      </c>
      <c r="W310" s="14">
        <f>bdrate(E310:E313,K310:K313,M310:M313,S310:S313)</f>
        <v>-0.13170716998172627</v>
      </c>
      <c r="X310" s="13">
        <f>bdrate(E312:E315,F312:F315,M312:M315,N312:N315)</f>
        <v>-0.20114218835932096</v>
      </c>
      <c r="Y310" s="12">
        <f>bdrate(E312:E315,H312:H315,M312:M315,P312:P315)</f>
        <v>-0.16042133653767121</v>
      </c>
      <c r="Z310" s="12">
        <f>bdrate(E312:E315,I312:I315,M312:M315,Q312:Q315)</f>
        <v>-0.25032288933408686</v>
      </c>
      <c r="AA310" s="14">
        <f>bdrate(E312:E315,K312:K315,M312:M315,S312:S315)</f>
        <v>-0.1313510768967</v>
      </c>
      <c r="AB310" s="7"/>
      <c r="AC310" s="1"/>
      <c r="AD310" s="1"/>
      <c r="AE310" s="1"/>
      <c r="AF310" s="1"/>
      <c r="AG310" s="1"/>
      <c r="AH310" s="1"/>
      <c r="AI310" s="1"/>
      <c r="AJ310" s="1"/>
      <c r="AK310" s="1"/>
      <c r="AL310" s="13" t="e">
        <f>bdrate(E310:E313,F310:F313,AC310:AC313,AD310:AD313)</f>
        <v>#VALUE!</v>
      </c>
      <c r="AM310" s="12" t="e">
        <f>bdrate(E310:E313,H310:H313,AC310:AC313,AF310:AF313)</f>
        <v>#VALUE!</v>
      </c>
      <c r="AN310" s="12" t="e">
        <f>bdrate(E310:E313,I310:I313,AC310:AC313,AG310:AG313)</f>
        <v>#VALUE!</v>
      </c>
      <c r="AO310" s="14" t="e">
        <f>bdrate(E310:E313,K310:K313,AC310:AC313,AI310:AI313)</f>
        <v>#VALUE!</v>
      </c>
      <c r="AP310" s="12">
        <f>bdrate(E312:E315,F312:F315,AC312:AC315,AD312:AD315)</f>
        <v>-0.1936923860051889</v>
      </c>
      <c r="AQ310" s="12">
        <f>bdrate(E312:E315,H312:H315,AC312:AC315,AF312:AF315)</f>
        <v>-0.180607895376659</v>
      </c>
      <c r="AR310" s="12">
        <f>bdrate(E312:E315,I312:I315,AC312:AC315,AG312:AG315)</f>
        <v>-0.24651635037251096</v>
      </c>
      <c r="AS310" s="14">
        <f>bdrate(E312:E315,K312:K315,AC312:AC315,AI312:AI315)</f>
        <v>-0.13081987507303738</v>
      </c>
      <c r="AT310" s="7"/>
      <c r="AU310" s="1"/>
      <c r="AV310" s="1"/>
      <c r="AW310" s="1"/>
      <c r="AX310" s="1"/>
      <c r="AY310" s="1"/>
      <c r="AZ310" s="1"/>
      <c r="BA310" s="1"/>
      <c r="BB310" s="1"/>
      <c r="BC310" s="1"/>
      <c r="BD310" s="13" t="e">
        <f>bdrate(E310:E313,F310:F313,AU310:AU313,AV310:AV313)</f>
        <v>#VALUE!</v>
      </c>
      <c r="BE310" s="12" t="e">
        <f>bdrate(E310:E313,H310:H313,AU310:AU313,AX310:AX313)</f>
        <v>#VALUE!</v>
      </c>
      <c r="BF310" s="12" t="e">
        <f>bdrate(E310:E313,I310:I313,AU310:AU313,AY310:AY313)</f>
        <v>#VALUE!</v>
      </c>
      <c r="BG310" s="14" t="e">
        <f>bdrate(E310:E313,K310:K313,AU310:AU313,BA310:BA313)</f>
        <v>#VALUE!</v>
      </c>
      <c r="BH310" s="12">
        <f>bdrate(E312:E315,F312:F315,AU312:AU315,AV312:AV315)</f>
        <v>0.12133671584731109</v>
      </c>
      <c r="BI310" s="12">
        <f>bdrate(E312:E315,H312:H315,AU312:AU315,AX312:AX315)</f>
        <v>-0.45968036009467728</v>
      </c>
      <c r="BJ310" s="12">
        <f>bdrate(E312:E315,I312:I315,AU312:AU315,AY312:AY315)</f>
        <v>7.1326287761649398E-2</v>
      </c>
      <c r="BK310" s="14">
        <f>bdrate(E312:E315,K312:K315,AU312:AU315,BA312:BA315)</f>
        <v>-0.41957490579156109</v>
      </c>
    </row>
    <row r="311" spans="1:63">
      <c r="A311" s="49"/>
      <c r="B311" s="7" t="s">
        <v>18</v>
      </c>
      <c r="C311" s="17">
        <v>1</v>
      </c>
      <c r="D311" s="7">
        <v>33</v>
      </c>
      <c r="E311" s="1">
        <v>0.94282021604938204</v>
      </c>
      <c r="F311" s="1">
        <v>32.385744313931298</v>
      </c>
      <c r="G311" s="1">
        <v>0.98512413309119296</v>
      </c>
      <c r="H311" s="1">
        <v>18.275177158353301</v>
      </c>
      <c r="I311" s="1">
        <v>35.528468678356099</v>
      </c>
      <c r="J311" s="1">
        <v>0.99002299992479503</v>
      </c>
      <c r="K311" s="8">
        <v>20.010000245080501</v>
      </c>
      <c r="L311" s="7">
        <v>30</v>
      </c>
      <c r="M311" s="1">
        <v>0.95326388888888802</v>
      </c>
      <c r="N311" s="1">
        <v>34.0121476849543</v>
      </c>
      <c r="O311" s="1">
        <v>0.98917219935155098</v>
      </c>
      <c r="P311" s="1">
        <v>19.654597486602899</v>
      </c>
      <c r="Q311" s="1">
        <v>37.110272313113697</v>
      </c>
      <c r="R311" s="1">
        <v>0.99227192631221794</v>
      </c>
      <c r="S311" s="1">
        <v>21.1192874554126</v>
      </c>
      <c r="T311" s="7"/>
      <c r="U311" s="1"/>
      <c r="V311" s="1"/>
      <c r="W311" s="8"/>
      <c r="X311" s="7"/>
      <c r="Y311" s="1"/>
      <c r="Z311" s="1"/>
      <c r="AA311" s="8"/>
      <c r="AB311" s="7">
        <v>64</v>
      </c>
      <c r="AC311" s="1">
        <v>1.1791319444444399</v>
      </c>
      <c r="AD311" s="1">
        <v>35.206188901411302</v>
      </c>
      <c r="AE311" s="1">
        <v>0.99308886483000802</v>
      </c>
      <c r="AF311" s="1">
        <v>21.604506128901601</v>
      </c>
      <c r="AG311" s="1">
        <v>38.403126316968397</v>
      </c>
      <c r="AH311" s="1">
        <v>0.99580685262431801</v>
      </c>
      <c r="AI311" s="1">
        <v>23.774598732700699</v>
      </c>
      <c r="AJ311" s="1">
        <v>73.714193820953298</v>
      </c>
      <c r="AK311" s="1">
        <v>32.584903717041001</v>
      </c>
      <c r="AL311" s="7"/>
      <c r="AM311" s="1"/>
      <c r="AN311" s="1"/>
      <c r="AO311" s="8"/>
      <c r="AP311" s="1"/>
      <c r="AQ311" s="1"/>
      <c r="AR311" s="1"/>
      <c r="AS311" s="8"/>
      <c r="AT311" s="7">
        <v>0.64</v>
      </c>
      <c r="AU311" s="1">
        <v>0.67951774691358002</v>
      </c>
      <c r="AV311" s="1">
        <v>29.299359077517799</v>
      </c>
      <c r="AW311" s="1">
        <v>0.99129596846706003</v>
      </c>
      <c r="AX311" s="1">
        <v>20.602795442822998</v>
      </c>
      <c r="AY311" s="1">
        <v>32.501607849426598</v>
      </c>
      <c r="AZ311" s="1">
        <v>0.99344323675542201</v>
      </c>
      <c r="BA311" s="1">
        <v>21.833104978082201</v>
      </c>
      <c r="BB311" s="1">
        <v>38.107551574707003</v>
      </c>
      <c r="BC311" s="1">
        <v>24.092939376831001</v>
      </c>
      <c r="BD311" s="7"/>
      <c r="BE311" s="1"/>
      <c r="BF311" s="1"/>
      <c r="BG311" s="8"/>
      <c r="BH311" s="1"/>
      <c r="BI311" s="1"/>
      <c r="BJ311" s="1"/>
      <c r="BK311" s="8"/>
    </row>
    <row r="312" spans="1:63">
      <c r="A312" s="49"/>
      <c r="B312" s="7" t="s">
        <v>18</v>
      </c>
      <c r="C312" s="17">
        <v>0.5</v>
      </c>
      <c r="D312" s="7">
        <v>38</v>
      </c>
      <c r="E312" s="1">
        <v>0.49521219135802402</v>
      </c>
      <c r="F312" s="1">
        <v>29.154752895922901</v>
      </c>
      <c r="G312" s="1">
        <v>0.96769413794848003</v>
      </c>
      <c r="H312" s="1">
        <v>14.9071866572974</v>
      </c>
      <c r="I312" s="1">
        <v>32.196755696819899</v>
      </c>
      <c r="J312" s="1">
        <v>0.97485922971950301</v>
      </c>
      <c r="K312" s="8">
        <v>15.9962142022825</v>
      </c>
      <c r="L312" s="7">
        <v>36</v>
      </c>
      <c r="M312" s="1">
        <v>0.46315972222222201</v>
      </c>
      <c r="N312" s="1">
        <v>30.045599860603701</v>
      </c>
      <c r="O312" s="1">
        <v>0.97223686044132296</v>
      </c>
      <c r="P312" s="1">
        <v>15.5653142381114</v>
      </c>
      <c r="Q312" s="1">
        <v>33.204880810229</v>
      </c>
      <c r="R312" s="1">
        <v>0.97700226053398898</v>
      </c>
      <c r="S312" s="1">
        <v>16.383148503165501</v>
      </c>
      <c r="T312" s="7"/>
      <c r="U312" s="1"/>
      <c r="V312" s="1"/>
      <c r="W312" s="8"/>
      <c r="X312" s="7"/>
      <c r="Y312" s="1"/>
      <c r="Z312" s="1"/>
      <c r="AA312" s="8"/>
      <c r="AB312" s="7">
        <v>32</v>
      </c>
      <c r="AC312" s="1">
        <v>0.89125385802469104</v>
      </c>
      <c r="AD312" s="1">
        <v>33.5529780834405</v>
      </c>
      <c r="AE312" s="1">
        <v>0.98921715580766501</v>
      </c>
      <c r="AF312" s="1">
        <v>19.672666701218802</v>
      </c>
      <c r="AG312" s="1">
        <v>36.671093351691098</v>
      </c>
      <c r="AH312" s="1">
        <v>0.99250488390843905</v>
      </c>
      <c r="AI312" s="1">
        <v>21.252216359933101</v>
      </c>
      <c r="AJ312" s="1">
        <v>52.139494895935002</v>
      </c>
      <c r="AK312" s="1">
        <v>30.5096449851989</v>
      </c>
      <c r="AL312" s="7"/>
      <c r="AM312" s="1"/>
      <c r="AN312" s="1"/>
      <c r="AO312" s="8"/>
      <c r="AP312" s="1"/>
      <c r="AQ312" s="1"/>
      <c r="AR312" s="1"/>
      <c r="AS312" s="8"/>
      <c r="AT312" s="7">
        <v>0.32</v>
      </c>
      <c r="AU312" s="1">
        <v>0.52827546296296302</v>
      </c>
      <c r="AV312" s="1">
        <v>28.6104147113831</v>
      </c>
      <c r="AW312" s="1">
        <v>0.98763602422017605</v>
      </c>
      <c r="AX312" s="1">
        <v>19.078418543608599</v>
      </c>
      <c r="AY312" s="1">
        <v>31.822784150980201</v>
      </c>
      <c r="AZ312" s="1">
        <v>0.99034112459144497</v>
      </c>
      <c r="BA312" s="1">
        <v>20.150734359334201</v>
      </c>
      <c r="BB312" s="1">
        <v>49.527023792266803</v>
      </c>
      <c r="BC312" s="1">
        <v>29.654152870178201</v>
      </c>
      <c r="BD312" s="7"/>
      <c r="BE312" s="1"/>
      <c r="BF312" s="1"/>
      <c r="BG312" s="8"/>
      <c r="BH312" s="1"/>
      <c r="BI312" s="1"/>
      <c r="BJ312" s="1"/>
      <c r="BK312" s="8"/>
    </row>
    <row r="313" spans="1:63">
      <c r="A313" s="49"/>
      <c r="B313" s="7" t="s">
        <v>18</v>
      </c>
      <c r="C313" s="17">
        <v>0.25</v>
      </c>
      <c r="D313" s="7">
        <v>43</v>
      </c>
      <c r="E313" s="1">
        <v>0.24008487654320901</v>
      </c>
      <c r="F313" s="1">
        <v>26.228986254585799</v>
      </c>
      <c r="G313" s="1">
        <v>0.93312781535147504</v>
      </c>
      <c r="H313" s="1">
        <v>11.7475448859461</v>
      </c>
      <c r="I313" s="1">
        <v>29.3665940588164</v>
      </c>
      <c r="J313" s="1">
        <v>0.94223616831815604</v>
      </c>
      <c r="K313" s="8">
        <v>12.383440061744301</v>
      </c>
      <c r="L313" s="7">
        <v>41</v>
      </c>
      <c r="M313" s="1">
        <v>0.22863811728395</v>
      </c>
      <c r="N313" s="1">
        <v>26.882388172721701</v>
      </c>
      <c r="O313" s="1">
        <v>0.94049400203274403</v>
      </c>
      <c r="P313" s="1">
        <v>12.2543925691353</v>
      </c>
      <c r="Q313" s="1">
        <v>30.1682646244961</v>
      </c>
      <c r="R313" s="1">
        <v>0.94724377241758395</v>
      </c>
      <c r="S313" s="1">
        <v>12.7772626692997</v>
      </c>
      <c r="T313" s="7"/>
      <c r="U313" s="1"/>
      <c r="V313" s="1"/>
      <c r="W313" s="8"/>
      <c r="X313" s="7"/>
      <c r="Y313" s="1"/>
      <c r="Z313" s="1"/>
      <c r="AA313" s="8"/>
      <c r="AB313" s="7">
        <v>16</v>
      </c>
      <c r="AC313" s="1">
        <v>0.62904706790123399</v>
      </c>
      <c r="AD313" s="1">
        <v>31.568132008095201</v>
      </c>
      <c r="AE313" s="1">
        <v>0.981791906815764</v>
      </c>
      <c r="AF313" s="1">
        <v>17.397355326743199</v>
      </c>
      <c r="AG313" s="1">
        <v>34.713430899905902</v>
      </c>
      <c r="AH313" s="1">
        <v>0.98592420434941896</v>
      </c>
      <c r="AI313" s="1">
        <v>18.515270467863498</v>
      </c>
      <c r="AJ313" s="1">
        <v>41.6648077964782</v>
      </c>
      <c r="AK313" s="1">
        <v>26.808261871337798</v>
      </c>
      <c r="AL313" s="7"/>
      <c r="AM313" s="1"/>
      <c r="AN313" s="1"/>
      <c r="AO313" s="8"/>
      <c r="AP313" s="1"/>
      <c r="AQ313" s="1"/>
      <c r="AR313" s="1"/>
      <c r="AS313" s="8"/>
      <c r="AT313" s="7">
        <v>0.16</v>
      </c>
      <c r="AU313" s="1">
        <v>0.38794367283950598</v>
      </c>
      <c r="AV313" s="1">
        <v>27.602296929903801</v>
      </c>
      <c r="AW313" s="1">
        <v>0.98079045568908796</v>
      </c>
      <c r="AX313" s="1">
        <v>17.164829373560899</v>
      </c>
      <c r="AY313" s="1">
        <v>30.837680131509099</v>
      </c>
      <c r="AZ313" s="1">
        <v>0.98432926168625701</v>
      </c>
      <c r="BA313" s="1">
        <v>18.0491054162773</v>
      </c>
      <c r="BB313" s="1">
        <v>41.007853507995598</v>
      </c>
      <c r="BC313" s="1">
        <v>31.194265127182</v>
      </c>
      <c r="BD313" s="7"/>
      <c r="BE313" s="1"/>
      <c r="BF313" s="1"/>
      <c r="BG313" s="8"/>
      <c r="BH313" s="1"/>
      <c r="BI313" s="1"/>
      <c r="BJ313" s="1"/>
      <c r="BK313" s="8"/>
    </row>
    <row r="314" spans="1:63">
      <c r="A314" s="49"/>
      <c r="B314" s="7" t="s">
        <v>18</v>
      </c>
      <c r="C314" s="17">
        <v>0.12</v>
      </c>
      <c r="D314" s="7">
        <v>48</v>
      </c>
      <c r="E314" s="1">
        <v>0.10390432098765399</v>
      </c>
      <c r="F314" s="1">
        <v>23.61319075159</v>
      </c>
      <c r="G314" s="1">
        <v>0.86770153773797798</v>
      </c>
      <c r="H314" s="1">
        <v>8.7844520369609604</v>
      </c>
      <c r="I314" s="1">
        <v>26.956838384969998</v>
      </c>
      <c r="J314" s="1">
        <v>0.87750368818027402</v>
      </c>
      <c r="K314" s="8">
        <v>9.1187698705826108</v>
      </c>
      <c r="L314" s="7">
        <v>46</v>
      </c>
      <c r="M314" s="1">
        <v>0.101439043209876</v>
      </c>
      <c r="N314" s="1">
        <v>24.152832761964</v>
      </c>
      <c r="O314" s="1">
        <v>0.88114440897777202</v>
      </c>
      <c r="P314" s="1">
        <v>9.2498038404105696</v>
      </c>
      <c r="Q314" s="1">
        <v>27.674967062156799</v>
      </c>
      <c r="R314" s="1">
        <v>0.88900050739276104</v>
      </c>
      <c r="S314" s="1">
        <v>9.5467900642397208</v>
      </c>
      <c r="T314" s="7"/>
      <c r="U314" s="1"/>
      <c r="V314" s="1"/>
      <c r="W314" s="8"/>
      <c r="X314" s="7"/>
      <c r="Y314" s="1"/>
      <c r="Z314" s="1"/>
      <c r="AA314" s="8"/>
      <c r="AB314" s="7">
        <v>8</v>
      </c>
      <c r="AC314" s="1">
        <v>0.43031249999999999</v>
      </c>
      <c r="AD314" s="1">
        <v>29.5574353862525</v>
      </c>
      <c r="AE314" s="1">
        <v>0.97048007554034499</v>
      </c>
      <c r="AF314" s="1">
        <v>15.2988475819035</v>
      </c>
      <c r="AG314" s="1">
        <v>32.808592517724499</v>
      </c>
      <c r="AH314" s="1">
        <v>0.97520124701548505</v>
      </c>
      <c r="AI314" s="1">
        <v>16.055701573012101</v>
      </c>
      <c r="AJ314" s="1">
        <v>35.301505327224703</v>
      </c>
      <c r="AK314" s="1">
        <v>24.107403278350802</v>
      </c>
      <c r="AL314" s="7"/>
      <c r="AM314" s="1"/>
      <c r="AN314" s="1"/>
      <c r="AO314" s="8"/>
      <c r="AP314" s="1"/>
      <c r="AQ314" s="1"/>
      <c r="AR314" s="1"/>
      <c r="AS314" s="8"/>
      <c r="AT314" s="7">
        <v>0.08</v>
      </c>
      <c r="AU314" s="1">
        <v>0.27568287037036998</v>
      </c>
      <c r="AV314" s="1">
        <v>26.360480110051501</v>
      </c>
      <c r="AW314" s="1">
        <v>0.96970854203117496</v>
      </c>
      <c r="AX314" s="1">
        <v>15.1867982298351</v>
      </c>
      <c r="AY314" s="1">
        <v>29.653538516606499</v>
      </c>
      <c r="AZ314" s="1">
        <v>0.973944238115247</v>
      </c>
      <c r="BA314" s="1">
        <v>15.8409622330296</v>
      </c>
      <c r="BB314" s="1">
        <v>33.591304302215498</v>
      </c>
      <c r="BC314" s="1">
        <v>23.576163530349699</v>
      </c>
      <c r="BD314" s="7"/>
      <c r="BE314" s="1"/>
      <c r="BF314" s="1"/>
      <c r="BG314" s="8"/>
      <c r="BH314" s="1"/>
      <c r="BI314" s="1"/>
      <c r="BJ314" s="1"/>
      <c r="BK314" s="8"/>
    </row>
    <row r="315" spans="1:63">
      <c r="A315" s="49"/>
      <c r="B315" s="7" t="s">
        <v>18</v>
      </c>
      <c r="C315" s="17">
        <v>0.06</v>
      </c>
      <c r="D315" s="7">
        <v>51</v>
      </c>
      <c r="E315" s="1">
        <v>5.90277777777777E-2</v>
      </c>
      <c r="F315" s="1">
        <v>22.216608718913001</v>
      </c>
      <c r="G315" s="1">
        <v>0.80752394426599705</v>
      </c>
      <c r="H315" s="1">
        <v>7.1562328958085804</v>
      </c>
      <c r="I315" s="1">
        <v>25.684096940930701</v>
      </c>
      <c r="J315" s="1">
        <v>0.81697238632995195</v>
      </c>
      <c r="K315" s="8">
        <v>7.3748338262028099</v>
      </c>
      <c r="L315" s="7">
        <v>49</v>
      </c>
      <c r="M315" s="1">
        <v>5.8325617283950602E-2</v>
      </c>
      <c r="N315" s="1">
        <v>22.671054511139801</v>
      </c>
      <c r="O315" s="1">
        <v>0.82475452775378699</v>
      </c>
      <c r="P315" s="1">
        <v>7.5635319392556699</v>
      </c>
      <c r="Q315" s="1">
        <v>26.319642698416299</v>
      </c>
      <c r="R315" s="1">
        <v>0.83285527531257098</v>
      </c>
      <c r="S315" s="1">
        <v>7.7690732577373796</v>
      </c>
      <c r="T315" s="7"/>
      <c r="U315" s="1"/>
      <c r="V315" s="1"/>
      <c r="W315" s="8"/>
      <c r="X315" s="7"/>
      <c r="Y315" s="1"/>
      <c r="Z315" s="1"/>
      <c r="AA315" s="8"/>
      <c r="AB315" s="7">
        <v>4</v>
      </c>
      <c r="AC315" s="1">
        <v>0.28581404320987602</v>
      </c>
      <c r="AD315" s="1">
        <v>27.6485189452703</v>
      </c>
      <c r="AE315" s="1">
        <v>0.95212391863634505</v>
      </c>
      <c r="AF315" s="1">
        <v>13.1988140362458</v>
      </c>
      <c r="AG315" s="1">
        <v>31.044163375146699</v>
      </c>
      <c r="AH315" s="1">
        <v>0.95796808706697201</v>
      </c>
      <c r="AI315" s="1">
        <v>13.764208441760299</v>
      </c>
      <c r="AJ315" s="1">
        <v>35.427275657653801</v>
      </c>
      <c r="AK315" s="1">
        <v>24.013677835464399</v>
      </c>
      <c r="AL315" s="7"/>
      <c r="AM315" s="1"/>
      <c r="AN315" s="1"/>
      <c r="AO315" s="8"/>
      <c r="AP315" s="1"/>
      <c r="AQ315" s="1"/>
      <c r="AR315" s="1"/>
      <c r="AS315" s="8"/>
      <c r="AT315" s="7">
        <v>0.04</v>
      </c>
      <c r="AU315" s="1">
        <v>0.18910879629629601</v>
      </c>
      <c r="AV315" s="1">
        <v>25.0730901556399</v>
      </c>
      <c r="AW315" s="1">
        <v>0.95205284863995598</v>
      </c>
      <c r="AX315" s="1">
        <v>13.1923719006504</v>
      </c>
      <c r="AY315" s="1">
        <v>28.456071063457902</v>
      </c>
      <c r="AZ315" s="1">
        <v>0.95718478337525803</v>
      </c>
      <c r="BA315" s="1">
        <v>13.6840185431201</v>
      </c>
      <c r="BB315" s="1">
        <v>38.314578294754</v>
      </c>
      <c r="BC315" s="1">
        <v>27.690324544906598</v>
      </c>
      <c r="BD315" s="7"/>
      <c r="BE315" s="1"/>
      <c r="BF315" s="1"/>
      <c r="BG315" s="8"/>
      <c r="BH315" s="1"/>
      <c r="BI315" s="1"/>
      <c r="BJ315" s="1"/>
      <c r="BK315" s="8"/>
    </row>
    <row r="316" spans="1:63">
      <c r="A316" s="49"/>
      <c r="B316" s="7" t="s">
        <v>73</v>
      </c>
      <c r="C316" s="17">
        <v>1.5</v>
      </c>
      <c r="D316" s="7">
        <v>13</v>
      </c>
      <c r="E316" s="1">
        <v>1.2632600308641899</v>
      </c>
      <c r="F316" s="1">
        <v>47.921895876791403</v>
      </c>
      <c r="G316" s="1">
        <v>0.99740781875520801</v>
      </c>
      <c r="H316" s="1">
        <v>25.863346359569899</v>
      </c>
      <c r="I316" s="1">
        <v>51.261195734305502</v>
      </c>
      <c r="J316" s="1">
        <v>0.99877598638435505</v>
      </c>
      <c r="K316" s="8">
        <v>29.1221375117204</v>
      </c>
      <c r="L316" s="7">
        <v>10</v>
      </c>
      <c r="M316" s="1">
        <v>1.4510300925925901</v>
      </c>
      <c r="N316" s="1">
        <v>48.107299188908797</v>
      </c>
      <c r="O316" s="1">
        <v>0.99771316907046204</v>
      </c>
      <c r="P316" s="1">
        <v>26.4076594255692</v>
      </c>
      <c r="Q316" s="1">
        <v>51.709126622537397</v>
      </c>
      <c r="R316" s="1">
        <v>0.99895036603958298</v>
      </c>
      <c r="S316" s="1">
        <v>29.789621263461399</v>
      </c>
      <c r="T316" s="13">
        <f>bdrate(E316:E319,F316:F319,M316:M319,N316:N319)</f>
        <v>-8.8086039689172169E-2</v>
      </c>
      <c r="U316" s="12">
        <f>bdrate(E316:E319,H316:H319,M316:M319,P316:P319)</f>
        <v>-0.20060113066834251</v>
      </c>
      <c r="V316" s="12">
        <f>bdrate(E316:E319,I316:I319,M316:M319,Q316:Q319)</f>
        <v>-0.12608792328835428</v>
      </c>
      <c r="W316" s="14">
        <f>bdrate(E316:E319,K316:K319,M316:M319,S316:S319)</f>
        <v>-0.14391247352034819</v>
      </c>
      <c r="X316" s="13">
        <f>bdrate(E318:E321,F318:F321,M318:M321,N318:N321)</f>
        <v>-0.2299846326074535</v>
      </c>
      <c r="Y316" s="12">
        <f>bdrate(E318:E321,H318:H321,M318:M321,P318:P321)</f>
        <v>-0.27129023339653879</v>
      </c>
      <c r="Z316" s="12">
        <f>bdrate(E318:E321,I318:I321,M318:M321,Q318:Q321)</f>
        <v>-0.24572124481755375</v>
      </c>
      <c r="AA316" s="14">
        <f>bdrate(E318:E321,K318:K321,M318:M321,S318:S321)</f>
        <v>-0.21590096904391698</v>
      </c>
      <c r="AB316" s="7"/>
      <c r="AC316" s="1"/>
      <c r="AD316" s="1"/>
      <c r="AE316" s="1"/>
      <c r="AF316" s="1"/>
      <c r="AG316" s="1"/>
      <c r="AH316" s="1"/>
      <c r="AI316" s="1"/>
      <c r="AJ316" s="1"/>
      <c r="AK316" s="1"/>
      <c r="AL316" s="13" t="e">
        <f>bdrate(E316:E319,F316:F319,AC316:AC319,AD316:AD319)</f>
        <v>#VALUE!</v>
      </c>
      <c r="AM316" s="12" t="e">
        <f>bdrate(E316:E319,H316:H319,AC316:AC319,AF316:AF319)</f>
        <v>#VALUE!</v>
      </c>
      <c r="AN316" s="12" t="e">
        <f>bdrate(E316:E319,I316:I319,AC316:AC319,AG316:AG319)</f>
        <v>#VALUE!</v>
      </c>
      <c r="AO316" s="14" t="e">
        <f>bdrate(E316:E319,K316:K319,AC316:AC319,AI316:AI319)</f>
        <v>#VALUE!</v>
      </c>
      <c r="AP316" s="12">
        <f>bdrate(E318:E321,F318:F321,AC318:AC321,AD318:AD321)</f>
        <v>-0.16290350198479553</v>
      </c>
      <c r="AQ316" s="12">
        <f>bdrate(E318:E321,H318:H321,AC318:AC321,AF318:AF321)</f>
        <v>-0.20795817026951369</v>
      </c>
      <c r="AR316" s="12">
        <f>bdrate(E318:E321,I318:I321,AC318:AC321,AG318:AG321)</f>
        <v>-0.1799292415674254</v>
      </c>
      <c r="AS316" s="14">
        <f>bdrate(E318:E321,K318:K321,AC318:AC321,AI318:AI321)</f>
        <v>-9.6983794759417319E-2</v>
      </c>
      <c r="AT316" s="7"/>
      <c r="AU316" s="1"/>
      <c r="AV316" s="1"/>
      <c r="AW316" s="1"/>
      <c r="AX316" s="1"/>
      <c r="AY316" s="1"/>
      <c r="AZ316" s="1"/>
      <c r="BA316" s="1"/>
      <c r="BB316" s="1"/>
      <c r="BC316" s="1"/>
      <c r="BD316" s="13" t="e">
        <f>bdrate(E316:E319,F316:F319,AU316:AU319,AV316:AV319)</f>
        <v>#VALUE!</v>
      </c>
      <c r="BE316" s="12" t="e">
        <f>bdrate(E316:E319,H316:H319,AU316:AU319,AX316:AX319)</f>
        <v>#VALUE!</v>
      </c>
      <c r="BF316" s="12" t="e">
        <f>bdrate(E316:E319,I316:I319,AU316:AU319,AY316:AY319)</f>
        <v>#VALUE!</v>
      </c>
      <c r="BG316" s="14" t="e">
        <f>bdrate(E316:E319,K316:K319,AU316:AU319,BA316:BA319)</f>
        <v>#VALUE!</v>
      </c>
      <c r="BH316" s="12">
        <f>bdrate(E318:E321,F318:F321,AU318:AU321,AV318:AV321)</f>
        <v>7.4415211330387088E-2</v>
      </c>
      <c r="BI316" s="12">
        <f>bdrate(E318:E321,H318:H321,AU318:AU321,AX318:AX321)</f>
        <v>-0.444464853245507</v>
      </c>
      <c r="BJ316" s="12">
        <f>bdrate(E318:E321,I318:I321,AU318:AU321,AY318:AY321)</f>
        <v>0.15021733346773036</v>
      </c>
      <c r="BK316" s="14">
        <f>bdrate(E318:E321,K318:K321,AU318:AU321,BA318:BA321)</f>
        <v>-0.32141235745106311</v>
      </c>
    </row>
    <row r="317" spans="1:63">
      <c r="A317" s="49"/>
      <c r="B317" s="7" t="s">
        <v>18</v>
      </c>
      <c r="C317" s="17">
        <v>1</v>
      </c>
      <c r="D317" s="7">
        <v>15</v>
      </c>
      <c r="E317" s="1">
        <v>0.86579475308641896</v>
      </c>
      <c r="F317" s="1">
        <v>47.114240001723999</v>
      </c>
      <c r="G317" s="1">
        <v>0.99683045783325197</v>
      </c>
      <c r="H317" s="1">
        <v>24.990034661150698</v>
      </c>
      <c r="I317" s="1">
        <v>50.378247366708599</v>
      </c>
      <c r="J317" s="1">
        <v>0.99838443113498399</v>
      </c>
      <c r="K317" s="8">
        <v>27.916745250751301</v>
      </c>
      <c r="L317" s="7">
        <v>12</v>
      </c>
      <c r="M317" s="1">
        <v>0.93438657407407399</v>
      </c>
      <c r="N317" s="1">
        <v>47.244123740577301</v>
      </c>
      <c r="O317" s="1">
        <v>0.99720888449447098</v>
      </c>
      <c r="P317" s="1">
        <v>25.542221906070999</v>
      </c>
      <c r="Q317" s="1">
        <v>50.652133463691897</v>
      </c>
      <c r="R317" s="1">
        <v>0.99858806034666503</v>
      </c>
      <c r="S317" s="1">
        <v>28.501838647458101</v>
      </c>
      <c r="T317" s="7"/>
      <c r="U317" s="1"/>
      <c r="V317" s="1"/>
      <c r="W317" s="8"/>
      <c r="X317" s="7"/>
      <c r="Y317" s="1"/>
      <c r="Z317" s="1"/>
      <c r="AA317" s="8"/>
      <c r="AB317" s="7">
        <v>64</v>
      </c>
      <c r="AC317" s="1">
        <v>0.12507330246913501</v>
      </c>
      <c r="AD317" s="1">
        <v>42.738015561204001</v>
      </c>
      <c r="AE317" s="1">
        <v>0.99041282843659595</v>
      </c>
      <c r="AF317" s="1">
        <v>20.1830950081556</v>
      </c>
      <c r="AG317" s="1">
        <v>45.985380837049497</v>
      </c>
      <c r="AH317" s="1">
        <v>0.99367643223866797</v>
      </c>
      <c r="AI317" s="1">
        <v>21.990378233198602</v>
      </c>
      <c r="AJ317" s="1">
        <v>65.759574413299504</v>
      </c>
      <c r="AK317" s="1">
        <v>33.2084283828735</v>
      </c>
      <c r="AL317" s="7"/>
      <c r="AM317" s="1"/>
      <c r="AN317" s="1"/>
      <c r="AO317" s="8"/>
      <c r="AP317" s="1"/>
      <c r="AQ317" s="1"/>
      <c r="AR317" s="1"/>
      <c r="AS317" s="8"/>
      <c r="AT317" s="7">
        <v>0.64</v>
      </c>
      <c r="AU317" s="1">
        <v>0.22816743827160399</v>
      </c>
      <c r="AV317" s="1">
        <v>44.151513694037298</v>
      </c>
      <c r="AW317" s="1">
        <v>0.99559954435336395</v>
      </c>
      <c r="AX317" s="1">
        <v>23.565023520197201</v>
      </c>
      <c r="AY317" s="1">
        <v>47.088310196898099</v>
      </c>
      <c r="AZ317" s="1">
        <v>0.997060179334601</v>
      </c>
      <c r="BA317" s="1">
        <v>25.316791615617198</v>
      </c>
      <c r="BB317" s="1">
        <v>37.707768678665097</v>
      </c>
      <c r="BC317" s="1">
        <v>24.074748992919901</v>
      </c>
      <c r="BD317" s="7"/>
      <c r="BE317" s="1"/>
      <c r="BF317" s="1"/>
      <c r="BG317" s="8"/>
      <c r="BH317" s="1"/>
      <c r="BI317" s="1"/>
      <c r="BJ317" s="1"/>
      <c r="BK317" s="8"/>
    </row>
    <row r="318" spans="1:63">
      <c r="A318" s="49"/>
      <c r="B318" s="7" t="s">
        <v>18</v>
      </c>
      <c r="C318" s="17">
        <v>0.5</v>
      </c>
      <c r="D318" s="7">
        <v>20</v>
      </c>
      <c r="E318" s="1">
        <v>0.44892361111111101</v>
      </c>
      <c r="F318" s="1">
        <v>45.551386720653902</v>
      </c>
      <c r="G318" s="1">
        <v>0.995198469339452</v>
      </c>
      <c r="H318" s="1">
        <v>23.1862029357012</v>
      </c>
      <c r="I318" s="1">
        <v>48.804814575348097</v>
      </c>
      <c r="J318" s="1">
        <v>0.99746150475250095</v>
      </c>
      <c r="K318" s="8">
        <v>25.954236453328502</v>
      </c>
      <c r="L318" s="7">
        <v>16</v>
      </c>
      <c r="M318" s="1">
        <v>0.48104166666666598</v>
      </c>
      <c r="N318" s="1">
        <v>46.039227184065702</v>
      </c>
      <c r="O318" s="1">
        <v>0.99606348124266397</v>
      </c>
      <c r="P318" s="1">
        <v>24.048876748232701</v>
      </c>
      <c r="Q318" s="1">
        <v>49.374906703527699</v>
      </c>
      <c r="R318" s="1">
        <v>0.99784694832102105</v>
      </c>
      <c r="S318" s="1">
        <v>26.669455458263499</v>
      </c>
      <c r="T318" s="7"/>
      <c r="U318" s="1"/>
      <c r="V318" s="1"/>
      <c r="W318" s="8"/>
      <c r="X318" s="7"/>
      <c r="Y318" s="1"/>
      <c r="Z318" s="1"/>
      <c r="AA318" s="8"/>
      <c r="AB318" s="7">
        <v>32</v>
      </c>
      <c r="AC318" s="1">
        <v>8.7503858024691294E-2</v>
      </c>
      <c r="AD318" s="1">
        <v>41.4876784430908</v>
      </c>
      <c r="AE318" s="1">
        <v>0.98684264072393901</v>
      </c>
      <c r="AF318" s="1">
        <v>18.808312662627799</v>
      </c>
      <c r="AG318" s="1">
        <v>44.789755363571302</v>
      </c>
      <c r="AH318" s="1">
        <v>0.99063019829096099</v>
      </c>
      <c r="AI318" s="1">
        <v>20.2826959988932</v>
      </c>
      <c r="AJ318" s="1">
        <v>54.927542686462402</v>
      </c>
      <c r="AK318" s="1">
        <v>32.210579156875603</v>
      </c>
      <c r="AL318" s="7"/>
      <c r="AM318" s="1"/>
      <c r="AN318" s="1"/>
      <c r="AO318" s="8"/>
      <c r="AP318" s="1"/>
      <c r="AQ318" s="1"/>
      <c r="AR318" s="1"/>
      <c r="AS318" s="8"/>
      <c r="AT318" s="7">
        <v>0.32</v>
      </c>
      <c r="AU318" s="1">
        <v>0.160983796296296</v>
      </c>
      <c r="AV318" s="1">
        <v>43.081987346715003</v>
      </c>
      <c r="AW318" s="1">
        <v>0.99389279637558003</v>
      </c>
      <c r="AX318" s="1">
        <v>22.1415759965573</v>
      </c>
      <c r="AY318" s="1">
        <v>46.020746372933502</v>
      </c>
      <c r="AZ318" s="1">
        <v>0.995825406502866</v>
      </c>
      <c r="BA318" s="1">
        <v>23.793858077365201</v>
      </c>
      <c r="BB318" s="1">
        <v>43.710906505584703</v>
      </c>
      <c r="BC318" s="1">
        <v>27.406363725662199</v>
      </c>
      <c r="BD318" s="7"/>
      <c r="BE318" s="1"/>
      <c r="BF318" s="1"/>
      <c r="BG318" s="8"/>
      <c r="BH318" s="1"/>
      <c r="BI318" s="1"/>
      <c r="BJ318" s="1"/>
      <c r="BK318" s="8"/>
    </row>
    <row r="319" spans="1:63">
      <c r="A319" s="49"/>
      <c r="B319" s="7" t="s">
        <v>18</v>
      </c>
      <c r="C319" s="17">
        <v>0.25</v>
      </c>
      <c r="D319" s="7">
        <v>25</v>
      </c>
      <c r="E319" s="1">
        <v>0.23092206790123401</v>
      </c>
      <c r="F319" s="1">
        <v>43.651217935307002</v>
      </c>
      <c r="G319" s="1">
        <v>0.99205522593467799</v>
      </c>
      <c r="H319" s="1">
        <v>20.999184488127</v>
      </c>
      <c r="I319" s="1">
        <v>46.904084633990898</v>
      </c>
      <c r="J319" s="1">
        <v>0.99552438128227805</v>
      </c>
      <c r="K319" s="8">
        <v>23.491469185339199</v>
      </c>
      <c r="L319" s="7">
        <v>21</v>
      </c>
      <c r="M319" s="1">
        <v>0.24554398148148099</v>
      </c>
      <c r="N319" s="1">
        <v>44.4984211727785</v>
      </c>
      <c r="O319" s="1">
        <v>0.99394846955320204</v>
      </c>
      <c r="P319" s="1">
        <v>22.181347773236801</v>
      </c>
      <c r="Q319" s="1">
        <v>47.814314312811398</v>
      </c>
      <c r="R319" s="1">
        <v>0.99652421917994105</v>
      </c>
      <c r="S319" s="1">
        <v>24.5894761762044</v>
      </c>
      <c r="T319" s="7"/>
      <c r="U319" s="1"/>
      <c r="V319" s="1"/>
      <c r="W319" s="8"/>
      <c r="X319" s="7"/>
      <c r="Y319" s="1"/>
      <c r="Z319" s="1"/>
      <c r="AA319" s="8"/>
      <c r="AB319" s="7">
        <v>16</v>
      </c>
      <c r="AC319" s="1">
        <v>5.73109567901234E-2</v>
      </c>
      <c r="AD319" s="1">
        <v>40.116770159532699</v>
      </c>
      <c r="AE319" s="1">
        <v>0.98002308974703001</v>
      </c>
      <c r="AF319" s="1">
        <v>16.994716814679201</v>
      </c>
      <c r="AG319" s="1">
        <v>43.437685227142801</v>
      </c>
      <c r="AH319" s="1">
        <v>0.98490512609662695</v>
      </c>
      <c r="AI319" s="1">
        <v>18.211705105506802</v>
      </c>
      <c r="AJ319" s="1">
        <v>31.645260810852001</v>
      </c>
      <c r="AK319" s="1">
        <v>18.763237476348799</v>
      </c>
      <c r="AL319" s="7"/>
      <c r="AM319" s="1"/>
      <c r="AN319" s="1"/>
      <c r="AO319" s="8"/>
      <c r="AP319" s="1"/>
      <c r="AQ319" s="1"/>
      <c r="AR319" s="1"/>
      <c r="AS319" s="8"/>
      <c r="AT319" s="7">
        <v>0.16</v>
      </c>
      <c r="AU319" s="1">
        <v>0.107866512345679</v>
      </c>
      <c r="AV319" s="1">
        <v>41.285336967770597</v>
      </c>
      <c r="AW319" s="1">
        <v>0.99109698714361305</v>
      </c>
      <c r="AX319" s="1">
        <v>20.5046299948091</v>
      </c>
      <c r="AY319" s="1">
        <v>44.333735481022401</v>
      </c>
      <c r="AZ319" s="1">
        <v>0.99369019433039696</v>
      </c>
      <c r="BA319" s="1">
        <v>21.999840160203501</v>
      </c>
      <c r="BB319" s="1">
        <v>36.048479318618703</v>
      </c>
      <c r="BC319" s="1">
        <v>28.000765085220301</v>
      </c>
      <c r="BD319" s="7"/>
      <c r="BE319" s="1"/>
      <c r="BF319" s="1"/>
      <c r="BG319" s="8"/>
      <c r="BH319" s="1"/>
      <c r="BI319" s="1"/>
      <c r="BJ319" s="1"/>
      <c r="BK319" s="8"/>
    </row>
    <row r="320" spans="1:63">
      <c r="A320" s="49"/>
      <c r="B320" s="7" t="s">
        <v>18</v>
      </c>
      <c r="C320" s="17">
        <v>0.12</v>
      </c>
      <c r="D320" s="7">
        <v>30</v>
      </c>
      <c r="E320" s="1">
        <v>0.110844907407407</v>
      </c>
      <c r="F320" s="1">
        <v>41.494141485452502</v>
      </c>
      <c r="G320" s="1">
        <v>0.98585213424263696</v>
      </c>
      <c r="H320" s="1">
        <v>18.493090696597299</v>
      </c>
      <c r="I320" s="1">
        <v>44.74663862968</v>
      </c>
      <c r="J320" s="1">
        <v>0.99107315332207602</v>
      </c>
      <c r="K320" s="8">
        <v>20.493019243393299</v>
      </c>
      <c r="L320" s="7">
        <v>27</v>
      </c>
      <c r="M320" s="1">
        <v>0.105270061728395</v>
      </c>
      <c r="N320" s="1">
        <v>42.179174932065699</v>
      </c>
      <c r="O320" s="1">
        <v>0.98863882672904302</v>
      </c>
      <c r="P320" s="1">
        <v>19.445768166187602</v>
      </c>
      <c r="Q320" s="1">
        <v>45.478519467369303</v>
      </c>
      <c r="R320" s="1">
        <v>0.99265306963752697</v>
      </c>
      <c r="S320" s="1">
        <v>21.338940765755599</v>
      </c>
      <c r="T320" s="7"/>
      <c r="U320" s="1"/>
      <c r="V320" s="1"/>
      <c r="W320" s="8"/>
      <c r="X320" s="7"/>
      <c r="Y320" s="1"/>
      <c r="Z320" s="1"/>
      <c r="AA320" s="8"/>
      <c r="AB320" s="7">
        <v>8</v>
      </c>
      <c r="AC320" s="1">
        <v>4.1253858024691302E-2</v>
      </c>
      <c r="AD320" s="1">
        <v>39.067965832427703</v>
      </c>
      <c r="AE320" s="1">
        <v>0.97361325671626997</v>
      </c>
      <c r="AF320" s="1">
        <v>15.786142081575299</v>
      </c>
      <c r="AG320" s="1">
        <v>42.404503192871402</v>
      </c>
      <c r="AH320" s="1">
        <v>0.97905638173847398</v>
      </c>
      <c r="AI320" s="1">
        <v>16.7894828658895</v>
      </c>
      <c r="AJ320" s="1">
        <v>36.369316101074197</v>
      </c>
      <c r="AK320" s="1">
        <v>24.214379310607899</v>
      </c>
      <c r="AL320" s="7"/>
      <c r="AM320" s="1"/>
      <c r="AN320" s="1"/>
      <c r="AO320" s="8"/>
      <c r="AP320" s="1"/>
      <c r="AQ320" s="1"/>
      <c r="AR320" s="1"/>
      <c r="AS320" s="8"/>
      <c r="AT320" s="7">
        <v>0.08</v>
      </c>
      <c r="AU320" s="1">
        <v>7.1114969135802397E-2</v>
      </c>
      <c r="AV320" s="1">
        <v>39.129567627319197</v>
      </c>
      <c r="AW320" s="1">
        <v>0.98699976625831498</v>
      </c>
      <c r="AX320" s="1">
        <v>18.860488390922999</v>
      </c>
      <c r="AY320" s="1">
        <v>42.220447532133299</v>
      </c>
      <c r="AZ320" s="1">
        <v>0.99050139436150697</v>
      </c>
      <c r="BA320" s="1">
        <v>20.223401429168099</v>
      </c>
      <c r="BB320" s="1">
        <v>32.603650093078599</v>
      </c>
      <c r="BC320" s="1">
        <v>23.293590784072801</v>
      </c>
      <c r="BD320" s="7"/>
      <c r="BE320" s="1"/>
      <c r="BF320" s="1"/>
      <c r="BG320" s="8"/>
      <c r="BH320" s="1"/>
      <c r="BI320" s="1"/>
      <c r="BJ320" s="1"/>
      <c r="BK320" s="8"/>
    </row>
    <row r="321" spans="1:63">
      <c r="A321" s="49"/>
      <c r="B321" s="7" t="s">
        <v>18</v>
      </c>
      <c r="C321" s="17">
        <v>0.06</v>
      </c>
      <c r="D321" s="7">
        <v>35</v>
      </c>
      <c r="E321" s="1">
        <v>5.1863425925925903E-2</v>
      </c>
      <c r="F321" s="1">
        <v>39.4366976536026</v>
      </c>
      <c r="G321" s="1">
        <v>0.97513620402119805</v>
      </c>
      <c r="H321" s="1">
        <v>16.044325664910001</v>
      </c>
      <c r="I321" s="1">
        <v>42.697156942889897</v>
      </c>
      <c r="J321" s="1">
        <v>0.98276100097988695</v>
      </c>
      <c r="K321" s="8">
        <v>17.634879550230298</v>
      </c>
      <c r="L321" s="7">
        <v>31</v>
      </c>
      <c r="M321" s="1">
        <v>5.8040123456790098E-2</v>
      </c>
      <c r="N321" s="1">
        <v>40.523923225951997</v>
      </c>
      <c r="O321" s="1">
        <v>0.98206740595450004</v>
      </c>
      <c r="P321" s="1">
        <v>17.463568828773202</v>
      </c>
      <c r="Q321" s="1">
        <v>43.838802600847799</v>
      </c>
      <c r="R321" s="1">
        <v>0.98738455434356798</v>
      </c>
      <c r="S321" s="1">
        <v>18.990974028784201</v>
      </c>
      <c r="T321" s="7"/>
      <c r="U321" s="1"/>
      <c r="V321" s="1"/>
      <c r="W321" s="8"/>
      <c r="X321" s="7"/>
      <c r="Y321" s="1"/>
      <c r="Z321" s="1"/>
      <c r="AA321" s="8"/>
      <c r="AB321" s="7">
        <v>4</v>
      </c>
      <c r="AC321" s="1">
        <v>2.9170524691357998E-2</v>
      </c>
      <c r="AD321" s="1">
        <v>37.733488685291498</v>
      </c>
      <c r="AE321" s="1">
        <v>0.96246488232159499</v>
      </c>
      <c r="AF321" s="1">
        <v>14.255622182150301</v>
      </c>
      <c r="AG321" s="1">
        <v>41.060010514886301</v>
      </c>
      <c r="AH321" s="1">
        <v>0.96928038427500096</v>
      </c>
      <c r="AI321" s="1">
        <v>15.125842212432699</v>
      </c>
      <c r="AJ321" s="1">
        <v>32.609631061553898</v>
      </c>
      <c r="AK321" s="1">
        <v>24.289225578308098</v>
      </c>
      <c r="AL321" s="7"/>
      <c r="AM321" s="1"/>
      <c r="AN321" s="1"/>
      <c r="AO321" s="8"/>
      <c r="AP321" s="1"/>
      <c r="AQ321" s="1"/>
      <c r="AR321" s="1"/>
      <c r="AS321" s="8"/>
      <c r="AT321" s="7">
        <v>0.04</v>
      </c>
      <c r="AU321" s="1">
        <v>4.7573302469135798E-2</v>
      </c>
      <c r="AV321" s="1">
        <v>37.390684680610001</v>
      </c>
      <c r="AW321" s="1">
        <v>0.98139153553709002</v>
      </c>
      <c r="AX321" s="1">
        <v>17.302894625918999</v>
      </c>
      <c r="AY321" s="1">
        <v>40.765084720096397</v>
      </c>
      <c r="AZ321" s="1">
        <v>0.98621479968910697</v>
      </c>
      <c r="BA321" s="1">
        <v>18.605869188376101</v>
      </c>
      <c r="BB321" s="1">
        <v>34.931477069854701</v>
      </c>
      <c r="BC321" s="1">
        <v>25.9690616130828</v>
      </c>
      <c r="BD321" s="7"/>
      <c r="BE321" s="1"/>
      <c r="BF321" s="1"/>
      <c r="BG321" s="8"/>
      <c r="BH321" s="1"/>
      <c r="BI321" s="1"/>
      <c r="BJ321" s="1"/>
      <c r="BK321" s="8"/>
    </row>
    <row r="322" spans="1:63">
      <c r="A322" s="49"/>
      <c r="B322" s="7" t="s">
        <v>74</v>
      </c>
      <c r="C322" s="17">
        <v>1.5</v>
      </c>
      <c r="D322" s="7">
        <v>27</v>
      </c>
      <c r="E322" s="1">
        <v>1.3753086419753</v>
      </c>
      <c r="F322" s="1">
        <v>37.707588081132698</v>
      </c>
      <c r="G322" s="1">
        <v>0.99358191146500896</v>
      </c>
      <c r="H322" s="1">
        <v>21.925942962787499</v>
      </c>
      <c r="I322" s="1">
        <v>41.144346581334901</v>
      </c>
      <c r="J322" s="1">
        <v>0.99637960615339105</v>
      </c>
      <c r="K322" s="8">
        <v>24.412441819240499</v>
      </c>
      <c r="L322" s="7">
        <v>23</v>
      </c>
      <c r="M322" s="1">
        <v>1.4508217592592501</v>
      </c>
      <c r="N322" s="1">
        <v>39.785594649570299</v>
      </c>
      <c r="O322" s="1">
        <v>0.99577136321451798</v>
      </c>
      <c r="P322" s="1">
        <v>23.737996165404098</v>
      </c>
      <c r="Q322" s="1">
        <v>43.2265880793694</v>
      </c>
      <c r="R322" s="1">
        <v>0.99761849702288596</v>
      </c>
      <c r="S322" s="1">
        <v>26.2314887124103</v>
      </c>
      <c r="T322" s="13">
        <f>bdrate(E322:E325,F322:F325,M322:M325,N322:N325)</f>
        <v>-0.26414276338365661</v>
      </c>
      <c r="U322" s="12">
        <f>bdrate(E322:E325,H322:H325,M322:M325,P322:P325)</f>
        <v>-0.24466470255225214</v>
      </c>
      <c r="V322" s="12">
        <f>bdrate(E322:E325,I322:I325,M322:M325,Q322:Q325)</f>
        <v>-0.24887320965414927</v>
      </c>
      <c r="W322" s="14">
        <f>bdrate(E322:E325,K322:K325,M322:M325,S322:S325)</f>
        <v>-0.19142872117282739</v>
      </c>
      <c r="X322" s="13">
        <f>bdrate(E324:E327,F324:F327,M324:M327,N324:N327)</f>
        <v>-0.25600715904580218</v>
      </c>
      <c r="Y322" s="12">
        <f>bdrate(E324:E327,H324:H327,M324:M327,P324:P327)</f>
        <v>-0.23788238191117184</v>
      </c>
      <c r="Z322" s="12">
        <f>bdrate(E324:E327,I324:I327,M324:M327,Q324:Q327)</f>
        <v>-0.26093039696319698</v>
      </c>
      <c r="AA322" s="14">
        <f>bdrate(E324:E327,K324:K327,M324:M327,S324:S327)</f>
        <v>-0.18062310683393579</v>
      </c>
      <c r="AB322" s="7"/>
      <c r="AC322" s="1"/>
      <c r="AD322" s="1"/>
      <c r="AE322" s="1"/>
      <c r="AF322" s="1"/>
      <c r="AG322" s="1"/>
      <c r="AH322" s="1"/>
      <c r="AI322" s="1"/>
      <c r="AJ322" s="1"/>
      <c r="AK322" s="1"/>
      <c r="AL322" s="13" t="e">
        <f>bdrate(E322:E325,F322:F325,AC322:AC325,AD322:AD325)</f>
        <v>#VALUE!</v>
      </c>
      <c r="AM322" s="12" t="e">
        <f>bdrate(E322:E325,H322:H325,AC322:AC325,AF322:AF325)</f>
        <v>#VALUE!</v>
      </c>
      <c r="AN322" s="12" t="e">
        <f>bdrate(E322:E325,I322:I325,AC322:AC325,AG322:AG325)</f>
        <v>#VALUE!</v>
      </c>
      <c r="AO322" s="14" t="e">
        <f>bdrate(E322:E325,K322:K325,AC322:AC325,AI322:AI325)</f>
        <v>#VALUE!</v>
      </c>
      <c r="AP322" s="12">
        <f>bdrate(E324:E327,F324:F327,AC324:AC327,AD324:AD327)</f>
        <v>-0.23579648372001194</v>
      </c>
      <c r="AQ322" s="12">
        <f>bdrate(E324:E327,H324:H327,AC324:AC327,AF324:AF327)</f>
        <v>-0.28994898883399656</v>
      </c>
      <c r="AR322" s="12">
        <f>bdrate(E324:E327,I324:I327,AC324:AC327,AG324:AG327)</f>
        <v>-0.24120111249531562</v>
      </c>
      <c r="AS322" s="14">
        <f>bdrate(E324:E327,K324:K327,AC324:AC327,AI324:AI327)</f>
        <v>-0.20512169736118036</v>
      </c>
      <c r="AT322" s="7"/>
      <c r="AU322" s="1"/>
      <c r="AV322" s="1"/>
      <c r="AW322" s="1"/>
      <c r="AX322" s="1"/>
      <c r="AY322" s="1"/>
      <c r="AZ322" s="1"/>
      <c r="BA322" s="1"/>
      <c r="BB322" s="1"/>
      <c r="BC322" s="1"/>
      <c r="BD322" s="13" t="e">
        <f>bdrate(E322:E325,F322:F325,AU322:AU325,AV322:AV325)</f>
        <v>#VALUE!</v>
      </c>
      <c r="BE322" s="12" t="e">
        <f>bdrate(E322:E325,H322:H325,AU322:AU325,AX322:AX325)</f>
        <v>#VALUE!</v>
      </c>
      <c r="BF322" s="12" t="e">
        <f>bdrate(E322:E325,I322:I325,AU322:AU325,AY322:AY325)</f>
        <v>#VALUE!</v>
      </c>
      <c r="BG322" s="14" t="e">
        <f>bdrate(E322:E325,K322:K325,AU322:AU325,BA322:BA325)</f>
        <v>#VALUE!</v>
      </c>
      <c r="BH322" s="12">
        <f>bdrate(E324:E327,F324:F327,AU324:AU327,AV324:AV327)</f>
        <v>0.15274794990990759</v>
      </c>
      <c r="BI322" s="12">
        <f>bdrate(E324:E327,H324:H327,AU324:AU327,AX324:AX327)</f>
        <v>-0.5355751741617395</v>
      </c>
      <c r="BJ322" s="12">
        <f>bdrate(E324:E327,I324:I327,AU324:AU327,AY324:AY327)</f>
        <v>0.14297190994134512</v>
      </c>
      <c r="BK322" s="14">
        <f>bdrate(E324:E327,K324:K327,AU324:AU327,BA324:BA327)</f>
        <v>-0.4818755510941648</v>
      </c>
    </row>
    <row r="323" spans="1:63">
      <c r="A323" s="49"/>
      <c r="B323" s="7" t="s">
        <v>18</v>
      </c>
      <c r="C323" s="17">
        <v>1</v>
      </c>
      <c r="D323" s="7">
        <v>30</v>
      </c>
      <c r="E323" s="1">
        <v>0.99793595679012304</v>
      </c>
      <c r="F323" s="1">
        <v>35.605170346575797</v>
      </c>
      <c r="G323" s="1">
        <v>0.98996799460395601</v>
      </c>
      <c r="H323" s="1">
        <v>19.9861224291373</v>
      </c>
      <c r="I323" s="1">
        <v>38.895368736960798</v>
      </c>
      <c r="J323" s="1">
        <v>0.99388462824770296</v>
      </c>
      <c r="K323" s="8">
        <v>22.135771371454702</v>
      </c>
      <c r="L323" s="7">
        <v>27</v>
      </c>
      <c r="M323" s="1">
        <v>0.96989969135802401</v>
      </c>
      <c r="N323" s="1">
        <v>37.229256306001801</v>
      </c>
      <c r="O323" s="1">
        <v>0.99270391683548798</v>
      </c>
      <c r="P323" s="1">
        <v>21.369102243393801</v>
      </c>
      <c r="Q323" s="1">
        <v>40.448819267609899</v>
      </c>
      <c r="R323" s="1">
        <v>0.99539618749516101</v>
      </c>
      <c r="S323" s="1">
        <v>23.368823717868501</v>
      </c>
      <c r="T323" s="7"/>
      <c r="U323" s="1"/>
      <c r="V323" s="1"/>
      <c r="W323" s="8"/>
      <c r="X323" s="7"/>
      <c r="Y323" s="1"/>
      <c r="Z323" s="1"/>
      <c r="AA323" s="8"/>
      <c r="AB323" s="7">
        <v>64</v>
      </c>
      <c r="AC323" s="1">
        <v>0.91088348765432103</v>
      </c>
      <c r="AD323" s="1">
        <v>36.609402174261803</v>
      </c>
      <c r="AE323" s="1">
        <v>0.992958595730557</v>
      </c>
      <c r="AF323" s="1">
        <v>21.523407207367399</v>
      </c>
      <c r="AG323" s="1">
        <v>39.940351259059703</v>
      </c>
      <c r="AH323" s="1">
        <v>0.99593363456151895</v>
      </c>
      <c r="AI323" s="1">
        <v>23.907935945164802</v>
      </c>
      <c r="AJ323" s="1">
        <v>76.876404285430894</v>
      </c>
      <c r="AK323" s="1">
        <v>33.428525209426802</v>
      </c>
      <c r="AL323" s="7"/>
      <c r="AM323" s="1"/>
      <c r="AN323" s="1"/>
      <c r="AO323" s="8"/>
      <c r="AP323" s="1"/>
      <c r="AQ323" s="1"/>
      <c r="AR323" s="1"/>
      <c r="AS323" s="8"/>
      <c r="AT323" s="7">
        <v>0.64</v>
      </c>
      <c r="AU323" s="1">
        <v>0.57233410493827097</v>
      </c>
      <c r="AV323" s="1">
        <v>30.584000882977499</v>
      </c>
      <c r="AW323" s="1">
        <v>0.99262586877875503</v>
      </c>
      <c r="AX323" s="1">
        <v>21.3228913847447</v>
      </c>
      <c r="AY323" s="1">
        <v>33.606052631904099</v>
      </c>
      <c r="AZ323" s="1">
        <v>0.99474035146605599</v>
      </c>
      <c r="BA323" s="1">
        <v>22.7904327578329</v>
      </c>
      <c r="BB323" s="1">
        <v>39.503612518310497</v>
      </c>
      <c r="BC323" s="1">
        <v>25.534094095230099</v>
      </c>
      <c r="BD323" s="7"/>
      <c r="BE323" s="1"/>
      <c r="BF323" s="1"/>
      <c r="BG323" s="8"/>
      <c r="BH323" s="1"/>
      <c r="BI323" s="1"/>
      <c r="BJ323" s="1"/>
      <c r="BK323" s="8"/>
    </row>
    <row r="324" spans="1:63">
      <c r="A324" s="49"/>
      <c r="B324" s="7" t="s">
        <v>18</v>
      </c>
      <c r="C324" s="17">
        <v>0.5</v>
      </c>
      <c r="D324" s="7">
        <v>37</v>
      </c>
      <c r="E324" s="1">
        <v>0.44662037037037</v>
      </c>
      <c r="F324" s="1">
        <v>30.960710676647601</v>
      </c>
      <c r="G324" s="1">
        <v>0.97284604945599595</v>
      </c>
      <c r="H324" s="1">
        <v>15.661669773219399</v>
      </c>
      <c r="I324" s="1">
        <v>34.0017512065752</v>
      </c>
      <c r="J324" s="1">
        <v>0.98076715744966603</v>
      </c>
      <c r="K324" s="8">
        <v>17.159565237338501</v>
      </c>
      <c r="L324" s="7">
        <v>34</v>
      </c>
      <c r="M324" s="1">
        <v>0.45206404320987598</v>
      </c>
      <c r="N324" s="1">
        <v>32.772786207930302</v>
      </c>
      <c r="O324" s="1">
        <v>0.980897542758291</v>
      </c>
      <c r="P324" s="1">
        <v>17.1891076375361</v>
      </c>
      <c r="Q324" s="1">
        <v>35.780058189614202</v>
      </c>
      <c r="R324" s="1">
        <v>0.98575786247123498</v>
      </c>
      <c r="S324" s="1">
        <v>18.464248247945999</v>
      </c>
      <c r="T324" s="7"/>
      <c r="U324" s="1"/>
      <c r="V324" s="1"/>
      <c r="W324" s="8"/>
      <c r="X324" s="7"/>
      <c r="Y324" s="1"/>
      <c r="Z324" s="1"/>
      <c r="AA324" s="8"/>
      <c r="AB324" s="7">
        <v>32</v>
      </c>
      <c r="AC324" s="1">
        <v>0.68785879629629598</v>
      </c>
      <c r="AD324" s="1">
        <v>34.997544713488203</v>
      </c>
      <c r="AE324" s="1">
        <v>0.98972741032855205</v>
      </c>
      <c r="AF324" s="1">
        <v>19.883200590079401</v>
      </c>
      <c r="AG324" s="1">
        <v>38.124887607654202</v>
      </c>
      <c r="AH324" s="1">
        <v>0.99326487133182395</v>
      </c>
      <c r="AI324" s="1">
        <v>21.7165410308208</v>
      </c>
      <c r="AJ324" s="1">
        <v>58.346927881240802</v>
      </c>
      <c r="AK324" s="1">
        <v>32.455727815628002</v>
      </c>
      <c r="AL324" s="7"/>
      <c r="AM324" s="1"/>
      <c r="AN324" s="1"/>
      <c r="AO324" s="8"/>
      <c r="AP324" s="1"/>
      <c r="AQ324" s="1"/>
      <c r="AR324" s="1"/>
      <c r="AS324" s="8"/>
      <c r="AT324" s="7">
        <v>0.32</v>
      </c>
      <c r="AU324" s="1">
        <v>0.43137731481481401</v>
      </c>
      <c r="AV324" s="1">
        <v>29.666643100516499</v>
      </c>
      <c r="AW324" s="1">
        <v>0.98943790321093505</v>
      </c>
      <c r="AX324" s="1">
        <v>19.762498570364901</v>
      </c>
      <c r="AY324" s="1">
        <v>32.682906398481599</v>
      </c>
      <c r="AZ324" s="1">
        <v>0.99214619111144897</v>
      </c>
      <c r="BA324" s="1">
        <v>21.049196708855401</v>
      </c>
      <c r="BB324" s="1">
        <v>48.122983217239302</v>
      </c>
      <c r="BC324" s="1">
        <v>27.857164382934499</v>
      </c>
      <c r="BD324" s="7"/>
      <c r="BE324" s="1"/>
      <c r="BF324" s="1"/>
      <c r="BG324" s="8"/>
      <c r="BH324" s="1"/>
      <c r="BI324" s="1"/>
      <c r="BJ324" s="1"/>
      <c r="BK324" s="8"/>
    </row>
    <row r="325" spans="1:63">
      <c r="A325" s="49"/>
      <c r="B325" s="7" t="s">
        <v>18</v>
      </c>
      <c r="C325" s="17">
        <v>0.25</v>
      </c>
      <c r="D325" s="7">
        <v>42</v>
      </c>
      <c r="E325" s="1">
        <v>0.23288966049382701</v>
      </c>
      <c r="F325" s="1">
        <v>27.839102109211002</v>
      </c>
      <c r="G325" s="1">
        <v>0.94712124391637298</v>
      </c>
      <c r="H325" s="1">
        <v>12.767187697170201</v>
      </c>
      <c r="I325" s="1">
        <v>30.822846281861601</v>
      </c>
      <c r="J325" s="1">
        <v>0.95926535882298103</v>
      </c>
      <c r="K325" s="8">
        <v>13.900361049462401</v>
      </c>
      <c r="L325" s="7">
        <v>39</v>
      </c>
      <c r="M325" s="1">
        <v>0.24906249999999999</v>
      </c>
      <c r="N325" s="1">
        <v>29.564063962783401</v>
      </c>
      <c r="O325" s="1">
        <v>0.962665022218825</v>
      </c>
      <c r="P325" s="1">
        <v>14.2788410279336</v>
      </c>
      <c r="Q325" s="1">
        <v>32.5488116612647</v>
      </c>
      <c r="R325" s="1">
        <v>0.97000836338489405</v>
      </c>
      <c r="S325" s="1">
        <v>15.2299983455671</v>
      </c>
      <c r="T325" s="7"/>
      <c r="U325" s="1"/>
      <c r="V325" s="1"/>
      <c r="W325" s="8"/>
      <c r="X325" s="7"/>
      <c r="Y325" s="1"/>
      <c r="Z325" s="1"/>
      <c r="AA325" s="8"/>
      <c r="AB325" s="7">
        <v>16</v>
      </c>
      <c r="AC325" s="1">
        <v>0.49402391975308602</v>
      </c>
      <c r="AD325" s="1">
        <v>33.0989448856159</v>
      </c>
      <c r="AE325" s="1">
        <v>0.98398070838013696</v>
      </c>
      <c r="AF325" s="1">
        <v>17.953566925206299</v>
      </c>
      <c r="AG325" s="1">
        <v>36.1223926526282</v>
      </c>
      <c r="AH325" s="1">
        <v>0.98819061339312397</v>
      </c>
      <c r="AI325" s="1">
        <v>19.277726595556</v>
      </c>
      <c r="AJ325" s="1">
        <v>29.989984750747599</v>
      </c>
      <c r="AK325" s="1">
        <v>18.7016968727111</v>
      </c>
      <c r="AL325" s="7"/>
      <c r="AM325" s="1"/>
      <c r="AN325" s="1"/>
      <c r="AO325" s="8"/>
      <c r="AP325" s="1"/>
      <c r="AQ325" s="1"/>
      <c r="AR325" s="1"/>
      <c r="AS325" s="8"/>
      <c r="AT325" s="7">
        <v>0.16</v>
      </c>
      <c r="AU325" s="1">
        <v>0.31077546296296299</v>
      </c>
      <c r="AV325" s="1">
        <v>28.424000302440401</v>
      </c>
      <c r="AW325" s="1">
        <v>0.98363949166008302</v>
      </c>
      <c r="AX325" s="1">
        <v>17.862032064231901</v>
      </c>
      <c r="AY325" s="1">
        <v>31.441034547332301</v>
      </c>
      <c r="AZ325" s="1">
        <v>0.98724373704173496</v>
      </c>
      <c r="BA325" s="1">
        <v>18.942765367678799</v>
      </c>
      <c r="BB325" s="1">
        <v>39.787246465682898</v>
      </c>
      <c r="BC325" s="1">
        <v>27.827850818634001</v>
      </c>
      <c r="BD325" s="7"/>
      <c r="BE325" s="1"/>
      <c r="BF325" s="1"/>
      <c r="BG325" s="8"/>
      <c r="BH325" s="1"/>
      <c r="BI325" s="1"/>
      <c r="BJ325" s="1"/>
      <c r="BK325" s="8"/>
    </row>
    <row r="326" spans="1:63">
      <c r="A326" s="49"/>
      <c r="B326" s="7" t="s">
        <v>18</v>
      </c>
      <c r="C326" s="17">
        <v>0.12</v>
      </c>
      <c r="D326" s="7">
        <v>47</v>
      </c>
      <c r="E326" s="1">
        <v>0.111983024691358</v>
      </c>
      <c r="F326" s="1">
        <v>24.933215511868099</v>
      </c>
      <c r="G326" s="1">
        <v>0.90244799701960998</v>
      </c>
      <c r="H326" s="1">
        <v>10.1076380905367</v>
      </c>
      <c r="I326" s="1">
        <v>27.9311254889625</v>
      </c>
      <c r="J326" s="1">
        <v>0.91778425841784605</v>
      </c>
      <c r="K326" s="8">
        <v>10.8504502153848</v>
      </c>
      <c r="L326" s="7">
        <v>45</v>
      </c>
      <c r="M326" s="1">
        <v>0.108989197530864</v>
      </c>
      <c r="N326" s="1">
        <v>25.898872196455699</v>
      </c>
      <c r="O326" s="1">
        <v>0.91844809686863604</v>
      </c>
      <c r="P326" s="1">
        <v>10.8856589961689</v>
      </c>
      <c r="Q326" s="1">
        <v>28.934725397987801</v>
      </c>
      <c r="R326" s="1">
        <v>0.92827998780681698</v>
      </c>
      <c r="S326" s="1">
        <v>11.4435964527505</v>
      </c>
      <c r="T326" s="7"/>
      <c r="U326" s="1"/>
      <c r="V326" s="1"/>
      <c r="W326" s="8"/>
      <c r="X326" s="7"/>
      <c r="Y326" s="1"/>
      <c r="Z326" s="1"/>
      <c r="AA326" s="8"/>
      <c r="AB326" s="7">
        <v>8</v>
      </c>
      <c r="AC326" s="1">
        <v>0.353908179012345</v>
      </c>
      <c r="AD326" s="1">
        <v>31.185131171289399</v>
      </c>
      <c r="AE326" s="1">
        <v>0.97620611753174902</v>
      </c>
      <c r="AF326" s="1">
        <v>16.2353468797678</v>
      </c>
      <c r="AG326" s="1">
        <v>34.217032107499897</v>
      </c>
      <c r="AH326" s="1">
        <v>0.98100505373191804</v>
      </c>
      <c r="AI326" s="1">
        <v>17.213619306172099</v>
      </c>
      <c r="AJ326" s="1">
        <v>35.548537015914903</v>
      </c>
      <c r="AK326" s="1">
        <v>24.092611551284701</v>
      </c>
      <c r="AL326" s="7"/>
      <c r="AM326" s="1"/>
      <c r="AN326" s="1"/>
      <c r="AO326" s="8"/>
      <c r="AP326" s="1"/>
      <c r="AQ326" s="1"/>
      <c r="AR326" s="1"/>
      <c r="AS326" s="8"/>
      <c r="AT326" s="7">
        <v>0.08</v>
      </c>
      <c r="AU326" s="1">
        <v>0.22045138888888799</v>
      </c>
      <c r="AV326" s="1">
        <v>27.0955756130042</v>
      </c>
      <c r="AW326" s="1">
        <v>0.97496103938406997</v>
      </c>
      <c r="AX326" s="1">
        <v>16.013837029430402</v>
      </c>
      <c r="AY326" s="1">
        <v>30.126988909694699</v>
      </c>
      <c r="AZ326" s="1">
        <v>0.97974972694707796</v>
      </c>
      <c r="BA326" s="1">
        <v>16.9356911642078</v>
      </c>
      <c r="BB326" s="1">
        <v>33.687903165817197</v>
      </c>
      <c r="BC326" s="1">
        <v>27.0200948715209</v>
      </c>
      <c r="BD326" s="7"/>
      <c r="BE326" s="1"/>
      <c r="BF326" s="1"/>
      <c r="BG326" s="8"/>
      <c r="BH326" s="1"/>
      <c r="BI326" s="1"/>
      <c r="BJ326" s="1"/>
      <c r="BK326" s="8"/>
    </row>
    <row r="327" spans="1:63">
      <c r="A327" s="49"/>
      <c r="B327" s="7" t="s">
        <v>18</v>
      </c>
      <c r="C327" s="17">
        <v>0.06</v>
      </c>
      <c r="D327" s="7">
        <v>51</v>
      </c>
      <c r="E327" s="1">
        <v>5.7804783950617201E-2</v>
      </c>
      <c r="F327" s="1">
        <v>22.8072400588592</v>
      </c>
      <c r="G327" s="1">
        <v>0.84442276593514698</v>
      </c>
      <c r="H327" s="1">
        <v>8.0805395389758896</v>
      </c>
      <c r="I327" s="1">
        <v>25.846091524516002</v>
      </c>
      <c r="J327" s="1">
        <v>0.863007355213398</v>
      </c>
      <c r="K327" s="8">
        <v>8.6330274973660899</v>
      </c>
      <c r="L327" s="7">
        <v>49</v>
      </c>
      <c r="M327" s="1">
        <v>5.7665895061728298E-2</v>
      </c>
      <c r="N327" s="1">
        <v>23.624167344551498</v>
      </c>
      <c r="O327" s="1">
        <v>0.86844665032201496</v>
      </c>
      <c r="P327" s="1">
        <v>8.8089808921154393</v>
      </c>
      <c r="Q327" s="1">
        <v>26.722323832276999</v>
      </c>
      <c r="R327" s="1">
        <v>0.88089906943438601</v>
      </c>
      <c r="S327" s="1">
        <v>9.2408484525162695</v>
      </c>
      <c r="T327" s="7"/>
      <c r="U327" s="1"/>
      <c r="V327" s="1"/>
      <c r="W327" s="8"/>
      <c r="X327" s="7"/>
      <c r="Y327" s="1"/>
      <c r="Z327" s="1"/>
      <c r="AA327" s="8"/>
      <c r="AB327" s="7">
        <v>4</v>
      </c>
      <c r="AC327" s="1">
        <v>0.24995756172839501</v>
      </c>
      <c r="AD327" s="1">
        <v>29.352322959804901</v>
      </c>
      <c r="AE327" s="1">
        <v>0.96446936801696803</v>
      </c>
      <c r="AF327" s="1">
        <v>14.493970676499201</v>
      </c>
      <c r="AG327" s="1">
        <v>32.428760379733198</v>
      </c>
      <c r="AH327" s="1">
        <v>0.97014417884752302</v>
      </c>
      <c r="AI327" s="1">
        <v>15.249709795119999</v>
      </c>
      <c r="AJ327" s="1">
        <v>34.791569232940603</v>
      </c>
      <c r="AK327" s="1">
        <v>24.112978458404498</v>
      </c>
      <c r="AL327" s="7"/>
      <c r="AM327" s="1"/>
      <c r="AN327" s="1"/>
      <c r="AO327" s="8"/>
      <c r="AP327" s="1"/>
      <c r="AQ327" s="1"/>
      <c r="AR327" s="1"/>
      <c r="AS327" s="8"/>
      <c r="AT327" s="7">
        <v>0.04</v>
      </c>
      <c r="AU327" s="1">
        <v>0.15386959876543199</v>
      </c>
      <c r="AV327" s="1">
        <v>25.7211819982912</v>
      </c>
      <c r="AW327" s="1">
        <v>0.96202342898867299</v>
      </c>
      <c r="AX327" s="1">
        <v>14.2048425123903</v>
      </c>
      <c r="AY327" s="1">
        <v>28.7490995486129</v>
      </c>
      <c r="AZ327" s="1">
        <v>0.96821367027504601</v>
      </c>
      <c r="BA327" s="1">
        <v>14.9775961591103</v>
      </c>
      <c r="BB327" s="1">
        <v>34.666310071945098</v>
      </c>
      <c r="BC327" s="1">
        <v>27.375590801238999</v>
      </c>
      <c r="BD327" s="7"/>
      <c r="BE327" s="1"/>
      <c r="BF327" s="1"/>
      <c r="BG327" s="8"/>
      <c r="BH327" s="1"/>
      <c r="BI327" s="1"/>
      <c r="BJ327" s="1"/>
      <c r="BK327" s="8"/>
    </row>
    <row r="328" spans="1:63">
      <c r="A328" s="49"/>
      <c r="B328" s="7" t="s">
        <v>75</v>
      </c>
      <c r="C328" s="17">
        <v>1.5</v>
      </c>
      <c r="D328" s="7">
        <v>24</v>
      </c>
      <c r="E328" s="1">
        <v>1.4249421296296201</v>
      </c>
      <c r="F328" s="1">
        <v>40.472994377146797</v>
      </c>
      <c r="G328" s="1">
        <v>0.99354755279525497</v>
      </c>
      <c r="H328" s="1">
        <v>21.902755402566701</v>
      </c>
      <c r="I328" s="1">
        <v>43.784959056150903</v>
      </c>
      <c r="J328" s="1">
        <v>0.996425733578719</v>
      </c>
      <c r="K328" s="8">
        <v>24.468130788646299</v>
      </c>
      <c r="L328" s="7">
        <v>20</v>
      </c>
      <c r="M328" s="1">
        <v>1.4468518518518501</v>
      </c>
      <c r="N328" s="1">
        <v>42.150136960747098</v>
      </c>
      <c r="O328" s="1">
        <v>0.99563191070472001</v>
      </c>
      <c r="P328" s="1">
        <v>23.597084920865601</v>
      </c>
      <c r="Q328" s="1">
        <v>45.556338801590101</v>
      </c>
      <c r="R328" s="1">
        <v>0.99755622167855695</v>
      </c>
      <c r="S328" s="1">
        <v>26.119381921041299</v>
      </c>
      <c r="T328" s="13">
        <f>bdrate(E328:E331,F328:F331,M328:M331,N328:N331)</f>
        <v>-0.28756275062302128</v>
      </c>
      <c r="U328" s="12">
        <f>bdrate(E328:E331,H328:H331,M328:M331,P328:P331)</f>
        <v>-0.29198506432095372</v>
      </c>
      <c r="V328" s="12">
        <f>bdrate(E328:E331,I328:I331,M328:M331,Q328:Q331)</f>
        <v>-0.27750560772304911</v>
      </c>
      <c r="W328" s="14">
        <f>bdrate(E328:E331,K328:K331,M328:M331,S328:S331)</f>
        <v>-0.22354481868577747</v>
      </c>
      <c r="X328" s="13">
        <f>bdrate(E330:E333,F330:F333,M330:M333,N330:N333)</f>
        <v>-0.3103272363602535</v>
      </c>
      <c r="Y328" s="12">
        <f>bdrate(E330:E333,H330:H333,M330:M333,P330:P333)</f>
        <v>-0.29091611624832636</v>
      </c>
      <c r="Z328" s="12">
        <f>bdrate(E330:E333,I330:I333,M330:M333,Q330:Q333)</f>
        <v>-0.30967249788929363</v>
      </c>
      <c r="AA328" s="14">
        <f>bdrate(E330:E333,K330:K333,M330:M333,S330:S333)</f>
        <v>-0.22864643317660704</v>
      </c>
      <c r="AB328" s="7"/>
      <c r="AC328" s="1"/>
      <c r="AD328" s="1"/>
      <c r="AE328" s="1"/>
      <c r="AF328" s="1"/>
      <c r="AG328" s="1"/>
      <c r="AH328" s="1"/>
      <c r="AI328" s="1"/>
      <c r="AJ328" s="1"/>
      <c r="AK328" s="1"/>
      <c r="AL328" s="13" t="e">
        <f>bdrate(E328:E331,F328:F331,AC328:AC331,AD328:AD331)</f>
        <v>#VALUE!</v>
      </c>
      <c r="AM328" s="12" t="e">
        <f>bdrate(E328:E331,H328:H331,AC328:AC331,AF328:AF331)</f>
        <v>#VALUE!</v>
      </c>
      <c r="AN328" s="12" t="e">
        <f>bdrate(E328:E331,I328:I331,AC328:AC331,AG328:AG331)</f>
        <v>#VALUE!</v>
      </c>
      <c r="AO328" s="14" t="e">
        <f>bdrate(E328:E331,K328:K331,AC328:AC331,AI328:AI331)</f>
        <v>#VALUE!</v>
      </c>
      <c r="AP328" s="12">
        <f>bdrate(E330:E333,F330:F333,AC330:AC333,AD330:AD333)</f>
        <v>-0.28153283613968094</v>
      </c>
      <c r="AQ328" s="12">
        <f>bdrate(E330:E333,H330:H333,AC330:AC333,AF330:AF333)</f>
        <v>-0.33080181838852696</v>
      </c>
      <c r="AR328" s="12">
        <f>bdrate(E330:E333,I330:I333,AC330:AC333,AG330:AG333)</f>
        <v>-0.27855890086860713</v>
      </c>
      <c r="AS328" s="14">
        <f>bdrate(E330:E333,K330:K333,AC330:AC333,AI330:AI333)</f>
        <v>-0.23963168176922178</v>
      </c>
      <c r="AT328" s="7"/>
      <c r="AU328" s="1"/>
      <c r="AV328" s="1"/>
      <c r="AW328" s="1"/>
      <c r="AX328" s="1"/>
      <c r="AY328" s="1"/>
      <c r="AZ328" s="1"/>
      <c r="BA328" s="1"/>
      <c r="BB328" s="1"/>
      <c r="BC328" s="1"/>
      <c r="BD328" s="13" t="e">
        <f>bdrate(E328:E331,F328:F331,AU328:AU331,AV328:AV331)</f>
        <v>#VALUE!</v>
      </c>
      <c r="BE328" s="12" t="e">
        <f>bdrate(E328:E331,H328:H331,AU328:AU331,AX328:AX331)</f>
        <v>#VALUE!</v>
      </c>
      <c r="BF328" s="12" t="e">
        <f>bdrate(E328:E331,I328:I331,AU328:AU331,AY328:AY331)</f>
        <v>#VALUE!</v>
      </c>
      <c r="BG328" s="14" t="e">
        <f>bdrate(E328:E331,K328:K331,AU328:AU331,BA328:BA331)</f>
        <v>#VALUE!</v>
      </c>
      <c r="BH328" s="12">
        <f>bdrate(E330:E333,F330:F333,AU330:AU333,AV330:AV333)</f>
        <v>0.16025923542808651</v>
      </c>
      <c r="BI328" s="12">
        <f>bdrate(E330:E333,H330:H333,AU330:AU333,AX330:AX333)</f>
        <v>-0.60458306531422412</v>
      </c>
      <c r="BJ328" s="12">
        <f>bdrate(E330:E333,I330:I333,AU330:AU333,AY330:AY333)</f>
        <v>0.19016981803247113</v>
      </c>
      <c r="BK328" s="14">
        <f>bdrate(E330:E333,K330:K333,AU330:AU333,BA330:BA333)</f>
        <v>-0.56644308634735063</v>
      </c>
    </row>
    <row r="329" spans="1:63">
      <c r="A329" s="49"/>
      <c r="B329" s="7" t="s">
        <v>18</v>
      </c>
      <c r="C329" s="17">
        <v>1</v>
      </c>
      <c r="D329" s="7">
        <v>28</v>
      </c>
      <c r="E329" s="1">
        <v>0.93358796296296298</v>
      </c>
      <c r="F329" s="1">
        <v>37.829507094914902</v>
      </c>
      <c r="G329" s="1">
        <v>0.98864953924549903</v>
      </c>
      <c r="H329" s="1">
        <v>19.449865085963499</v>
      </c>
      <c r="I329" s="1">
        <v>40.975013034311601</v>
      </c>
      <c r="J329" s="1">
        <v>0.99282000995685604</v>
      </c>
      <c r="K329" s="8">
        <v>21.4387615801549</v>
      </c>
      <c r="L329" s="7">
        <v>24</v>
      </c>
      <c r="M329" s="1">
        <v>0.95949845679012302</v>
      </c>
      <c r="N329" s="1">
        <v>39.832237243481501</v>
      </c>
      <c r="O329" s="1">
        <v>0.99279346837056004</v>
      </c>
      <c r="P329" s="1">
        <v>21.4227370291071</v>
      </c>
      <c r="Q329" s="1">
        <v>43.022555556426099</v>
      </c>
      <c r="R329" s="1">
        <v>0.99533512119847301</v>
      </c>
      <c r="S329" s="1">
        <v>23.311596351998102</v>
      </c>
      <c r="T329" s="7"/>
      <c r="U329" s="1"/>
      <c r="V329" s="1"/>
      <c r="W329" s="8"/>
      <c r="X329" s="7"/>
      <c r="Y329" s="1"/>
      <c r="Z329" s="1"/>
      <c r="AA329" s="8"/>
      <c r="AB329" s="7">
        <v>64</v>
      </c>
      <c r="AC329" s="1">
        <v>0.67955632716049297</v>
      </c>
      <c r="AD329" s="1">
        <v>37.599709762786198</v>
      </c>
      <c r="AE329" s="1">
        <v>0.99042134433344797</v>
      </c>
      <c r="AF329" s="1">
        <v>20.186954384753498</v>
      </c>
      <c r="AG329" s="1">
        <v>40.743123442563601</v>
      </c>
      <c r="AH329" s="1">
        <v>0.99353152614357998</v>
      </c>
      <c r="AI329" s="1">
        <v>21.891981727962001</v>
      </c>
      <c r="AJ329" s="1">
        <v>71.365525960922199</v>
      </c>
      <c r="AK329" s="1">
        <v>34.532114982604902</v>
      </c>
      <c r="AL329" s="7"/>
      <c r="AM329" s="1"/>
      <c r="AN329" s="1"/>
      <c r="AO329" s="8"/>
      <c r="AP329" s="1"/>
      <c r="AQ329" s="1"/>
      <c r="AR329" s="1"/>
      <c r="AS329" s="8"/>
      <c r="AT329" s="7">
        <v>0.64</v>
      </c>
      <c r="AU329" s="1">
        <v>0.52863040123456795</v>
      </c>
      <c r="AV329" s="1">
        <v>32.9397994303974</v>
      </c>
      <c r="AW329" s="1">
        <v>0.99293487637252598</v>
      </c>
      <c r="AX329" s="1">
        <v>21.508802343448199</v>
      </c>
      <c r="AY329" s="1">
        <v>35.678578284116298</v>
      </c>
      <c r="AZ329" s="1">
        <v>0.99484392877019401</v>
      </c>
      <c r="BA329" s="1">
        <v>22.8768109160996</v>
      </c>
      <c r="BB329" s="1">
        <v>38.686758518218902</v>
      </c>
      <c r="BC329" s="1">
        <v>24.103159189224201</v>
      </c>
      <c r="BD329" s="7"/>
      <c r="BE329" s="1"/>
      <c r="BF329" s="1"/>
      <c r="BG329" s="8"/>
      <c r="BH329" s="1"/>
      <c r="BI329" s="1"/>
      <c r="BJ329" s="1"/>
      <c r="BK329" s="8"/>
    </row>
    <row r="330" spans="1:63">
      <c r="A330" s="49"/>
      <c r="B330" s="7" t="s">
        <v>18</v>
      </c>
      <c r="C330" s="17">
        <v>0.5</v>
      </c>
      <c r="D330" s="7">
        <v>34</v>
      </c>
      <c r="E330" s="1">
        <v>0.459054783950617</v>
      </c>
      <c r="F330" s="1">
        <v>33.933110282031201</v>
      </c>
      <c r="G330" s="1">
        <v>0.975089057485095</v>
      </c>
      <c r="H330" s="1">
        <v>16.036098404571199</v>
      </c>
      <c r="I330" s="1">
        <v>36.886477169204298</v>
      </c>
      <c r="J330" s="1">
        <v>0.98150394605404201</v>
      </c>
      <c r="K330" s="8">
        <v>17.329209165858099</v>
      </c>
      <c r="L330" s="7">
        <v>30</v>
      </c>
      <c r="M330" s="1">
        <v>0.49812114197530799</v>
      </c>
      <c r="N330" s="1">
        <v>36.205235964743402</v>
      </c>
      <c r="O330" s="1">
        <v>0.98432284615896204</v>
      </c>
      <c r="P330" s="1">
        <v>18.047327798740401</v>
      </c>
      <c r="Q330" s="1">
        <v>39.174060983606203</v>
      </c>
      <c r="R330" s="1">
        <v>0.987870822378768</v>
      </c>
      <c r="S330" s="1">
        <v>19.161686440360299</v>
      </c>
      <c r="T330" s="7"/>
      <c r="U330" s="1"/>
      <c r="V330" s="1"/>
      <c r="W330" s="8"/>
      <c r="X330" s="7"/>
      <c r="Y330" s="1"/>
      <c r="Z330" s="1"/>
      <c r="AA330" s="8"/>
      <c r="AB330" s="7">
        <v>32</v>
      </c>
      <c r="AC330" s="1">
        <v>0.49863811728395002</v>
      </c>
      <c r="AD330" s="1">
        <v>36.034568867966101</v>
      </c>
      <c r="AE330" s="1">
        <v>0.986242401567202</v>
      </c>
      <c r="AF330" s="1">
        <v>18.6145737121766</v>
      </c>
      <c r="AG330" s="1">
        <v>39.007570985157599</v>
      </c>
      <c r="AH330" s="1">
        <v>0.98963826648226305</v>
      </c>
      <c r="AI330" s="1">
        <v>19.8456758105728</v>
      </c>
      <c r="AJ330" s="1">
        <v>54.790772676467803</v>
      </c>
      <c r="AK330" s="1">
        <v>31.9897119998931</v>
      </c>
      <c r="AL330" s="7"/>
      <c r="AM330" s="1"/>
      <c r="AN330" s="1"/>
      <c r="AO330" s="8"/>
      <c r="AP330" s="1"/>
      <c r="AQ330" s="1"/>
      <c r="AR330" s="1"/>
      <c r="AS330" s="8"/>
      <c r="AT330" s="7">
        <v>0.32</v>
      </c>
      <c r="AU330" s="1">
        <v>0.38726466049382702</v>
      </c>
      <c r="AV330" s="1">
        <v>31.968542612462102</v>
      </c>
      <c r="AW330" s="1">
        <v>0.98966797973989196</v>
      </c>
      <c r="AX330" s="1">
        <v>19.858147508877799</v>
      </c>
      <c r="AY330" s="1">
        <v>34.714504171498199</v>
      </c>
      <c r="AZ330" s="1">
        <v>0.99212991844550202</v>
      </c>
      <c r="BA330" s="1">
        <v>21.040207671981399</v>
      </c>
      <c r="BB330" s="1">
        <v>47.113794565200799</v>
      </c>
      <c r="BC330" s="1">
        <v>26.570415735244701</v>
      </c>
      <c r="BD330" s="7"/>
      <c r="BE330" s="1"/>
      <c r="BF330" s="1"/>
      <c r="BG330" s="8"/>
      <c r="BH330" s="1"/>
      <c r="BI330" s="1"/>
      <c r="BJ330" s="1"/>
      <c r="BK330" s="8"/>
    </row>
    <row r="331" spans="1:63">
      <c r="A331" s="49"/>
      <c r="B331" s="7" t="s">
        <v>18</v>
      </c>
      <c r="C331" s="17">
        <v>0.25</v>
      </c>
      <c r="D331" s="7">
        <v>39</v>
      </c>
      <c r="E331" s="1">
        <v>0.23792438271604899</v>
      </c>
      <c r="F331" s="1">
        <v>30.868820082678099</v>
      </c>
      <c r="G331" s="1">
        <v>0.95426831111836297</v>
      </c>
      <c r="H331" s="1">
        <v>13.397827597294899</v>
      </c>
      <c r="I331" s="1">
        <v>33.734406560278302</v>
      </c>
      <c r="J331" s="1">
        <v>0.96292277170807306</v>
      </c>
      <c r="K331" s="8">
        <v>14.308927389966099</v>
      </c>
      <c r="L331" s="7">
        <v>36</v>
      </c>
      <c r="M331" s="1">
        <v>0.24060570987654301</v>
      </c>
      <c r="N331" s="1">
        <v>32.594132774558702</v>
      </c>
      <c r="O331" s="1">
        <v>0.96665256630165197</v>
      </c>
      <c r="P331" s="1">
        <v>14.769375822431</v>
      </c>
      <c r="Q331" s="1">
        <v>35.459672423973302</v>
      </c>
      <c r="R331" s="1">
        <v>0.97147011522111004</v>
      </c>
      <c r="S331" s="1">
        <v>15.4469998228591</v>
      </c>
      <c r="T331" s="7"/>
      <c r="U331" s="1"/>
      <c r="V331" s="1"/>
      <c r="W331" s="8"/>
      <c r="X331" s="7"/>
      <c r="Y331" s="1"/>
      <c r="Z331" s="1"/>
      <c r="AA331" s="8"/>
      <c r="AB331" s="7">
        <v>16</v>
      </c>
      <c r="AC331" s="1">
        <v>0.34714120370370299</v>
      </c>
      <c r="AD331" s="1">
        <v>34.203290014356703</v>
      </c>
      <c r="AE331" s="1">
        <v>0.97846394611579302</v>
      </c>
      <c r="AF331" s="1">
        <v>16.668338708297899</v>
      </c>
      <c r="AG331" s="1">
        <v>37.087599005622202</v>
      </c>
      <c r="AH331" s="1">
        <v>0.98204334574785901</v>
      </c>
      <c r="AI331" s="1">
        <v>17.457745794277699</v>
      </c>
      <c r="AJ331" s="1">
        <v>29.599897861480699</v>
      </c>
      <c r="AK331" s="1">
        <v>19.4163160324096</v>
      </c>
      <c r="AL331" s="7"/>
      <c r="AM331" s="1"/>
      <c r="AN331" s="1"/>
      <c r="AO331" s="8"/>
      <c r="AP331" s="1"/>
      <c r="AQ331" s="1"/>
      <c r="AR331" s="1"/>
      <c r="AS331" s="8"/>
      <c r="AT331" s="7">
        <v>0.16</v>
      </c>
      <c r="AU331" s="1">
        <v>0.26733410493827098</v>
      </c>
      <c r="AV331" s="1">
        <v>30.722247961638899</v>
      </c>
      <c r="AW331" s="1">
        <v>0.98399588322972698</v>
      </c>
      <c r="AX331" s="1">
        <v>17.9576828855397</v>
      </c>
      <c r="AY331" s="1">
        <v>33.4726734866993</v>
      </c>
      <c r="AZ331" s="1">
        <v>0.98717239572895799</v>
      </c>
      <c r="BA331" s="1">
        <v>18.9185444643255</v>
      </c>
      <c r="BB331" s="1">
        <v>39.384550809860201</v>
      </c>
      <c r="BC331" s="1">
        <v>27.033385515212998</v>
      </c>
      <c r="BD331" s="7"/>
      <c r="BE331" s="1"/>
      <c r="BF331" s="1"/>
      <c r="BG331" s="8"/>
      <c r="BH331" s="1"/>
      <c r="BI331" s="1"/>
      <c r="BJ331" s="1"/>
      <c r="BK331" s="8"/>
    </row>
    <row r="332" spans="1:63">
      <c r="A332" s="49"/>
      <c r="B332" s="7" t="s">
        <v>18</v>
      </c>
      <c r="C332" s="17">
        <v>0.12</v>
      </c>
      <c r="D332" s="7">
        <v>44</v>
      </c>
      <c r="E332" s="1">
        <v>0.115871913580246</v>
      </c>
      <c r="F332" s="1">
        <v>28.0683897000442</v>
      </c>
      <c r="G332" s="1">
        <v>0.92114199928645302</v>
      </c>
      <c r="H332" s="1">
        <v>11.031542377888</v>
      </c>
      <c r="I332" s="1">
        <v>30.893534594074001</v>
      </c>
      <c r="J332" s="1">
        <v>0.93222418937918405</v>
      </c>
      <c r="K332" s="8">
        <v>11.689252794126601</v>
      </c>
      <c r="L332" s="7">
        <v>42</v>
      </c>
      <c r="M332" s="1">
        <v>0.106489197530864</v>
      </c>
      <c r="N332" s="1">
        <v>29.120525962346399</v>
      </c>
      <c r="O332" s="1">
        <v>0.93437785316658595</v>
      </c>
      <c r="P332" s="1">
        <v>11.829495657412799</v>
      </c>
      <c r="Q332" s="1">
        <v>31.972029875677901</v>
      </c>
      <c r="R332" s="1">
        <v>0.94100247268776505</v>
      </c>
      <c r="S332" s="1">
        <v>12.2916619000456</v>
      </c>
      <c r="T332" s="7"/>
      <c r="U332" s="1"/>
      <c r="V332" s="1"/>
      <c r="W332" s="8"/>
      <c r="X332" s="7"/>
      <c r="Y332" s="1"/>
      <c r="Z332" s="1"/>
      <c r="AA332" s="8"/>
      <c r="AB332" s="7">
        <v>8</v>
      </c>
      <c r="AC332" s="1">
        <v>0.24345293209876501</v>
      </c>
      <c r="AD332" s="1">
        <v>32.449607184683799</v>
      </c>
      <c r="AE332" s="1">
        <v>0.96901844106406998</v>
      </c>
      <c r="AF332" s="1">
        <v>15.088967331152899</v>
      </c>
      <c r="AG332" s="1">
        <v>35.328668669489701</v>
      </c>
      <c r="AH332" s="1">
        <v>0.97254862570373202</v>
      </c>
      <c r="AI332" s="1">
        <v>15.6143590861478</v>
      </c>
      <c r="AJ332" s="1">
        <v>34.758060693740802</v>
      </c>
      <c r="AK332" s="1">
        <v>24.539716243743801</v>
      </c>
      <c r="AL332" s="7"/>
      <c r="AM332" s="1"/>
      <c r="AN332" s="1"/>
      <c r="AO332" s="8"/>
      <c r="AP332" s="1"/>
      <c r="AQ332" s="1"/>
      <c r="AR332" s="1"/>
      <c r="AS332" s="8"/>
      <c r="AT332" s="7">
        <v>0.08</v>
      </c>
      <c r="AU332" s="1">
        <v>0.18714120370370299</v>
      </c>
      <c r="AV332" s="1">
        <v>29.3622055591545</v>
      </c>
      <c r="AW332" s="1">
        <v>0.97625523585715102</v>
      </c>
      <c r="AX332" s="1">
        <v>16.244321399151101</v>
      </c>
      <c r="AY332" s="1">
        <v>32.111985076233402</v>
      </c>
      <c r="AZ332" s="1">
        <v>0.98022820007723099</v>
      </c>
      <c r="BA332" s="1">
        <v>17.0395379295521</v>
      </c>
      <c r="BB332" s="1">
        <v>33.786703824996899</v>
      </c>
      <c r="BC332" s="1">
        <v>23.873419046401899</v>
      </c>
      <c r="BD332" s="7"/>
      <c r="BE332" s="1"/>
      <c r="BF332" s="1"/>
      <c r="BG332" s="8"/>
      <c r="BH332" s="1"/>
      <c r="BI332" s="1"/>
      <c r="BJ332" s="1"/>
      <c r="BK332" s="8"/>
    </row>
    <row r="333" spans="1:63">
      <c r="A333" s="49"/>
      <c r="B333" s="7" t="s">
        <v>18</v>
      </c>
      <c r="C333" s="17">
        <v>0.06</v>
      </c>
      <c r="D333" s="7">
        <v>49</v>
      </c>
      <c r="E333" s="1">
        <v>5.3287037037037001E-2</v>
      </c>
      <c r="F333" s="1">
        <v>25.5914296189022</v>
      </c>
      <c r="G333" s="1">
        <v>0.86991540988544203</v>
      </c>
      <c r="H333" s="1">
        <v>8.8577414713244007</v>
      </c>
      <c r="I333" s="1">
        <v>28.4129302930561</v>
      </c>
      <c r="J333" s="1">
        <v>0.88335528272031605</v>
      </c>
      <c r="K333" s="8">
        <v>9.3313492517913694</v>
      </c>
      <c r="L333" s="7">
        <v>46</v>
      </c>
      <c r="M333" s="1">
        <v>5.8233024691358E-2</v>
      </c>
      <c r="N333" s="1">
        <v>26.9604597496729</v>
      </c>
      <c r="O333" s="1">
        <v>0.89979630431264002</v>
      </c>
      <c r="P333" s="1">
        <v>9.9911626063415504</v>
      </c>
      <c r="Q333" s="1">
        <v>29.8243952852186</v>
      </c>
      <c r="R333" s="1">
        <v>0.90775069437832301</v>
      </c>
      <c r="S333" s="1">
        <v>10.350368941749601</v>
      </c>
      <c r="T333" s="7"/>
      <c r="U333" s="1"/>
      <c r="V333" s="1"/>
      <c r="W333" s="8"/>
      <c r="X333" s="7"/>
      <c r="Y333" s="1"/>
      <c r="Z333" s="1"/>
      <c r="AA333" s="8"/>
      <c r="AB333" s="7">
        <v>4</v>
      </c>
      <c r="AC333" s="1">
        <v>0.167773919753086</v>
      </c>
      <c r="AD333" s="1">
        <v>30.752872119099699</v>
      </c>
      <c r="AE333" s="1">
        <v>0.95473544075857597</v>
      </c>
      <c r="AF333" s="1">
        <v>13.442417041667801</v>
      </c>
      <c r="AG333" s="1">
        <v>33.6546085972954</v>
      </c>
      <c r="AH333" s="1">
        <v>0.95837425247777497</v>
      </c>
      <c r="AI333" s="1">
        <v>13.8063795428173</v>
      </c>
      <c r="AJ333" s="1">
        <v>35.014212369918802</v>
      </c>
      <c r="AK333" s="1">
        <v>23.916955709457302</v>
      </c>
      <c r="AL333" s="7"/>
      <c r="AM333" s="1"/>
      <c r="AN333" s="1"/>
      <c r="AO333" s="8"/>
      <c r="AP333" s="1"/>
      <c r="AQ333" s="1"/>
      <c r="AR333" s="1"/>
      <c r="AS333" s="8"/>
      <c r="AT333" s="7">
        <v>0.04</v>
      </c>
      <c r="AU333" s="1">
        <v>0.13047453703703699</v>
      </c>
      <c r="AV333" s="1">
        <v>28.081107328900899</v>
      </c>
      <c r="AW333" s="1">
        <v>0.96499423919154903</v>
      </c>
      <c r="AX333" s="1">
        <v>14.5586047903699</v>
      </c>
      <c r="AY333" s="1">
        <v>30.806759378427699</v>
      </c>
      <c r="AZ333" s="1">
        <v>0.970039843831913</v>
      </c>
      <c r="BA333" s="1">
        <v>15.2345592719549</v>
      </c>
      <c r="BB333" s="1">
        <v>34.903005838394101</v>
      </c>
      <c r="BC333" s="1">
        <v>26.542377233505199</v>
      </c>
      <c r="BD333" s="7"/>
      <c r="BE333" s="1"/>
      <c r="BF333" s="1"/>
      <c r="BG333" s="8"/>
      <c r="BH333" s="1"/>
      <c r="BI333" s="1"/>
      <c r="BJ333" s="1"/>
      <c r="BK333" s="8"/>
    </row>
    <row r="334" spans="1:63">
      <c r="A334" s="49"/>
      <c r="B334" s="7" t="s">
        <v>76</v>
      </c>
      <c r="C334" s="17">
        <v>1.5</v>
      </c>
      <c r="D334" s="7">
        <v>17</v>
      </c>
      <c r="E334" s="1">
        <v>1.46952160493827</v>
      </c>
      <c r="F334" s="1">
        <v>45.925295765179698</v>
      </c>
      <c r="G334" s="1">
        <v>0.99700148095122398</v>
      </c>
      <c r="H334" s="1">
        <v>25.230931878627398</v>
      </c>
      <c r="I334" s="1">
        <v>49.377440540244201</v>
      </c>
      <c r="J334" s="1">
        <v>0.99855063442643399</v>
      </c>
      <c r="K334" s="8">
        <v>28.388220585884302</v>
      </c>
      <c r="L334" s="7">
        <v>14</v>
      </c>
      <c r="M334" s="1">
        <v>1.3741936728394999</v>
      </c>
      <c r="N334" s="1">
        <v>46.450102303198499</v>
      </c>
      <c r="O334" s="1">
        <v>0.99736676105084798</v>
      </c>
      <c r="P334" s="1">
        <v>25.795097297320101</v>
      </c>
      <c r="Q334" s="1">
        <v>49.982318600644099</v>
      </c>
      <c r="R334" s="1">
        <v>0.99869514403316195</v>
      </c>
      <c r="S334" s="1">
        <v>28.844374241570598</v>
      </c>
      <c r="T334" s="13">
        <f>bdrate(E334:E337,F334:F337,M334:M337,N334:N337)</f>
        <v>-0.27553565727607943</v>
      </c>
      <c r="U334" s="12">
        <f>bdrate(E334:E337,H334:H337,M334:M337,P334:P337)</f>
        <v>-0.2929826711227167</v>
      </c>
      <c r="V334" s="12">
        <f>bdrate(E334:E337,I334:I337,M334:M337,Q334:Q337)</f>
        <v>-0.26844468680879607</v>
      </c>
      <c r="W334" s="14">
        <f>bdrate(E334:E337,K334:K337,M334:M337,S334:S337)</f>
        <v>-0.22407656652430707</v>
      </c>
      <c r="X334" s="13">
        <f>bdrate(E336:E339,F336:F339,M336:M339,N336:N339)</f>
        <v>-0.31708175968586105</v>
      </c>
      <c r="Y334" s="12">
        <f>bdrate(E336:E339,H336:H339,M336:M339,P336:P339)</f>
        <v>-0.30996856845873633</v>
      </c>
      <c r="Z334" s="12">
        <f>bdrate(E336:E339,I336:I339,M336:M339,Q336:Q339)</f>
        <v>-0.30779734934529956</v>
      </c>
      <c r="AA334" s="14">
        <f>bdrate(E336:E339,K336:K339,M336:M339,S336:S339)</f>
        <v>-0.23179477392653869</v>
      </c>
      <c r="AB334" s="7"/>
      <c r="AC334" s="1"/>
      <c r="AD334" s="1"/>
      <c r="AE334" s="1"/>
      <c r="AF334" s="1"/>
      <c r="AG334" s="1"/>
      <c r="AH334" s="1"/>
      <c r="AI334" s="1"/>
      <c r="AJ334" s="1"/>
      <c r="AK334" s="1"/>
      <c r="AL334" s="13" t="e">
        <f>bdrate(E334:E337,F334:F337,AC334:AC337,AD334:AD337)</f>
        <v>#VALUE!</v>
      </c>
      <c r="AM334" s="12" t="e">
        <f>bdrate(E334:E337,H334:H337,AC334:AC337,AF334:AF337)</f>
        <v>#VALUE!</v>
      </c>
      <c r="AN334" s="12" t="e">
        <f>bdrate(E334:E337,I334:I337,AC334:AC337,AG334:AG337)</f>
        <v>#VALUE!</v>
      </c>
      <c r="AO334" s="14" t="e">
        <f>bdrate(E334:E337,K334:K337,AC334:AC337,AI334:AI337)</f>
        <v>#VALUE!</v>
      </c>
      <c r="AP334" s="12">
        <f>bdrate(E336:E339,F336:F339,AC336:AC339,AD336:AD339)</f>
        <v>-0.24711604885270499</v>
      </c>
      <c r="AQ334" s="12">
        <f>bdrate(E336:E339,H336:H339,AC336:AC339,AF336:AF339)</f>
        <v>-0.31046734121098574</v>
      </c>
      <c r="AR334" s="12">
        <f>bdrate(E336:E339,I336:I339,AC336:AC339,AG336:AG339)</f>
        <v>-0.23086056859065096</v>
      </c>
      <c r="AS334" s="14">
        <f>bdrate(E336:E339,K336:K339,AC336:AC339,AI336:AI339)</f>
        <v>-0.20389613918017924</v>
      </c>
      <c r="AT334" s="7"/>
      <c r="AU334" s="1"/>
      <c r="AV334" s="1"/>
      <c r="AW334" s="1"/>
      <c r="AX334" s="1"/>
      <c r="AY334" s="1"/>
      <c r="AZ334" s="1"/>
      <c r="BA334" s="1"/>
      <c r="BB334" s="1"/>
      <c r="BC334" s="1"/>
      <c r="BD334" s="13" t="e">
        <f>bdrate(E334:E337,F334:F337,AU334:AU337,AV334:AV337)</f>
        <v>#VALUE!</v>
      </c>
      <c r="BE334" s="12" t="e">
        <f>bdrate(E334:E337,H334:H337,AU334:AU337,AX334:AX337)</f>
        <v>#VALUE!</v>
      </c>
      <c r="BF334" s="12" t="e">
        <f>bdrate(E334:E337,I334:I337,AU334:AU337,AY334:AY337)</f>
        <v>#VALUE!</v>
      </c>
      <c r="BG334" s="14" t="e">
        <f>bdrate(E334:E337,K334:K337,AU334:AU337,BA334:BA337)</f>
        <v>#VALUE!</v>
      </c>
      <c r="BH334" s="12">
        <f>bdrate(E336:E339,F336:F339,AU336:AU339,AV336:AV339)</f>
        <v>0.29673726990271154</v>
      </c>
      <c r="BI334" s="12">
        <f>bdrate(E336:E339,H336:H339,AU336:AU339,AX336:AX339)</f>
        <v>-0.53460981429956811</v>
      </c>
      <c r="BJ334" s="12">
        <f>bdrate(E336:E339,I336:I339,AU336:AU339,AY336:AY339)</f>
        <v>0.36341714162736993</v>
      </c>
      <c r="BK334" s="14">
        <f>bdrate(E336:E339,K336:K339,AU336:AU339,BA336:BA339)</f>
        <v>-0.47272617823073049</v>
      </c>
    </row>
    <row r="335" spans="1:63">
      <c r="A335" s="49"/>
      <c r="B335" s="7" t="s">
        <v>18</v>
      </c>
      <c r="C335" s="17">
        <v>1</v>
      </c>
      <c r="D335" s="7">
        <v>21</v>
      </c>
      <c r="E335" s="1">
        <v>0.96954475308641896</v>
      </c>
      <c r="F335" s="1">
        <v>44.027783944643801</v>
      </c>
      <c r="G335" s="1">
        <v>0.99556675773546099</v>
      </c>
      <c r="H335" s="1">
        <v>23.532785350490901</v>
      </c>
      <c r="I335" s="1">
        <v>47.338822673703604</v>
      </c>
      <c r="J335" s="1">
        <v>0.99772995570904199</v>
      </c>
      <c r="K335" s="8">
        <v>26.439656691809802</v>
      </c>
      <c r="L335" s="7">
        <v>17</v>
      </c>
      <c r="M335" s="1">
        <v>0.98883487654320901</v>
      </c>
      <c r="N335" s="1">
        <v>45.2460535787474</v>
      </c>
      <c r="O335" s="1">
        <v>0.99662946525753704</v>
      </c>
      <c r="P335" s="1">
        <v>24.723011919247298</v>
      </c>
      <c r="Q335" s="1">
        <v>48.666905007067299</v>
      </c>
      <c r="R335" s="1">
        <v>0.99822360365775198</v>
      </c>
      <c r="S335" s="1">
        <v>27.504601297470199</v>
      </c>
      <c r="T335" s="7"/>
      <c r="U335" s="1"/>
      <c r="V335" s="1"/>
      <c r="W335" s="8"/>
      <c r="X335" s="7"/>
      <c r="Y335" s="1"/>
      <c r="Z335" s="1"/>
      <c r="AA335" s="8"/>
      <c r="AB335" s="7">
        <v>64</v>
      </c>
      <c r="AC335" s="1">
        <v>0.34787422839506099</v>
      </c>
      <c r="AD335" s="1">
        <v>40.483687724465199</v>
      </c>
      <c r="AE335" s="1">
        <v>0.99189319796463404</v>
      </c>
      <c r="AF335" s="1">
        <v>20.911504321385099</v>
      </c>
      <c r="AG335" s="1">
        <v>43.465812164583497</v>
      </c>
      <c r="AH335" s="1">
        <v>0.994610035072786</v>
      </c>
      <c r="AI335" s="1">
        <v>22.684140607811599</v>
      </c>
      <c r="AJ335" s="1">
        <v>70.271039724349905</v>
      </c>
      <c r="AK335" s="1">
        <v>33.511652708053496</v>
      </c>
      <c r="AL335" s="7"/>
      <c r="AM335" s="1"/>
      <c r="AN335" s="1"/>
      <c r="AO335" s="8"/>
      <c r="AP335" s="1"/>
      <c r="AQ335" s="1"/>
      <c r="AR335" s="1"/>
      <c r="AS335" s="8"/>
      <c r="AT335" s="7">
        <v>0.64</v>
      </c>
      <c r="AU335" s="1">
        <v>0.354255401234567</v>
      </c>
      <c r="AV335" s="1">
        <v>37.975113437415999</v>
      </c>
      <c r="AW335" s="1">
        <v>0.99491714897247396</v>
      </c>
      <c r="AX335" s="1">
        <v>22.938926187788301</v>
      </c>
      <c r="AY335" s="1">
        <v>40.624629055475701</v>
      </c>
      <c r="AZ335" s="1">
        <v>0.99648169790214602</v>
      </c>
      <c r="BA335" s="1">
        <v>24.536668727245601</v>
      </c>
      <c r="BB335" s="1">
        <v>37.241396665573099</v>
      </c>
      <c r="BC335" s="1">
        <v>24.4916348457336</v>
      </c>
      <c r="BD335" s="7"/>
      <c r="BE335" s="1"/>
      <c r="BF335" s="1"/>
      <c r="BG335" s="8"/>
      <c r="BH335" s="1"/>
      <c r="BI335" s="1"/>
      <c r="BJ335" s="1"/>
      <c r="BK335" s="8"/>
    </row>
    <row r="336" spans="1:63">
      <c r="A336" s="49"/>
      <c r="B336" s="7" t="s">
        <v>18</v>
      </c>
      <c r="C336" s="17">
        <v>0.5</v>
      </c>
      <c r="D336" s="7">
        <v>28</v>
      </c>
      <c r="E336" s="1">
        <v>0.44803240740740702</v>
      </c>
      <c r="F336" s="1">
        <v>40.189185237705097</v>
      </c>
      <c r="G336" s="1">
        <v>0.99008389208353698</v>
      </c>
      <c r="H336" s="1">
        <v>20.036587554752899</v>
      </c>
      <c r="I336" s="1">
        <v>43.240382136178297</v>
      </c>
      <c r="J336" s="1">
        <v>0.99393092760836399</v>
      </c>
      <c r="K336" s="8">
        <v>22.168776822326201</v>
      </c>
      <c r="L336" s="7">
        <v>24</v>
      </c>
      <c r="M336" s="1">
        <v>0.46412037037037002</v>
      </c>
      <c r="N336" s="1">
        <v>42.088401951373498</v>
      </c>
      <c r="O336" s="1">
        <v>0.99352030893899301</v>
      </c>
      <c r="P336" s="1">
        <v>21.884456999470899</v>
      </c>
      <c r="Q336" s="1">
        <v>45.186479762639699</v>
      </c>
      <c r="R336" s="1">
        <v>0.99594058096997795</v>
      </c>
      <c r="S336" s="1">
        <v>23.9153611669614</v>
      </c>
      <c r="T336" s="7"/>
      <c r="U336" s="1"/>
      <c r="V336" s="1"/>
      <c r="W336" s="8"/>
      <c r="X336" s="7"/>
      <c r="Y336" s="1"/>
      <c r="Z336" s="1"/>
      <c r="AA336" s="8"/>
      <c r="AB336" s="7">
        <v>32</v>
      </c>
      <c r="AC336" s="1">
        <v>0.25542052469135801</v>
      </c>
      <c r="AD336" s="1">
        <v>38.985221460579297</v>
      </c>
      <c r="AE336" s="1">
        <v>0.98877550051088903</v>
      </c>
      <c r="AF336" s="1">
        <v>19.4983301548843</v>
      </c>
      <c r="AG336" s="1">
        <v>41.835743297340798</v>
      </c>
      <c r="AH336" s="1">
        <v>0.99170541576418603</v>
      </c>
      <c r="AI336" s="1">
        <v>20.8120537800819</v>
      </c>
      <c r="AJ336" s="1">
        <v>53.2512431144714</v>
      </c>
      <c r="AK336" s="1">
        <v>31.5002553462982</v>
      </c>
      <c r="AL336" s="7"/>
      <c r="AM336" s="1"/>
      <c r="AN336" s="1"/>
      <c r="AO336" s="8"/>
      <c r="AP336" s="1"/>
      <c r="AQ336" s="1"/>
      <c r="AR336" s="1"/>
      <c r="AS336" s="8"/>
      <c r="AT336" s="7">
        <v>0.32</v>
      </c>
      <c r="AU336" s="1">
        <v>0.25515046296296201</v>
      </c>
      <c r="AV336" s="1">
        <v>36.502345269906201</v>
      </c>
      <c r="AW336" s="1">
        <v>0.99249604158351601</v>
      </c>
      <c r="AX336" s="1">
        <v>21.2470958128436</v>
      </c>
      <c r="AY336" s="1">
        <v>39.102841124628803</v>
      </c>
      <c r="AZ336" s="1">
        <v>0.99459349095230698</v>
      </c>
      <c r="BA336" s="1">
        <v>22.670830658892399</v>
      </c>
      <c r="BB336" s="1">
        <v>48.745124340057302</v>
      </c>
      <c r="BC336" s="1">
        <v>26.765935659408498</v>
      </c>
      <c r="BD336" s="7"/>
      <c r="BE336" s="1"/>
      <c r="BF336" s="1"/>
      <c r="BG336" s="8"/>
      <c r="BH336" s="1"/>
      <c r="BI336" s="1"/>
      <c r="BJ336" s="1"/>
      <c r="BK336" s="8"/>
    </row>
    <row r="337" spans="1:63">
      <c r="A337" s="49"/>
      <c r="B337" s="7" t="s">
        <v>18</v>
      </c>
      <c r="C337" s="17">
        <v>0.25</v>
      </c>
      <c r="D337" s="7">
        <v>33</v>
      </c>
      <c r="E337" s="1">
        <v>0.24525077160493799</v>
      </c>
      <c r="F337" s="1">
        <v>37.262229967189903</v>
      </c>
      <c r="G337" s="1">
        <v>0.98163119867697401</v>
      </c>
      <c r="H337" s="1">
        <v>17.359191831487699</v>
      </c>
      <c r="I337" s="1">
        <v>40.1825129704864</v>
      </c>
      <c r="J337" s="1">
        <v>0.987228993780361</v>
      </c>
      <c r="K337" s="8">
        <v>18.937748835963401</v>
      </c>
      <c r="L337" s="7">
        <v>30</v>
      </c>
      <c r="M337" s="1">
        <v>0.23690972222222201</v>
      </c>
      <c r="N337" s="1">
        <v>38.899085511871199</v>
      </c>
      <c r="O337" s="1">
        <v>0.98708326652404299</v>
      </c>
      <c r="P337" s="1">
        <v>18.8884730156785</v>
      </c>
      <c r="Q337" s="1">
        <v>41.792593643345803</v>
      </c>
      <c r="R337" s="1">
        <v>0.99040168476713697</v>
      </c>
      <c r="S337" s="1">
        <v>20.1780499084403</v>
      </c>
      <c r="T337" s="7"/>
      <c r="U337" s="1"/>
      <c r="V337" s="1"/>
      <c r="W337" s="8"/>
      <c r="X337" s="7"/>
      <c r="Y337" s="1"/>
      <c r="Z337" s="1"/>
      <c r="AA337" s="8"/>
      <c r="AB337" s="7">
        <v>16</v>
      </c>
      <c r="AC337" s="1">
        <v>0.17850694444444401</v>
      </c>
      <c r="AD337" s="1">
        <v>37.186922311960103</v>
      </c>
      <c r="AE337" s="1">
        <v>0.983009752001898</v>
      </c>
      <c r="AF337" s="1">
        <v>17.6980028190663</v>
      </c>
      <c r="AG337" s="1">
        <v>39.970392558722303</v>
      </c>
      <c r="AH337" s="1">
        <v>0.98624908229476005</v>
      </c>
      <c r="AI337" s="1">
        <v>18.616683170321199</v>
      </c>
      <c r="AJ337" s="1">
        <v>31.663237571716301</v>
      </c>
      <c r="AK337" s="1">
        <v>20.0453133583068</v>
      </c>
      <c r="AL337" s="7"/>
      <c r="AM337" s="1"/>
      <c r="AN337" s="1"/>
      <c r="AO337" s="8"/>
      <c r="AP337" s="1"/>
      <c r="AQ337" s="1"/>
      <c r="AR337" s="1"/>
      <c r="AS337" s="8"/>
      <c r="AT337" s="7">
        <v>0.16</v>
      </c>
      <c r="AU337" s="1">
        <v>0.17542824074074001</v>
      </c>
      <c r="AV337" s="1">
        <v>34.686658534621102</v>
      </c>
      <c r="AW337" s="1">
        <v>0.98834722214660697</v>
      </c>
      <c r="AX337" s="1">
        <v>19.335705327844298</v>
      </c>
      <c r="AY337" s="1">
        <v>37.191561283819397</v>
      </c>
      <c r="AZ337" s="1">
        <v>0.99119319842310305</v>
      </c>
      <c r="BA337" s="1">
        <v>20.551817884903901</v>
      </c>
      <c r="BB337" s="1">
        <v>38.2153894901275</v>
      </c>
      <c r="BC337" s="1">
        <v>29.0038015842437</v>
      </c>
      <c r="BD337" s="7"/>
      <c r="BE337" s="1"/>
      <c r="BF337" s="1"/>
      <c r="BG337" s="8"/>
      <c r="BH337" s="1"/>
      <c r="BI337" s="1"/>
      <c r="BJ337" s="1"/>
      <c r="BK337" s="8"/>
    </row>
    <row r="338" spans="1:63">
      <c r="A338" s="49"/>
      <c r="B338" s="7" t="s">
        <v>18</v>
      </c>
      <c r="C338" s="17">
        <v>0.12</v>
      </c>
      <c r="D338" s="7">
        <v>39</v>
      </c>
      <c r="E338" s="1">
        <v>0.11325617283950599</v>
      </c>
      <c r="F338" s="1">
        <v>33.867244539549297</v>
      </c>
      <c r="G338" s="1">
        <v>0.96321821594505896</v>
      </c>
      <c r="H338" s="1">
        <v>14.3436720967038</v>
      </c>
      <c r="I338" s="1">
        <v>36.679558075133301</v>
      </c>
      <c r="J338" s="1">
        <v>0.97082536852430701</v>
      </c>
      <c r="K338" s="8">
        <v>15.349946211123701</v>
      </c>
      <c r="L338" s="7">
        <v>36</v>
      </c>
      <c r="M338" s="1">
        <v>0.11498070987654301</v>
      </c>
      <c r="N338" s="1">
        <v>35.583037227286603</v>
      </c>
      <c r="O338" s="1">
        <v>0.97352423907746299</v>
      </c>
      <c r="P338" s="1">
        <v>15.771515492673201</v>
      </c>
      <c r="Q338" s="1">
        <v>38.383415658127802</v>
      </c>
      <c r="R338" s="1">
        <v>0.97774351054546504</v>
      </c>
      <c r="S338" s="1">
        <v>16.5254333644144</v>
      </c>
      <c r="T338" s="7"/>
      <c r="U338" s="1"/>
      <c r="V338" s="1"/>
      <c r="W338" s="8"/>
      <c r="X338" s="7"/>
      <c r="Y338" s="1"/>
      <c r="Z338" s="1"/>
      <c r="AA338" s="8"/>
      <c r="AB338" s="7">
        <v>8</v>
      </c>
      <c r="AC338" s="1">
        <v>0.12809027777777701</v>
      </c>
      <c r="AD338" s="1">
        <v>35.530476431207802</v>
      </c>
      <c r="AE338" s="1">
        <v>0.97559032266446</v>
      </c>
      <c r="AF338" s="1">
        <v>16.1243796135794</v>
      </c>
      <c r="AG338" s="1">
        <v>38.313692625515202</v>
      </c>
      <c r="AH338" s="1">
        <v>0.97898461580462803</v>
      </c>
      <c r="AI338" s="1">
        <v>16.7746266597714</v>
      </c>
      <c r="AJ338" s="1">
        <v>34.6094360351562</v>
      </c>
      <c r="AK338" s="1">
        <v>24.6435384750366</v>
      </c>
      <c r="AL338" s="7"/>
      <c r="AM338" s="1"/>
      <c r="AN338" s="1"/>
      <c r="AO338" s="8"/>
      <c r="AP338" s="1"/>
      <c r="AQ338" s="1"/>
      <c r="AR338" s="1"/>
      <c r="AS338" s="8"/>
      <c r="AT338" s="7">
        <v>0.08</v>
      </c>
      <c r="AU338" s="1">
        <v>0.123815586419753</v>
      </c>
      <c r="AV338" s="1">
        <v>32.956957506816799</v>
      </c>
      <c r="AW338" s="1">
        <v>0.98298858046487803</v>
      </c>
      <c r="AX338" s="1">
        <v>17.692594447326702</v>
      </c>
      <c r="AY338" s="1">
        <v>35.710832707750598</v>
      </c>
      <c r="AZ338" s="1">
        <v>0.986601738216902</v>
      </c>
      <c r="BA338" s="1">
        <v>18.729515409616901</v>
      </c>
      <c r="BB338" s="1">
        <v>33.643830060958798</v>
      </c>
      <c r="BC338" s="1">
        <v>24.098319768905601</v>
      </c>
      <c r="BD338" s="7"/>
      <c r="BE338" s="1"/>
      <c r="BF338" s="1"/>
      <c r="BG338" s="8"/>
      <c r="BH338" s="1"/>
      <c r="BI338" s="1"/>
      <c r="BJ338" s="1"/>
      <c r="BK338" s="8"/>
    </row>
    <row r="339" spans="1:63">
      <c r="A339" s="49"/>
      <c r="B339" s="7" t="s">
        <v>18</v>
      </c>
      <c r="C339" s="17">
        <v>0.06</v>
      </c>
      <c r="D339" s="7">
        <v>44</v>
      </c>
      <c r="E339" s="1">
        <v>5.6859567901234503E-2</v>
      </c>
      <c r="F339" s="1">
        <v>31.1832879439111</v>
      </c>
      <c r="G339" s="1">
        <v>0.93805846365668999</v>
      </c>
      <c r="H339" s="1">
        <v>12.0801802698783</v>
      </c>
      <c r="I339" s="1">
        <v>33.952235808368002</v>
      </c>
      <c r="J339" s="1">
        <v>0.94657913659464699</v>
      </c>
      <c r="K339" s="8">
        <v>12.7228909704939</v>
      </c>
      <c r="L339" s="7">
        <v>41</v>
      </c>
      <c r="M339" s="1">
        <v>5.9722222222222197E-2</v>
      </c>
      <c r="N339" s="1">
        <v>32.7809910791349</v>
      </c>
      <c r="O339" s="1">
        <v>0.95319851680675804</v>
      </c>
      <c r="P339" s="1">
        <v>13.297403834123299</v>
      </c>
      <c r="Q339" s="1">
        <v>35.583271060547702</v>
      </c>
      <c r="R339" s="1">
        <v>0.95845658339952899</v>
      </c>
      <c r="S339" s="1">
        <v>13.814977892233101</v>
      </c>
      <c r="T339" s="7"/>
      <c r="U339" s="1"/>
      <c r="V339" s="1"/>
      <c r="W339" s="8"/>
      <c r="X339" s="7"/>
      <c r="Y339" s="1"/>
      <c r="Z339" s="1"/>
      <c r="AA339" s="8"/>
      <c r="AB339" s="7">
        <v>4</v>
      </c>
      <c r="AC339" s="1">
        <v>8.9841820987654294E-2</v>
      </c>
      <c r="AD339" s="1">
        <v>33.889288719842</v>
      </c>
      <c r="AE339" s="1">
        <v>0.96445984535679996</v>
      </c>
      <c r="AF339" s="1">
        <v>14.492806868137199</v>
      </c>
      <c r="AG339" s="1">
        <v>36.662805304763197</v>
      </c>
      <c r="AH339" s="1">
        <v>0.96739063978950102</v>
      </c>
      <c r="AI339" s="1">
        <v>14.8665772188633</v>
      </c>
      <c r="AJ339" s="1">
        <v>34.792208909988403</v>
      </c>
      <c r="AK339" s="1">
        <v>24.833921909332201</v>
      </c>
      <c r="AL339" s="7"/>
      <c r="AM339" s="1"/>
      <c r="AN339" s="1"/>
      <c r="AO339" s="8"/>
      <c r="AP339" s="1"/>
      <c r="AQ339" s="1"/>
      <c r="AR339" s="1"/>
      <c r="AS339" s="8"/>
      <c r="AT339" s="7">
        <v>0.04</v>
      </c>
      <c r="AU339" s="1">
        <v>8.7511574074074006E-2</v>
      </c>
      <c r="AV339" s="1">
        <v>31.887775823286098</v>
      </c>
      <c r="AW339" s="1">
        <v>0.97533893396558102</v>
      </c>
      <c r="AX339" s="1">
        <v>16.0798815390173</v>
      </c>
      <c r="AY339" s="1">
        <v>34.455153334801501</v>
      </c>
      <c r="AZ339" s="1">
        <v>0.97954711673772199</v>
      </c>
      <c r="BA339" s="1">
        <v>16.892454604374699</v>
      </c>
      <c r="BB339" s="1">
        <v>35.713209152221602</v>
      </c>
      <c r="BC339" s="1">
        <v>26.196051597595201</v>
      </c>
      <c r="BD339" s="7"/>
      <c r="BE339" s="1"/>
      <c r="BF339" s="1"/>
      <c r="BG339" s="8"/>
      <c r="BH339" s="1"/>
      <c r="BI339" s="1"/>
      <c r="BJ339" s="1"/>
      <c r="BK339" s="8"/>
    </row>
    <row r="340" spans="1:63">
      <c r="A340" s="49"/>
      <c r="B340" s="7" t="s">
        <v>77</v>
      </c>
      <c r="C340" s="17">
        <v>1.5</v>
      </c>
      <c r="D340" s="7">
        <v>19</v>
      </c>
      <c r="E340" s="1">
        <v>1.46662037037037</v>
      </c>
      <c r="F340" s="1">
        <v>44.572343551090903</v>
      </c>
      <c r="G340" s="1">
        <v>0.99683012850397501</v>
      </c>
      <c r="H340" s="1">
        <v>24.9895834336543</v>
      </c>
      <c r="I340" s="1">
        <v>48.2915844494553</v>
      </c>
      <c r="J340" s="1">
        <v>0.99839420467539997</v>
      </c>
      <c r="K340" s="8">
        <v>27.9430981090138</v>
      </c>
      <c r="L340" s="7">
        <v>16</v>
      </c>
      <c r="M340" s="1">
        <v>1.37332947530864</v>
      </c>
      <c r="N340" s="1">
        <v>45.292098351126697</v>
      </c>
      <c r="O340" s="1">
        <v>0.99733010153383905</v>
      </c>
      <c r="P340" s="1">
        <v>25.735052541502402</v>
      </c>
      <c r="Q340" s="1">
        <v>49.142358926624603</v>
      </c>
      <c r="R340" s="1">
        <v>0.99871109280186998</v>
      </c>
      <c r="S340" s="1">
        <v>28.897783509096101</v>
      </c>
      <c r="T340" s="13">
        <f>bdrate(E340:E343,F340:F343,M340:M343,N340:N343)</f>
        <v>-0.28515745245477553</v>
      </c>
      <c r="U340" s="12">
        <f>bdrate(E340:E343,H340:H343,M340:M343,P340:P343)</f>
        <v>-0.29605224813296982</v>
      </c>
      <c r="V340" s="12">
        <f>bdrate(E340:E343,I340:I343,M340:M343,Q340:Q343)</f>
        <v>-0.28089852943224503</v>
      </c>
      <c r="W340" s="14">
        <f>bdrate(E340:E343,K340:K343,M340:M343,S340:S343)</f>
        <v>-0.27277778742903636</v>
      </c>
      <c r="X340" s="13">
        <f>bdrate(E342:E345,F342:F345,M342:M345,N342:N345)</f>
        <v>-0.34007378402747912</v>
      </c>
      <c r="Y340" s="12">
        <f>bdrate(E342:E345,H342:H345,M342:M345,P342:P345)</f>
        <v>-0.33304601160382774</v>
      </c>
      <c r="Z340" s="12">
        <f>bdrate(E342:E345,I342:I345,M342:M345,Q342:Q345)</f>
        <v>-0.3376634176914256</v>
      </c>
      <c r="AA340" s="14">
        <f>bdrate(E342:E345,K342:K345,M342:M345,S342:S345)</f>
        <v>-0.29670371981819044</v>
      </c>
      <c r="AB340" s="7"/>
      <c r="AC340" s="1"/>
      <c r="AD340" s="1"/>
      <c r="AE340" s="1"/>
      <c r="AF340" s="1"/>
      <c r="AG340" s="1"/>
      <c r="AH340" s="1"/>
      <c r="AI340" s="1"/>
      <c r="AJ340" s="1"/>
      <c r="AK340" s="1"/>
      <c r="AL340" s="13" t="e">
        <f>bdrate(E340:E343,F340:F343,AC340:AC343,AD340:AD343)</f>
        <v>#VALUE!</v>
      </c>
      <c r="AM340" s="12" t="e">
        <f>bdrate(E340:E343,H340:H343,AC340:AC343,AF340:AF343)</f>
        <v>#VALUE!</v>
      </c>
      <c r="AN340" s="12" t="e">
        <f>bdrate(E340:E343,I340:I343,AC340:AC343,AG340:AG343)</f>
        <v>#VALUE!</v>
      </c>
      <c r="AO340" s="14" t="e">
        <f>bdrate(E340:E343,K340:K343,AC340:AC343,AI340:AI343)</f>
        <v>#VALUE!</v>
      </c>
      <c r="AP340" s="12">
        <f>bdrate(E342:E345,F342:F345,AC342:AC345,AD342:AD345)</f>
        <v>-0.23709891871713162</v>
      </c>
      <c r="AQ340" s="12">
        <f>bdrate(E342:E345,H342:H345,AC342:AC345,AF342:AF345)</f>
        <v>-0.2717112732830218</v>
      </c>
      <c r="AR340" s="12">
        <f>bdrate(E342:E345,I342:I345,AC342:AC345,AG342:AG345)</f>
        <v>-0.23347610202384284</v>
      </c>
      <c r="AS340" s="14">
        <f>bdrate(E342:E345,K342:K345,AC342:AC345,AI342:AI345)</f>
        <v>-0.21011705209494513</v>
      </c>
      <c r="AT340" s="7"/>
      <c r="AU340" s="1"/>
      <c r="AV340" s="1"/>
      <c r="AW340" s="1"/>
      <c r="AX340" s="1"/>
      <c r="AY340" s="1"/>
      <c r="AZ340" s="1"/>
      <c r="BA340" s="1"/>
      <c r="BB340" s="1"/>
      <c r="BC340" s="1"/>
      <c r="BD340" s="13" t="e">
        <f>bdrate(E340:E343,F340:F343,AU340:AU343,AV340:AV343)</f>
        <v>#VALUE!</v>
      </c>
      <c r="BE340" s="12" t="e">
        <f>bdrate(E340:E343,H340:H343,AU340:AU343,AX340:AX343)</f>
        <v>#VALUE!</v>
      </c>
      <c r="BF340" s="12" t="e">
        <f>bdrate(E340:E343,I340:I343,AU340:AU343,AY340:AY343)</f>
        <v>#VALUE!</v>
      </c>
      <c r="BG340" s="14" t="e">
        <f>bdrate(E340:E343,K340:K343,AU340:AU343,BA340:BA343)</f>
        <v>#VALUE!</v>
      </c>
      <c r="BH340" s="12">
        <f>bdrate(E342:E345,F342:F345,AU342:AU345,AV342:AV345)</f>
        <v>0.29024813736095134</v>
      </c>
      <c r="BI340" s="12">
        <f>bdrate(E342:E345,H342:H345,AU342:AU345,AX342:AX345)</f>
        <v>-0.61077060240083614</v>
      </c>
      <c r="BJ340" s="12">
        <f>bdrate(E342:E345,I342:I345,AU342:AU345,AY342:AY345)</f>
        <v>0.31914208912898157</v>
      </c>
      <c r="BK340" s="14">
        <f>bdrate(E342:E345,K342:K345,AU342:AU345,BA342:BA345)</f>
        <v>-0.57776986066889902</v>
      </c>
    </row>
    <row r="341" spans="1:63">
      <c r="A341" s="49"/>
      <c r="B341" s="7" t="s">
        <v>18</v>
      </c>
      <c r="C341" s="17">
        <v>1</v>
      </c>
      <c r="D341" s="7">
        <v>23</v>
      </c>
      <c r="E341" s="1">
        <v>0.97098765432098699</v>
      </c>
      <c r="F341" s="1">
        <v>42.2847441042206</v>
      </c>
      <c r="G341" s="1">
        <v>0.995054697486493</v>
      </c>
      <c r="H341" s="1">
        <v>23.058071366394799</v>
      </c>
      <c r="I341" s="1">
        <v>45.795157023572202</v>
      </c>
      <c r="J341" s="1">
        <v>0.99715320804766105</v>
      </c>
      <c r="K341" s="8">
        <v>25.4564427056041</v>
      </c>
      <c r="L341" s="7">
        <v>19</v>
      </c>
      <c r="M341" s="1">
        <v>0.98254243827160404</v>
      </c>
      <c r="N341" s="1">
        <v>43.787610951883103</v>
      </c>
      <c r="O341" s="1">
        <v>0.99640328261809197</v>
      </c>
      <c r="P341" s="1">
        <v>24.440936862571501</v>
      </c>
      <c r="Q341" s="1">
        <v>47.483144861422304</v>
      </c>
      <c r="R341" s="1">
        <v>0.99809945436534497</v>
      </c>
      <c r="S341" s="1">
        <v>27.211216979415202</v>
      </c>
      <c r="T341" s="7"/>
      <c r="U341" s="1"/>
      <c r="V341" s="1"/>
      <c r="W341" s="8"/>
      <c r="X341" s="7"/>
      <c r="Y341" s="1"/>
      <c r="Z341" s="1"/>
      <c r="AA341" s="8"/>
      <c r="AB341" s="7">
        <v>64</v>
      </c>
      <c r="AC341" s="1">
        <v>0.44973379629629601</v>
      </c>
      <c r="AD341" s="1">
        <v>39.166688388808403</v>
      </c>
      <c r="AE341" s="1">
        <v>0.99212319297187701</v>
      </c>
      <c r="AF341" s="1">
        <v>21.036497940696101</v>
      </c>
      <c r="AG341" s="1">
        <v>42.377672606933501</v>
      </c>
      <c r="AH341" s="1">
        <v>0.99453636426950598</v>
      </c>
      <c r="AI341" s="1">
        <v>22.625182634828501</v>
      </c>
      <c r="AJ341" s="1">
        <v>76.541923761367798</v>
      </c>
      <c r="AK341" s="1">
        <v>33.969120740890503</v>
      </c>
      <c r="AL341" s="7"/>
      <c r="AM341" s="1"/>
      <c r="AN341" s="1"/>
      <c r="AO341" s="8"/>
      <c r="AP341" s="1"/>
      <c r="AQ341" s="1"/>
      <c r="AR341" s="1"/>
      <c r="AS341" s="8"/>
      <c r="AT341" s="7">
        <v>0.64</v>
      </c>
      <c r="AU341" s="1">
        <v>0.37052854938271601</v>
      </c>
      <c r="AV341" s="1">
        <v>34.632768174955601</v>
      </c>
      <c r="AW341" s="1">
        <v>0.99478104575716197</v>
      </c>
      <c r="AX341" s="1">
        <v>22.824165108031298</v>
      </c>
      <c r="AY341" s="1">
        <v>37.533193948864501</v>
      </c>
      <c r="AZ341" s="1">
        <v>0.99644111571277705</v>
      </c>
      <c r="BA341" s="1">
        <v>24.486861323214899</v>
      </c>
      <c r="BB341" s="1">
        <v>37.681022405624297</v>
      </c>
      <c r="BC341" s="1">
        <v>23.976350069045999</v>
      </c>
      <c r="BD341" s="7"/>
      <c r="BE341" s="1"/>
      <c r="BF341" s="1"/>
      <c r="BG341" s="8"/>
      <c r="BH341" s="1"/>
      <c r="BI341" s="1"/>
      <c r="BJ341" s="1"/>
      <c r="BK341" s="8"/>
    </row>
    <row r="342" spans="1:63">
      <c r="A342" s="49"/>
      <c r="B342" s="7" t="s">
        <v>18</v>
      </c>
      <c r="C342" s="17">
        <v>0.5</v>
      </c>
      <c r="D342" s="7">
        <v>30</v>
      </c>
      <c r="E342" s="1">
        <v>0.45104166666666601</v>
      </c>
      <c r="F342" s="1">
        <v>37.889963738592897</v>
      </c>
      <c r="G342" s="1">
        <v>0.988447863603792</v>
      </c>
      <c r="H342" s="1">
        <v>19.373376920242201</v>
      </c>
      <c r="I342" s="1">
        <v>41.131508937651901</v>
      </c>
      <c r="J342" s="1">
        <v>0.99201123062560803</v>
      </c>
      <c r="K342" s="8">
        <v>20.9752011618958</v>
      </c>
      <c r="L342" s="7">
        <v>26</v>
      </c>
      <c r="M342" s="1">
        <v>0.46687114197530799</v>
      </c>
      <c r="N342" s="1">
        <v>40.0897526809444</v>
      </c>
      <c r="O342" s="1">
        <v>0.99254483218491296</v>
      </c>
      <c r="P342" s="1">
        <v>21.275425761752999</v>
      </c>
      <c r="Q342" s="1">
        <v>43.380722789405603</v>
      </c>
      <c r="R342" s="1">
        <v>0.99500606630051303</v>
      </c>
      <c r="S342" s="1">
        <v>23.0155722773126</v>
      </c>
      <c r="T342" s="7"/>
      <c r="U342" s="1"/>
      <c r="V342" s="1"/>
      <c r="W342" s="8"/>
      <c r="X342" s="7"/>
      <c r="Y342" s="1"/>
      <c r="Z342" s="1"/>
      <c r="AA342" s="8"/>
      <c r="AB342" s="7">
        <v>32</v>
      </c>
      <c r="AC342" s="1">
        <v>0.33120756172839499</v>
      </c>
      <c r="AD342" s="1">
        <v>37.655665409700198</v>
      </c>
      <c r="AE342" s="1">
        <v>0.98916052478307304</v>
      </c>
      <c r="AF342" s="1">
        <v>19.649917432505902</v>
      </c>
      <c r="AG342" s="1">
        <v>40.762610718334997</v>
      </c>
      <c r="AH342" s="1">
        <v>0.99189222771483798</v>
      </c>
      <c r="AI342" s="1">
        <v>20.910984573996799</v>
      </c>
      <c r="AJ342" s="1">
        <v>58.415693283080998</v>
      </c>
      <c r="AK342" s="1">
        <v>33.6190505027771</v>
      </c>
      <c r="AL342" s="7"/>
      <c r="AM342" s="1"/>
      <c r="AN342" s="1"/>
      <c r="AO342" s="8"/>
      <c r="AP342" s="1"/>
      <c r="AQ342" s="1"/>
      <c r="AR342" s="1"/>
      <c r="AS342" s="8"/>
      <c r="AT342" s="7">
        <v>0.32</v>
      </c>
      <c r="AU342" s="1">
        <v>0.263005401234567</v>
      </c>
      <c r="AV342" s="1">
        <v>33.468680390356802</v>
      </c>
      <c r="AW342" s="1">
        <v>0.99246401863951095</v>
      </c>
      <c r="AX342" s="1">
        <v>21.228601843986802</v>
      </c>
      <c r="AY342" s="1">
        <v>36.398787800892897</v>
      </c>
      <c r="AZ342" s="1">
        <v>0.99451487334253796</v>
      </c>
      <c r="BA342" s="1">
        <v>22.6081333964778</v>
      </c>
      <c r="BB342" s="1">
        <v>48.737918138504</v>
      </c>
      <c r="BC342" s="1">
        <v>29.261643886566102</v>
      </c>
      <c r="BD342" s="7"/>
      <c r="BE342" s="1"/>
      <c r="BF342" s="1"/>
      <c r="BG342" s="8"/>
      <c r="BH342" s="1"/>
      <c r="BI342" s="1"/>
      <c r="BJ342" s="1"/>
      <c r="BK342" s="8"/>
    </row>
    <row r="343" spans="1:63">
      <c r="A343" s="49"/>
      <c r="B343" s="7" t="s">
        <v>18</v>
      </c>
      <c r="C343" s="17">
        <v>0.25</v>
      </c>
      <c r="D343" s="7">
        <v>35</v>
      </c>
      <c r="E343" s="1">
        <v>0.24590663580246899</v>
      </c>
      <c r="F343" s="1">
        <v>34.770401431341</v>
      </c>
      <c r="G343" s="1">
        <v>0.9781836938831</v>
      </c>
      <c r="H343" s="1">
        <v>16.612187811927701</v>
      </c>
      <c r="I343" s="1">
        <v>37.885567006262903</v>
      </c>
      <c r="J343" s="1">
        <v>0.98351247289846</v>
      </c>
      <c r="K343" s="8">
        <v>17.8284447756904</v>
      </c>
      <c r="L343" s="7">
        <v>32</v>
      </c>
      <c r="M343" s="1">
        <v>0.23673225308641899</v>
      </c>
      <c r="N343" s="1">
        <v>36.630782991078497</v>
      </c>
      <c r="O343" s="1">
        <v>0.98528873819173601</v>
      </c>
      <c r="P343" s="1">
        <v>18.323500755482002</v>
      </c>
      <c r="Q343" s="1">
        <v>39.748725856450498</v>
      </c>
      <c r="R343" s="1">
        <v>0.98870065512124405</v>
      </c>
      <c r="S343" s="1">
        <v>19.469467356129801</v>
      </c>
      <c r="T343" s="7"/>
      <c r="U343" s="1"/>
      <c r="V343" s="1"/>
      <c r="W343" s="8"/>
      <c r="X343" s="7"/>
      <c r="Y343" s="1"/>
      <c r="Z343" s="1"/>
      <c r="AA343" s="8"/>
      <c r="AB343" s="7">
        <v>16</v>
      </c>
      <c r="AC343" s="1">
        <v>0.23082947530864101</v>
      </c>
      <c r="AD343" s="1">
        <v>35.837319569933797</v>
      </c>
      <c r="AE343" s="1">
        <v>0.98331673525288099</v>
      </c>
      <c r="AF343" s="1">
        <v>17.777189583194499</v>
      </c>
      <c r="AG343" s="1">
        <v>38.906962716192403</v>
      </c>
      <c r="AH343" s="1">
        <v>0.986618925042265</v>
      </c>
      <c r="AI343" s="1">
        <v>18.735089964740101</v>
      </c>
      <c r="AJ343" s="1">
        <v>31.312924623489302</v>
      </c>
      <c r="AK343" s="1">
        <v>20.4271559715271</v>
      </c>
      <c r="AL343" s="7"/>
      <c r="AM343" s="1"/>
      <c r="AN343" s="1"/>
      <c r="AO343" s="8"/>
      <c r="AP343" s="1"/>
      <c r="AQ343" s="1"/>
      <c r="AR343" s="1"/>
      <c r="AS343" s="8"/>
      <c r="AT343" s="7">
        <v>0.16</v>
      </c>
      <c r="AU343" s="1">
        <v>0.18305941358024599</v>
      </c>
      <c r="AV343" s="1">
        <v>32.197158104571898</v>
      </c>
      <c r="AW343" s="1">
        <v>0.98892590046295803</v>
      </c>
      <c r="AX343" s="1">
        <v>19.556915772487301</v>
      </c>
      <c r="AY343" s="1">
        <v>35.170652654285497</v>
      </c>
      <c r="AZ343" s="1">
        <v>0.99150295069710304</v>
      </c>
      <c r="BA343" s="1">
        <v>20.707318618088799</v>
      </c>
      <c r="BB343" s="1">
        <v>38.505720615386899</v>
      </c>
      <c r="BC343" s="1">
        <v>27.852125167846602</v>
      </c>
      <c r="BD343" s="7"/>
      <c r="BE343" s="1"/>
      <c r="BF343" s="1"/>
      <c r="BG343" s="8"/>
      <c r="BH343" s="1"/>
      <c r="BI343" s="1"/>
      <c r="BJ343" s="1"/>
      <c r="BK343" s="8"/>
    </row>
    <row r="344" spans="1:63">
      <c r="A344" s="49"/>
      <c r="B344" s="7" t="s">
        <v>18</v>
      </c>
      <c r="C344" s="17">
        <v>0.12</v>
      </c>
      <c r="D344" s="7">
        <v>41</v>
      </c>
      <c r="E344" s="1">
        <v>0.11087191358024601</v>
      </c>
      <c r="F344" s="1">
        <v>31.196403643339298</v>
      </c>
      <c r="G344" s="1">
        <v>0.95490267219898595</v>
      </c>
      <c r="H344" s="1">
        <v>13.4584919106342</v>
      </c>
      <c r="I344" s="1">
        <v>34.270506759874301</v>
      </c>
      <c r="J344" s="1">
        <v>0.96282599250892098</v>
      </c>
      <c r="K344" s="8">
        <v>14.297606178807101</v>
      </c>
      <c r="L344" s="7">
        <v>38</v>
      </c>
      <c r="M344" s="1">
        <v>0.111500771604938</v>
      </c>
      <c r="N344" s="1">
        <v>33.024744864687399</v>
      </c>
      <c r="O344" s="1">
        <v>0.968199177288944</v>
      </c>
      <c r="P344" s="1">
        <v>14.975616443473299</v>
      </c>
      <c r="Q344" s="1">
        <v>36.105217750429603</v>
      </c>
      <c r="R344" s="1">
        <v>0.97345087034662103</v>
      </c>
      <c r="S344" s="1">
        <v>15.7594971160438</v>
      </c>
      <c r="T344" s="7"/>
      <c r="U344" s="1"/>
      <c r="V344" s="1"/>
      <c r="W344" s="8"/>
      <c r="X344" s="7"/>
      <c r="Y344" s="1"/>
      <c r="Z344" s="1"/>
      <c r="AA344" s="8"/>
      <c r="AB344" s="7">
        <v>8</v>
      </c>
      <c r="AC344" s="1">
        <v>0.16235725308641899</v>
      </c>
      <c r="AD344" s="1">
        <v>34.061623244486697</v>
      </c>
      <c r="AE344" s="1">
        <v>0.976001248521982</v>
      </c>
      <c r="AF344" s="1">
        <v>16.198113516347199</v>
      </c>
      <c r="AG344" s="1">
        <v>37.174348339656198</v>
      </c>
      <c r="AH344" s="1">
        <v>0.979674467622346</v>
      </c>
      <c r="AI344" s="1">
        <v>16.919580703022</v>
      </c>
      <c r="AJ344" s="1">
        <v>39.142416000366197</v>
      </c>
      <c r="AK344" s="1">
        <v>26.835204601287799</v>
      </c>
      <c r="AL344" s="7"/>
      <c r="AM344" s="1"/>
      <c r="AN344" s="1"/>
      <c r="AO344" s="8"/>
      <c r="AP344" s="1"/>
      <c r="AQ344" s="1"/>
      <c r="AR344" s="1"/>
      <c r="AS344" s="8"/>
      <c r="AT344" s="7">
        <v>0.08</v>
      </c>
      <c r="AU344" s="1">
        <v>0.130736882716049</v>
      </c>
      <c r="AV344" s="1">
        <v>30.9345844524677</v>
      </c>
      <c r="AW344" s="1">
        <v>0.98417016582318395</v>
      </c>
      <c r="AX344" s="1">
        <v>18.005236345041201</v>
      </c>
      <c r="AY344" s="1">
        <v>33.932125707738798</v>
      </c>
      <c r="AZ344" s="1">
        <v>0.98739269414244202</v>
      </c>
      <c r="BA344" s="1">
        <v>18.9937771090555</v>
      </c>
      <c r="BB344" s="1">
        <v>33.680522918701101</v>
      </c>
      <c r="BC344" s="1">
        <v>24.211981773376401</v>
      </c>
      <c r="BD344" s="7"/>
      <c r="BE344" s="1"/>
      <c r="BF344" s="1"/>
      <c r="BG344" s="8"/>
      <c r="BH344" s="1"/>
      <c r="BI344" s="1"/>
      <c r="BJ344" s="1"/>
      <c r="BK344" s="8"/>
    </row>
    <row r="345" spans="1:63">
      <c r="A345" s="49"/>
      <c r="B345" s="7" t="s">
        <v>18</v>
      </c>
      <c r="C345" s="17">
        <v>0.06</v>
      </c>
      <c r="D345" s="7">
        <v>46</v>
      </c>
      <c r="E345" s="1">
        <v>5.3657407407407397E-2</v>
      </c>
      <c r="F345" s="1">
        <v>28.519687729453899</v>
      </c>
      <c r="G345" s="1">
        <v>0.92352580474484702</v>
      </c>
      <c r="H345" s="1">
        <v>11.164850844391999</v>
      </c>
      <c r="I345" s="1">
        <v>31.621174038910802</v>
      </c>
      <c r="J345" s="1">
        <v>0.93334006192196295</v>
      </c>
      <c r="K345" s="8">
        <v>11.7613509410152</v>
      </c>
      <c r="L345" s="7">
        <v>43</v>
      </c>
      <c r="M345" s="1">
        <v>5.6755401234567897E-2</v>
      </c>
      <c r="N345" s="1">
        <v>30.206354464001599</v>
      </c>
      <c r="O345" s="1">
        <v>0.94322861845335904</v>
      </c>
      <c r="P345" s="1">
        <v>12.4587053697448</v>
      </c>
      <c r="Q345" s="1">
        <v>33.330378066802098</v>
      </c>
      <c r="R345" s="1">
        <v>0.95031843705213104</v>
      </c>
      <c r="S345" s="1">
        <v>13.0380475001026</v>
      </c>
      <c r="T345" s="7"/>
      <c r="U345" s="1"/>
      <c r="V345" s="1"/>
      <c r="W345" s="8"/>
      <c r="X345" s="7"/>
      <c r="Y345" s="1"/>
      <c r="Z345" s="1"/>
      <c r="AA345" s="8"/>
      <c r="AB345" s="7">
        <v>4</v>
      </c>
      <c r="AC345" s="1">
        <v>0.111570216049382</v>
      </c>
      <c r="AD345" s="1">
        <v>32.306053508759398</v>
      </c>
      <c r="AE345" s="1">
        <v>0.96359538694342495</v>
      </c>
      <c r="AF345" s="1">
        <v>14.388435806895</v>
      </c>
      <c r="AG345" s="1">
        <v>35.484708463871797</v>
      </c>
      <c r="AH345" s="1">
        <v>0.96814902818623905</v>
      </c>
      <c r="AI345" s="1">
        <v>14.968773122480901</v>
      </c>
      <c r="AJ345" s="1">
        <v>34.789910793304401</v>
      </c>
      <c r="AK345" s="1">
        <v>25.064313888549801</v>
      </c>
      <c r="AL345" s="7"/>
      <c r="AM345" s="1"/>
      <c r="AN345" s="1"/>
      <c r="AO345" s="8"/>
      <c r="AP345" s="1"/>
      <c r="AQ345" s="1"/>
      <c r="AR345" s="1"/>
      <c r="AS345" s="8"/>
      <c r="AT345" s="7">
        <v>0.04</v>
      </c>
      <c r="AU345" s="1">
        <v>9.3051697530864202E-2</v>
      </c>
      <c r="AV345" s="1">
        <v>29.7159853132599</v>
      </c>
      <c r="AW345" s="1">
        <v>0.97724473485048402</v>
      </c>
      <c r="AX345" s="1">
        <v>16.429180996302101</v>
      </c>
      <c r="AY345" s="1">
        <v>32.750489321191502</v>
      </c>
      <c r="AZ345" s="1">
        <v>0.98126240236395601</v>
      </c>
      <c r="BA345" s="1">
        <v>17.272860911584999</v>
      </c>
      <c r="BB345" s="1">
        <v>35.516885519027703</v>
      </c>
      <c r="BC345" s="1">
        <v>26.9814193248748</v>
      </c>
      <c r="BD345" s="7"/>
      <c r="BE345" s="1"/>
      <c r="BF345" s="1"/>
      <c r="BG345" s="8"/>
      <c r="BH345" s="1"/>
      <c r="BI345" s="1"/>
      <c r="BJ345" s="1"/>
      <c r="BK345" s="8"/>
    </row>
    <row r="346" spans="1:63">
      <c r="A346" s="49"/>
      <c r="B346" s="7" t="s">
        <v>78</v>
      </c>
      <c r="C346" s="17">
        <v>1.5</v>
      </c>
      <c r="D346" s="7">
        <v>23</v>
      </c>
      <c r="E346" s="1">
        <v>1.41077932098765</v>
      </c>
      <c r="F346" s="1">
        <v>41.427552800631197</v>
      </c>
      <c r="G346" s="1">
        <v>0.99582914510064902</v>
      </c>
      <c r="H346" s="1">
        <v>23.797749186431599</v>
      </c>
      <c r="I346" s="1">
        <v>44.920854971437301</v>
      </c>
      <c r="J346" s="1">
        <v>0.99789787532545104</v>
      </c>
      <c r="K346" s="8">
        <v>26.773415300475602</v>
      </c>
      <c r="L346" s="7">
        <v>20</v>
      </c>
      <c r="M346" s="1">
        <v>1.3642746913580199</v>
      </c>
      <c r="N346" s="1">
        <v>42.402925143568602</v>
      </c>
      <c r="O346" s="1">
        <v>0.99681543037428699</v>
      </c>
      <c r="P346" s="1">
        <v>24.969492514941901</v>
      </c>
      <c r="Q346" s="1">
        <v>45.903177540163902</v>
      </c>
      <c r="R346" s="1">
        <v>0.99822220270777295</v>
      </c>
      <c r="S346" s="1">
        <v>27.501177596121899</v>
      </c>
      <c r="T346" s="13">
        <f>bdrate(E346:E349,F346:F349,M346:M349,N346:N349)</f>
        <v>-0.23748821547793963</v>
      </c>
      <c r="U346" s="12">
        <f>bdrate(E346:E349,H346:H349,M346:M349,P346:P349)</f>
        <v>-0.30182746767311708</v>
      </c>
      <c r="V346" s="12">
        <f>bdrate(E346:E349,I346:I349,M346:M349,Q346:Q349)</f>
        <v>-0.23185897258338983</v>
      </c>
      <c r="W346" s="14">
        <f>bdrate(E346:E349,K346:K349,M346:M349,S346:S349)</f>
        <v>-0.17562074095634073</v>
      </c>
      <c r="X346" s="13">
        <f>bdrate(E348:E351,F348:F351,M348:M351,N348:N351)</f>
        <v>-0.252275400413284</v>
      </c>
      <c r="Y346" s="12">
        <f>bdrate(E348:E351,H348:H351,M348:M351,P348:P351)</f>
        <v>-0.27977661208461602</v>
      </c>
      <c r="Z346" s="12">
        <f>bdrate(E348:E351,I348:I351,M348:M351,Q348:Q351)</f>
        <v>-0.29647303871684882</v>
      </c>
      <c r="AA346" s="14">
        <f>bdrate(E348:E351,K348:K351,M348:M351,S348:S351)</f>
        <v>-0.17334938187176607</v>
      </c>
      <c r="AB346" s="7"/>
      <c r="AC346" s="1"/>
      <c r="AD346" s="1"/>
      <c r="AE346" s="1"/>
      <c r="AF346" s="1"/>
      <c r="AG346" s="1"/>
      <c r="AH346" s="1"/>
      <c r="AI346" s="1"/>
      <c r="AJ346" s="1"/>
      <c r="AK346" s="1"/>
      <c r="AL346" s="13" t="e">
        <f>bdrate(E346:E349,F346:F349,AC346:AC349,AD346:AD349)</f>
        <v>#VALUE!</v>
      </c>
      <c r="AM346" s="12" t="e">
        <f>bdrate(E346:E349,H346:H349,AC346:AC349,AF346:AF349)</f>
        <v>#VALUE!</v>
      </c>
      <c r="AN346" s="12" t="e">
        <f>bdrate(E346:E349,I346:I349,AC346:AC349,AG346:AG349)</f>
        <v>#VALUE!</v>
      </c>
      <c r="AO346" s="14" t="e">
        <f>bdrate(E346:E349,K346:K349,AC346:AC349,AI346:AI349)</f>
        <v>#VALUE!</v>
      </c>
      <c r="AP346" s="12">
        <f>bdrate(E348:E351,F348:F351,AC348:AC351,AD348:AD351)</f>
        <v>-0.19335518782946259</v>
      </c>
      <c r="AQ346" s="12">
        <f>bdrate(E348:E351,H348:H351,AC348:AC351,AF348:AF351)</f>
        <v>-0.34093349246320526</v>
      </c>
      <c r="AR346" s="12">
        <f>bdrate(E348:E351,I348:I351,AC348:AC351,AG348:AG351)</f>
        <v>-0.24405585864246648</v>
      </c>
      <c r="AS346" s="14">
        <f>bdrate(E348:E351,K348:K351,AC348:AC351,AI348:AI351)</f>
        <v>-0.20484683292251171</v>
      </c>
      <c r="AT346" s="7"/>
      <c r="AU346" s="1"/>
      <c r="AV346" s="1"/>
      <c r="AW346" s="1"/>
      <c r="AX346" s="1"/>
      <c r="AY346" s="1"/>
      <c r="AZ346" s="1"/>
      <c r="BA346" s="1"/>
      <c r="BB346" s="1"/>
      <c r="BC346" s="1"/>
      <c r="BD346" s="13" t="e">
        <f>bdrate(E346:E349,F346:F349,AU346:AU349,AV346:AV349)</f>
        <v>#VALUE!</v>
      </c>
      <c r="BE346" s="12" t="e">
        <f>bdrate(E346:E349,H346:H349,AU346:AU349,AX346:AX349)</f>
        <v>#VALUE!</v>
      </c>
      <c r="BF346" s="12" t="e">
        <f>bdrate(E346:E349,I346:I349,AU346:AU349,AY346:AY349)</f>
        <v>#VALUE!</v>
      </c>
      <c r="BG346" s="14" t="e">
        <f>bdrate(E346:E349,K346:K349,AU346:AU349,BA346:BA349)</f>
        <v>#VALUE!</v>
      </c>
      <c r="BH346" s="12">
        <f>bdrate(E348:E351,F348:F351,AU348:AU351,AV348:AV351)</f>
        <v>0.24036403704925213</v>
      </c>
      <c r="BI346" s="12">
        <f>bdrate(E348:E351,H348:H351,AU348:AU351,AX348:AX351)</f>
        <v>-0.55206960399256233</v>
      </c>
      <c r="BJ346" s="12">
        <f>bdrate(E348:E351,I348:I351,AU348:AU351,AY348:AY351)</f>
        <v>0.17343674730951997</v>
      </c>
      <c r="BK346" s="14">
        <f>bdrate(E348:E351,K348:K351,AU348:AU351,BA348:BA351)</f>
        <v>-0.46943268193215471</v>
      </c>
    </row>
    <row r="347" spans="1:63">
      <c r="A347" s="49"/>
      <c r="B347" s="7" t="s">
        <v>18</v>
      </c>
      <c r="C347" s="17">
        <v>1</v>
      </c>
      <c r="D347" s="7">
        <v>27</v>
      </c>
      <c r="E347" s="1">
        <v>0.92545524691358005</v>
      </c>
      <c r="F347" s="1">
        <v>38.773930534756701</v>
      </c>
      <c r="G347" s="1">
        <v>0.99317088791056796</v>
      </c>
      <c r="H347" s="1">
        <v>21.656357589433</v>
      </c>
      <c r="I347" s="1">
        <v>42.040443612039397</v>
      </c>
      <c r="J347" s="1">
        <v>0.996164366889707</v>
      </c>
      <c r="K347" s="8">
        <v>24.161629410726999</v>
      </c>
      <c r="L347" s="7">
        <v>23</v>
      </c>
      <c r="M347" s="1">
        <v>0.99049382716049295</v>
      </c>
      <c r="N347" s="1">
        <v>40.6041606410231</v>
      </c>
      <c r="O347" s="1">
        <v>0.99563946402591397</v>
      </c>
      <c r="P347" s="1">
        <v>23.604601262631501</v>
      </c>
      <c r="Q347" s="1">
        <v>43.8973389835947</v>
      </c>
      <c r="R347" s="1">
        <v>0.99732442481217398</v>
      </c>
      <c r="S347" s="1">
        <v>25.725828401675301</v>
      </c>
      <c r="T347" s="7"/>
      <c r="U347" s="1"/>
      <c r="V347" s="1"/>
      <c r="W347" s="8"/>
      <c r="X347" s="7"/>
      <c r="Y347" s="1"/>
      <c r="Z347" s="1"/>
      <c r="AA347" s="8"/>
      <c r="AB347" s="7">
        <v>64</v>
      </c>
      <c r="AC347" s="1">
        <v>0.64902391975308604</v>
      </c>
      <c r="AD347" s="1">
        <v>37.996172896385701</v>
      </c>
      <c r="AE347" s="1">
        <v>0.99388412075330101</v>
      </c>
      <c r="AF347" s="1">
        <v>22.1354109798345</v>
      </c>
      <c r="AG347" s="1">
        <v>41.079268986630801</v>
      </c>
      <c r="AH347" s="1">
        <v>0.99551654415736202</v>
      </c>
      <c r="AI347" s="1">
        <v>23.483871032315601</v>
      </c>
      <c r="AJ347" s="1">
        <v>61.0137164592742</v>
      </c>
      <c r="AK347" s="1">
        <v>32.703157663345301</v>
      </c>
      <c r="AL347" s="7"/>
      <c r="AM347" s="1"/>
      <c r="AN347" s="1"/>
      <c r="AO347" s="8"/>
      <c r="AP347" s="1"/>
      <c r="AQ347" s="1"/>
      <c r="AR347" s="1"/>
      <c r="AS347" s="8"/>
      <c r="AT347" s="7">
        <v>0.64</v>
      </c>
      <c r="AU347" s="1">
        <v>0.40955632716049301</v>
      </c>
      <c r="AV347" s="1">
        <v>33.0672757560694</v>
      </c>
      <c r="AW347" s="1">
        <v>0.99381452191749398</v>
      </c>
      <c r="AX347" s="1">
        <v>22.086267276322499</v>
      </c>
      <c r="AY347" s="1">
        <v>36.471903030737501</v>
      </c>
      <c r="AZ347" s="1">
        <v>0.99518898182660998</v>
      </c>
      <c r="BA347" s="1">
        <v>23.177630025678202</v>
      </c>
      <c r="BB347" s="1">
        <v>35.625642776489201</v>
      </c>
      <c r="BC347" s="1">
        <v>24.732833385467501</v>
      </c>
      <c r="BD347" s="7"/>
      <c r="BE347" s="1"/>
      <c r="BF347" s="1"/>
      <c r="BG347" s="8"/>
      <c r="BH347" s="1"/>
      <c r="BI347" s="1"/>
      <c r="BJ347" s="1"/>
      <c r="BK347" s="8"/>
    </row>
    <row r="348" spans="1:63">
      <c r="A348" s="49"/>
      <c r="B348" s="7" t="s">
        <v>18</v>
      </c>
      <c r="C348" s="17">
        <v>0.5</v>
      </c>
      <c r="D348" s="7">
        <v>33</v>
      </c>
      <c r="E348" s="1">
        <v>0.45704475308641901</v>
      </c>
      <c r="F348" s="1">
        <v>34.853289849690597</v>
      </c>
      <c r="G348" s="1">
        <v>0.98519542452083797</v>
      </c>
      <c r="H348" s="1">
        <v>18.2960404147974</v>
      </c>
      <c r="I348" s="1">
        <v>37.968401601982201</v>
      </c>
      <c r="J348" s="1">
        <v>0.98992513416311201</v>
      </c>
      <c r="K348" s="8">
        <v>19.9676072848087</v>
      </c>
      <c r="L348" s="7">
        <v>30</v>
      </c>
      <c r="M348" s="1">
        <v>0.45214506172839503</v>
      </c>
      <c r="N348" s="1">
        <v>36.313172230642898</v>
      </c>
      <c r="O348" s="1">
        <v>0.989918942816573</v>
      </c>
      <c r="P348" s="1">
        <v>19.964939217740501</v>
      </c>
      <c r="Q348" s="1">
        <v>39.423190982881003</v>
      </c>
      <c r="R348" s="1">
        <v>0.99208399991053597</v>
      </c>
      <c r="S348" s="1">
        <v>21.014942095574099</v>
      </c>
      <c r="T348" s="7"/>
      <c r="U348" s="1"/>
      <c r="V348" s="1"/>
      <c r="W348" s="8"/>
      <c r="X348" s="7"/>
      <c r="Y348" s="1"/>
      <c r="Z348" s="1"/>
      <c r="AA348" s="8"/>
      <c r="AB348" s="7">
        <v>32</v>
      </c>
      <c r="AC348" s="1">
        <v>0.46507330246913497</v>
      </c>
      <c r="AD348" s="1">
        <v>36.005935047214798</v>
      </c>
      <c r="AE348" s="1">
        <v>0.99099435987156703</v>
      </c>
      <c r="AF348" s="1">
        <v>20.4548541173227</v>
      </c>
      <c r="AG348" s="1">
        <v>39.1552174084526</v>
      </c>
      <c r="AH348" s="1">
        <v>0.99277108013660298</v>
      </c>
      <c r="AI348" s="1">
        <v>21.409265896225602</v>
      </c>
      <c r="AJ348" s="1">
        <v>52.333303689956601</v>
      </c>
      <c r="AK348" s="1">
        <v>32.665457010269101</v>
      </c>
      <c r="AL348" s="7"/>
      <c r="AM348" s="1"/>
      <c r="AN348" s="1"/>
      <c r="AO348" s="8"/>
      <c r="AP348" s="1"/>
      <c r="AQ348" s="1"/>
      <c r="AR348" s="1"/>
      <c r="AS348" s="8"/>
      <c r="AT348" s="7">
        <v>0.32</v>
      </c>
      <c r="AU348" s="1">
        <v>0.30332175925925903</v>
      </c>
      <c r="AV348" s="1">
        <v>31.96327499077</v>
      </c>
      <c r="AW348" s="1">
        <v>0.99115141439613996</v>
      </c>
      <c r="AX348" s="1">
        <v>20.531261432603301</v>
      </c>
      <c r="AY348" s="1">
        <v>35.452838501741198</v>
      </c>
      <c r="AZ348" s="1">
        <v>0.99269372788529897</v>
      </c>
      <c r="BA348" s="1">
        <v>21.363041569650299</v>
      </c>
      <c r="BB348" s="1">
        <v>42.6137888431549</v>
      </c>
      <c r="BC348" s="1">
        <v>29.294965267181301</v>
      </c>
      <c r="BD348" s="7"/>
      <c r="BE348" s="1"/>
      <c r="BF348" s="1"/>
      <c r="BG348" s="8"/>
      <c r="BH348" s="1"/>
      <c r="BI348" s="1"/>
      <c r="BJ348" s="1"/>
      <c r="BK348" s="8"/>
    </row>
    <row r="349" spans="1:63">
      <c r="A349" s="49"/>
      <c r="B349" s="7" t="s">
        <v>18</v>
      </c>
      <c r="C349" s="17">
        <v>0.25</v>
      </c>
      <c r="D349" s="7">
        <v>38</v>
      </c>
      <c r="E349" s="1">
        <v>0.23010802469135799</v>
      </c>
      <c r="F349" s="1">
        <v>31.730071041060398</v>
      </c>
      <c r="G349" s="1">
        <v>0.97163924203524599</v>
      </c>
      <c r="H349" s="1">
        <v>15.4728216645402</v>
      </c>
      <c r="I349" s="1">
        <v>34.935248635504202</v>
      </c>
      <c r="J349" s="1">
        <v>0.97784521768542998</v>
      </c>
      <c r="K349" s="8">
        <v>16.5453251284274</v>
      </c>
      <c r="L349" s="7">
        <v>35</v>
      </c>
      <c r="M349" s="1">
        <v>0.24068287037037001</v>
      </c>
      <c r="N349" s="1">
        <v>33.211234640044303</v>
      </c>
      <c r="O349" s="1">
        <v>0.980492891695397</v>
      </c>
      <c r="P349" s="1">
        <v>17.098071047947101</v>
      </c>
      <c r="Q349" s="1">
        <v>36.523495893497298</v>
      </c>
      <c r="R349" s="1">
        <v>0.98287130378126497</v>
      </c>
      <c r="S349" s="1">
        <v>17.662756928755901</v>
      </c>
      <c r="T349" s="7"/>
      <c r="U349" s="1"/>
      <c r="V349" s="1"/>
      <c r="W349" s="8"/>
      <c r="X349" s="7"/>
      <c r="Y349" s="1"/>
      <c r="Z349" s="1"/>
      <c r="AA349" s="8"/>
      <c r="AB349" s="7">
        <v>16</v>
      </c>
      <c r="AC349" s="1">
        <v>0.30447145061728298</v>
      </c>
      <c r="AD349" s="1">
        <v>33.930227780920298</v>
      </c>
      <c r="AE349" s="1">
        <v>0.98568086787807996</v>
      </c>
      <c r="AF349" s="1">
        <v>18.440833036820202</v>
      </c>
      <c r="AG349" s="1">
        <v>37.219136084624303</v>
      </c>
      <c r="AH349" s="1">
        <v>0.98746154513019402</v>
      </c>
      <c r="AI349" s="1">
        <v>19.017559788850701</v>
      </c>
      <c r="AJ349" s="1">
        <v>30.512581586837701</v>
      </c>
      <c r="AK349" s="1">
        <v>19.415102481841998</v>
      </c>
      <c r="AL349" s="7"/>
      <c r="AM349" s="1"/>
      <c r="AN349" s="1"/>
      <c r="AO349" s="8"/>
      <c r="AP349" s="1"/>
      <c r="AQ349" s="1"/>
      <c r="AR349" s="1"/>
      <c r="AS349" s="8"/>
      <c r="AT349" s="7">
        <v>0.16</v>
      </c>
      <c r="AU349" s="1">
        <v>0.21206404320987601</v>
      </c>
      <c r="AV349" s="1">
        <v>30.5545774741218</v>
      </c>
      <c r="AW349" s="1">
        <v>0.98643378609050003</v>
      </c>
      <c r="AX349" s="1">
        <v>18.675413393435999</v>
      </c>
      <c r="AY349" s="1">
        <v>34.058706538625103</v>
      </c>
      <c r="AZ349" s="1">
        <v>0.98829119746579397</v>
      </c>
      <c r="BA349" s="1">
        <v>19.314875181965402</v>
      </c>
      <c r="BB349" s="1">
        <v>36.921744346618603</v>
      </c>
      <c r="BC349" s="1">
        <v>26.815308332443198</v>
      </c>
      <c r="BD349" s="7"/>
      <c r="BE349" s="1"/>
      <c r="BF349" s="1"/>
      <c r="BG349" s="8"/>
      <c r="BH349" s="1"/>
      <c r="BI349" s="1"/>
      <c r="BJ349" s="1"/>
      <c r="BK349" s="8"/>
    </row>
    <row r="350" spans="1:63">
      <c r="A350" s="49"/>
      <c r="B350" s="7" t="s">
        <v>18</v>
      </c>
      <c r="C350" s="17">
        <v>0.12</v>
      </c>
      <c r="D350" s="7">
        <v>43</v>
      </c>
      <c r="E350" s="1">
        <v>0.10508873456790099</v>
      </c>
      <c r="F350" s="1">
        <v>28.937397905034999</v>
      </c>
      <c r="G350" s="1">
        <v>0.94567195959327</v>
      </c>
      <c r="H350" s="1">
        <v>12.649759595326699</v>
      </c>
      <c r="I350" s="1">
        <v>32.339908641048801</v>
      </c>
      <c r="J350" s="1">
        <v>0.95353947679617301</v>
      </c>
      <c r="K350" s="8">
        <v>13.3291590380708</v>
      </c>
      <c r="L350" s="7">
        <v>40</v>
      </c>
      <c r="M350" s="1">
        <v>0.11663580246913501</v>
      </c>
      <c r="N350" s="1">
        <v>30.248789810594701</v>
      </c>
      <c r="O350" s="1">
        <v>0.96114317029620999</v>
      </c>
      <c r="P350" s="1">
        <v>14.1053263601406</v>
      </c>
      <c r="Q350" s="1">
        <v>33.784197595223603</v>
      </c>
      <c r="R350" s="1">
        <v>0.96415537138302299</v>
      </c>
      <c r="S350" s="1">
        <v>14.455759149413</v>
      </c>
      <c r="T350" s="7"/>
      <c r="U350" s="1"/>
      <c r="V350" s="1"/>
      <c r="W350" s="8"/>
      <c r="X350" s="7"/>
      <c r="Y350" s="1"/>
      <c r="Z350" s="1"/>
      <c r="AA350" s="8"/>
      <c r="AB350" s="7">
        <v>8</v>
      </c>
      <c r="AC350" s="1">
        <v>0.19770447530864099</v>
      </c>
      <c r="AD350" s="1">
        <v>31.995258924523799</v>
      </c>
      <c r="AE350" s="1">
        <v>0.97784483605564498</v>
      </c>
      <c r="AF350" s="1">
        <v>16.545250319169401</v>
      </c>
      <c r="AG350" s="1">
        <v>35.499669786443597</v>
      </c>
      <c r="AH350" s="1">
        <v>0.97965890938184497</v>
      </c>
      <c r="AI350" s="1">
        <v>16.916257654374402</v>
      </c>
      <c r="AJ350" s="1">
        <v>35.0022518634796</v>
      </c>
      <c r="AK350" s="1">
        <v>24.342221260070801</v>
      </c>
      <c r="AL350" s="7"/>
      <c r="AM350" s="1"/>
      <c r="AN350" s="1"/>
      <c r="AO350" s="8"/>
      <c r="AP350" s="1"/>
      <c r="AQ350" s="1"/>
      <c r="AR350" s="1"/>
      <c r="AS350" s="8"/>
      <c r="AT350" s="7">
        <v>0.08</v>
      </c>
      <c r="AU350" s="1">
        <v>0.14801311728395</v>
      </c>
      <c r="AV350" s="1">
        <v>29.372596669886999</v>
      </c>
      <c r="AW350" s="1">
        <v>0.97985626804603898</v>
      </c>
      <c r="AX350" s="1">
        <v>16.9586006621211</v>
      </c>
      <c r="AY350" s="1">
        <v>32.912117179785803</v>
      </c>
      <c r="AZ350" s="1">
        <v>0.98197853008448999</v>
      </c>
      <c r="BA350" s="1">
        <v>17.442097888197999</v>
      </c>
      <c r="BB350" s="1">
        <v>34.0778262615203</v>
      </c>
      <c r="BC350" s="1">
        <v>24.268101930618201</v>
      </c>
      <c r="BD350" s="7"/>
      <c r="BE350" s="1"/>
      <c r="BF350" s="1"/>
      <c r="BG350" s="8"/>
      <c r="BH350" s="1"/>
      <c r="BI350" s="1"/>
      <c r="BJ350" s="1"/>
      <c r="BK350" s="8"/>
    </row>
    <row r="351" spans="1:63">
      <c r="A351" s="49"/>
      <c r="B351" s="7" t="s">
        <v>18</v>
      </c>
      <c r="C351" s="17">
        <v>0.06</v>
      </c>
      <c r="D351" s="7">
        <v>47</v>
      </c>
      <c r="E351" s="1">
        <v>5.2966820987654303E-2</v>
      </c>
      <c r="F351" s="1">
        <v>26.964704282146801</v>
      </c>
      <c r="G351" s="1">
        <v>0.91169497811813205</v>
      </c>
      <c r="H351" s="1">
        <v>10.5401459751453</v>
      </c>
      <c r="I351" s="1">
        <v>30.536307488578199</v>
      </c>
      <c r="J351" s="1">
        <v>0.92018288044002905</v>
      </c>
      <c r="K351" s="8">
        <v>10.979039490874699</v>
      </c>
      <c r="L351" s="7">
        <v>45</v>
      </c>
      <c r="M351" s="1">
        <v>5.2083333333333301E-2</v>
      </c>
      <c r="N351" s="1">
        <v>27.636028164721701</v>
      </c>
      <c r="O351" s="1">
        <v>0.92637629426734802</v>
      </c>
      <c r="P351" s="1">
        <v>11.329823268141199</v>
      </c>
      <c r="Q351" s="1">
        <v>31.424053141265599</v>
      </c>
      <c r="R351" s="1">
        <v>0.92933700132959396</v>
      </c>
      <c r="S351" s="1">
        <v>11.508079366948699</v>
      </c>
      <c r="T351" s="7"/>
      <c r="U351" s="1"/>
      <c r="V351" s="1"/>
      <c r="W351" s="8"/>
      <c r="X351" s="7"/>
      <c r="Y351" s="1"/>
      <c r="Z351" s="1"/>
      <c r="AA351" s="8"/>
      <c r="AB351" s="7">
        <v>4</v>
      </c>
      <c r="AC351" s="1">
        <v>0.130698302469135</v>
      </c>
      <c r="AD351" s="1">
        <v>30.292227575084102</v>
      </c>
      <c r="AE351" s="1">
        <v>0.966468265674015</v>
      </c>
      <c r="AF351" s="1">
        <v>14.745439834418599</v>
      </c>
      <c r="AG351" s="1">
        <v>33.926355649252102</v>
      </c>
      <c r="AH351" s="1">
        <v>0.96854310327068105</v>
      </c>
      <c r="AI351" s="1">
        <v>15.0228412341039</v>
      </c>
      <c r="AJ351" s="1">
        <v>34.521243810653601</v>
      </c>
      <c r="AK351" s="1">
        <v>28.359955072402901</v>
      </c>
      <c r="AL351" s="7"/>
      <c r="AM351" s="1"/>
      <c r="AN351" s="1"/>
      <c r="AO351" s="8"/>
      <c r="AP351" s="1"/>
      <c r="AQ351" s="1"/>
      <c r="AR351" s="1"/>
      <c r="AS351" s="8"/>
      <c r="AT351" s="7">
        <v>0.04</v>
      </c>
      <c r="AU351" s="1">
        <v>0.102588734567901</v>
      </c>
      <c r="AV351" s="1">
        <v>28.2676235581201</v>
      </c>
      <c r="AW351" s="1">
        <v>0.96998730049360504</v>
      </c>
      <c r="AX351" s="1">
        <v>15.226949399965299</v>
      </c>
      <c r="AY351" s="1">
        <v>31.704229046030601</v>
      </c>
      <c r="AZ351" s="1">
        <v>0.97261277076418495</v>
      </c>
      <c r="BA351" s="1">
        <v>15.6245190306786</v>
      </c>
      <c r="BB351" s="1">
        <v>35.4497678279876</v>
      </c>
      <c r="BC351" s="1">
        <v>26.1546339988708</v>
      </c>
      <c r="BD351" s="7"/>
      <c r="BE351" s="1"/>
      <c r="BF351" s="1"/>
      <c r="BG351" s="8"/>
      <c r="BH351" s="1"/>
      <c r="BI351" s="1"/>
      <c r="BJ351" s="1"/>
      <c r="BK351" s="8"/>
    </row>
    <row r="352" spans="1:63">
      <c r="A352" s="49"/>
      <c r="B352" s="7" t="s">
        <v>79</v>
      </c>
      <c r="C352" s="17">
        <v>1.5</v>
      </c>
      <c r="D352" s="7">
        <v>25</v>
      </c>
      <c r="E352" s="1">
        <v>1.3967824074074</v>
      </c>
      <c r="F352" s="1">
        <v>39.369386162679902</v>
      </c>
      <c r="G352" s="1">
        <v>0.99563643263823898</v>
      </c>
      <c r="H352" s="1">
        <v>23.6015831530515</v>
      </c>
      <c r="I352" s="1">
        <v>42.983510627621101</v>
      </c>
      <c r="J352" s="1">
        <v>0.99791265410766194</v>
      </c>
      <c r="K352" s="8">
        <v>26.804055783967002</v>
      </c>
      <c r="L352" s="7">
        <v>22</v>
      </c>
      <c r="M352" s="1">
        <v>1.3748919753086399</v>
      </c>
      <c r="N352" s="1">
        <v>40.470186651552503</v>
      </c>
      <c r="O352" s="1">
        <v>0.99647181857389899</v>
      </c>
      <c r="P352" s="1">
        <v>24.5244909068062</v>
      </c>
      <c r="Q352" s="1">
        <v>44.129484421357397</v>
      </c>
      <c r="R352" s="1">
        <v>0.99831781625653604</v>
      </c>
      <c r="S352" s="1">
        <v>27.741265683394399</v>
      </c>
      <c r="T352" s="13">
        <f>bdrate(E352:E355,F352:F355,M352:M355,N352:N355)</f>
        <v>-0.23051364263835183</v>
      </c>
      <c r="U352" s="12">
        <f>bdrate(E352:E355,H352:H355,M352:M355,P352:P355)</f>
        <v>-0.21855354104275704</v>
      </c>
      <c r="V352" s="12">
        <f>bdrate(E352:E355,I352:I355,M352:M355,Q352:Q355)</f>
        <v>-0.22199136589400104</v>
      </c>
      <c r="W352" s="14">
        <f>bdrate(E352:E355,K352:K355,M352:M355,S352:S355)</f>
        <v>-0.15927624259624351</v>
      </c>
      <c r="X352" s="13">
        <f>bdrate(E354:E357,F354:F357,M354:M357,N354:N357)</f>
        <v>-0.23380187365867877</v>
      </c>
      <c r="Y352" s="12">
        <f>bdrate(E354:E357,H354:H357,M354:M357,P354:P357)</f>
        <v>-0.19810147292235736</v>
      </c>
      <c r="Z352" s="12">
        <f>bdrate(E354:E357,I354:I357,M354:M357,Q354:Q357)</f>
        <v>-0.25238322869440166</v>
      </c>
      <c r="AA352" s="14">
        <f>bdrate(E354:E357,K354:K357,M354:M357,S354:S357)</f>
        <v>-0.15545930026550903</v>
      </c>
      <c r="AB352" s="7"/>
      <c r="AC352" s="1"/>
      <c r="AD352" s="1"/>
      <c r="AE352" s="1"/>
      <c r="AF352" s="1"/>
      <c r="AG352" s="1"/>
      <c r="AH352" s="1"/>
      <c r="AI352" s="1"/>
      <c r="AJ352" s="1"/>
      <c r="AK352" s="1"/>
      <c r="AL352" s="13" t="e">
        <f>bdrate(E352:E355,F352:F355,AC352:AC355,AD352:AD355)</f>
        <v>#VALUE!</v>
      </c>
      <c r="AM352" s="12" t="e">
        <f>bdrate(E352:E355,H352:H355,AC352:AC355,AF352:AF355)</f>
        <v>#VALUE!</v>
      </c>
      <c r="AN352" s="12" t="e">
        <f>bdrate(E352:E355,I352:I355,AC352:AC355,AG352:AG355)</f>
        <v>#VALUE!</v>
      </c>
      <c r="AO352" s="14" t="e">
        <f>bdrate(E352:E355,K352:K355,AC352:AC355,AI352:AI355)</f>
        <v>#VALUE!</v>
      </c>
      <c r="AP352" s="12">
        <f>bdrate(E354:E357,F354:F357,AC354:AC357,AD354:AD357)</f>
        <v>-0.16102588490946645</v>
      </c>
      <c r="AQ352" s="12">
        <f>bdrate(E354:E357,H354:H357,AC354:AC357,AF354:AF357)</f>
        <v>-0.18792819647742731</v>
      </c>
      <c r="AR352" s="12">
        <f>bdrate(E354:E357,I354:I357,AC354:AC357,AG354:AG357)</f>
        <v>-0.17636939268004859</v>
      </c>
      <c r="AS352" s="14">
        <f>bdrate(E354:E357,K354:K357,AC354:AC357,AI354:AI357)</f>
        <v>-0.13414256178337547</v>
      </c>
      <c r="AT352" s="7"/>
      <c r="AU352" s="1"/>
      <c r="AV352" s="1"/>
      <c r="AW352" s="1"/>
      <c r="AX352" s="1"/>
      <c r="AY352" s="1"/>
      <c r="AZ352" s="1"/>
      <c r="BA352" s="1"/>
      <c r="BB352" s="1"/>
      <c r="BC352" s="1"/>
      <c r="BD352" s="13" t="e">
        <f>bdrate(E352:E355,F352:F355,AU352:AU355,AV352:AV355)</f>
        <v>#VALUE!</v>
      </c>
      <c r="BE352" s="12" t="e">
        <f>bdrate(E352:E355,H352:H355,AU352:AU355,AX352:AX355)</f>
        <v>#VALUE!</v>
      </c>
      <c r="BF352" s="12" t="e">
        <f>bdrate(E352:E355,I352:I355,AU352:AU355,AY352:AY355)</f>
        <v>#VALUE!</v>
      </c>
      <c r="BG352" s="14" t="e">
        <f>bdrate(E352:E355,K352:K355,AU352:AU355,BA352:BA355)</f>
        <v>#VALUE!</v>
      </c>
      <c r="BH352" s="12">
        <f>bdrate(E354:E357,F354:F357,AU354:AU357,AV354:AV357)</f>
        <v>0.36167639546809816</v>
      </c>
      <c r="BI352" s="12">
        <f>bdrate(E354:E357,H354:H357,AU354:AU357,AX354:AX357)</f>
        <v>-0.47406090597177053</v>
      </c>
      <c r="BJ352" s="12">
        <f>bdrate(E354:E357,I354:I357,AU354:AU357,AY354:AY357)</f>
        <v>0.39136207820244451</v>
      </c>
      <c r="BK352" s="14">
        <f>bdrate(E354:E357,K354:K357,AU354:AU357,BA354:BA357)</f>
        <v>-0.42891641153229565</v>
      </c>
    </row>
    <row r="353" spans="1:63">
      <c r="A353" s="49"/>
      <c r="B353" s="7" t="s">
        <v>18</v>
      </c>
      <c r="C353" s="17">
        <v>1</v>
      </c>
      <c r="D353" s="7">
        <v>29</v>
      </c>
      <c r="E353" s="1">
        <v>0.89409336419753005</v>
      </c>
      <c r="F353" s="1">
        <v>36.561451304882702</v>
      </c>
      <c r="G353" s="1">
        <v>0.99200663771137398</v>
      </c>
      <c r="H353" s="1">
        <v>20.9727050275824</v>
      </c>
      <c r="I353" s="1">
        <v>39.916461266201097</v>
      </c>
      <c r="J353" s="1">
        <v>0.99549335875345801</v>
      </c>
      <c r="K353" s="8">
        <v>23.4614701278512</v>
      </c>
      <c r="L353" s="7">
        <v>25</v>
      </c>
      <c r="M353" s="1">
        <v>0.99288580246913505</v>
      </c>
      <c r="N353" s="1">
        <v>38.555937960276403</v>
      </c>
      <c r="O353" s="1">
        <v>0.99477448697265503</v>
      </c>
      <c r="P353" s="1">
        <v>22.818710652155598</v>
      </c>
      <c r="Q353" s="1">
        <v>41.970813242134398</v>
      </c>
      <c r="R353" s="1">
        <v>0.99715281575500803</v>
      </c>
      <c r="S353" s="1">
        <v>25.455844281835802</v>
      </c>
      <c r="T353" s="7"/>
      <c r="U353" s="1"/>
      <c r="V353" s="1"/>
      <c r="W353" s="8"/>
      <c r="X353" s="7"/>
      <c r="Y353" s="1"/>
      <c r="Z353" s="1"/>
      <c r="AA353" s="8"/>
      <c r="AB353" s="7">
        <v>64</v>
      </c>
      <c r="AC353" s="1">
        <v>0.79795138888888795</v>
      </c>
      <c r="AD353" s="1">
        <v>36.793717224431198</v>
      </c>
      <c r="AE353" s="1">
        <v>0.99341545239569795</v>
      </c>
      <c r="AF353" s="1">
        <v>21.814740581668101</v>
      </c>
      <c r="AG353" s="1">
        <v>40.0807107607612</v>
      </c>
      <c r="AH353" s="1">
        <v>0.996258994227189</v>
      </c>
      <c r="AI353" s="1">
        <v>24.270116216339801</v>
      </c>
      <c r="AJ353" s="1">
        <v>64.544586420059204</v>
      </c>
      <c r="AK353" s="1">
        <v>30.9552724361419</v>
      </c>
      <c r="AL353" s="7"/>
      <c r="AM353" s="1"/>
      <c r="AN353" s="1"/>
      <c r="AO353" s="8"/>
      <c r="AP353" s="1"/>
      <c r="AQ353" s="1"/>
      <c r="AR353" s="1"/>
      <c r="AS353" s="8"/>
      <c r="AT353" s="7">
        <v>0.64</v>
      </c>
      <c r="AU353" s="1">
        <v>0.48498070987654301</v>
      </c>
      <c r="AV353" s="1">
        <v>31.645251635272</v>
      </c>
      <c r="AW353" s="1">
        <v>0.992017199614042</v>
      </c>
      <c r="AX353" s="1">
        <v>20.978447303507899</v>
      </c>
      <c r="AY353" s="1">
        <v>34.777826750578299</v>
      </c>
      <c r="AZ353" s="1">
        <v>0.99430589750581</v>
      </c>
      <c r="BA353" s="1">
        <v>22.445747197917701</v>
      </c>
      <c r="BB353" s="1">
        <v>38.577665090560899</v>
      </c>
      <c r="BC353" s="1">
        <v>25.884650945663399</v>
      </c>
      <c r="BD353" s="7"/>
      <c r="BE353" s="1"/>
      <c r="BF353" s="1"/>
      <c r="BG353" s="8"/>
      <c r="BH353" s="1"/>
      <c r="BI353" s="1"/>
      <c r="BJ353" s="1"/>
      <c r="BK353" s="8"/>
    </row>
    <row r="354" spans="1:63">
      <c r="A354" s="49"/>
      <c r="B354" s="7" t="s">
        <v>18</v>
      </c>
      <c r="C354" s="17">
        <v>0.5</v>
      </c>
      <c r="D354" s="7">
        <v>34</v>
      </c>
      <c r="E354" s="1">
        <v>0.48667052469135802</v>
      </c>
      <c r="F354" s="1">
        <v>33.295642235820203</v>
      </c>
      <c r="G354" s="1">
        <v>0.98288891977778903</v>
      </c>
      <c r="H354" s="1">
        <v>17.6672257259</v>
      </c>
      <c r="I354" s="1">
        <v>36.476324814709102</v>
      </c>
      <c r="J354" s="1">
        <v>0.98819482716651796</v>
      </c>
      <c r="K354" s="8">
        <v>19.279276502559199</v>
      </c>
      <c r="L354" s="7">
        <v>31</v>
      </c>
      <c r="M354" s="1">
        <v>0.496844135802469</v>
      </c>
      <c r="N354" s="1">
        <v>34.8313184346773</v>
      </c>
      <c r="O354" s="1">
        <v>0.98793773670600404</v>
      </c>
      <c r="P354" s="1">
        <v>19.185711960208099</v>
      </c>
      <c r="Q354" s="1">
        <v>38.002918849288598</v>
      </c>
      <c r="R354" s="1">
        <v>0.99125440168051404</v>
      </c>
      <c r="S354" s="1">
        <v>20.582104734394498</v>
      </c>
      <c r="T354" s="7"/>
      <c r="U354" s="1"/>
      <c r="V354" s="1"/>
      <c r="W354" s="8"/>
      <c r="X354" s="7"/>
      <c r="Y354" s="1"/>
      <c r="Z354" s="1"/>
      <c r="AA354" s="8"/>
      <c r="AB354" s="7">
        <v>32</v>
      </c>
      <c r="AC354" s="1">
        <v>0.57664737654320897</v>
      </c>
      <c r="AD354" s="1">
        <v>35.008227102470499</v>
      </c>
      <c r="AE354" s="1">
        <v>0.98985592099446196</v>
      </c>
      <c r="AF354" s="1">
        <v>19.937873770160099</v>
      </c>
      <c r="AG354" s="1">
        <v>38.182519396676497</v>
      </c>
      <c r="AH354" s="1">
        <v>0.99311776483716596</v>
      </c>
      <c r="AI354" s="1">
        <v>21.622704918173401</v>
      </c>
      <c r="AJ354" s="1">
        <v>57.0575335025787</v>
      </c>
      <c r="AK354" s="1">
        <v>32.614394664764397</v>
      </c>
      <c r="AL354" s="7"/>
      <c r="AM354" s="1"/>
      <c r="AN354" s="1"/>
      <c r="AO354" s="8"/>
      <c r="AP354" s="1"/>
      <c r="AQ354" s="1"/>
      <c r="AR354" s="1"/>
      <c r="AS354" s="8"/>
      <c r="AT354" s="7">
        <v>0.32</v>
      </c>
      <c r="AU354" s="1">
        <v>0.37212191358024599</v>
      </c>
      <c r="AV354" s="1">
        <v>30.757932539454799</v>
      </c>
      <c r="AW354" s="1">
        <v>0.98904874077078098</v>
      </c>
      <c r="AX354" s="1">
        <v>19.6053594065414</v>
      </c>
      <c r="AY354" s="1">
        <v>33.908311732717699</v>
      </c>
      <c r="AZ354" s="1">
        <v>0.99172661709955701</v>
      </c>
      <c r="BA354" s="1">
        <v>20.823168756241301</v>
      </c>
      <c r="BB354" s="1">
        <v>45.9529192447662</v>
      </c>
      <c r="BC354" s="1">
        <v>27.823989391326901</v>
      </c>
      <c r="BD354" s="7"/>
      <c r="BE354" s="1"/>
      <c r="BF354" s="1"/>
      <c r="BG354" s="8"/>
      <c r="BH354" s="1"/>
      <c r="BI354" s="1"/>
      <c r="BJ354" s="1"/>
      <c r="BK354" s="8"/>
    </row>
    <row r="355" spans="1:63">
      <c r="A355" s="49"/>
      <c r="B355" s="7" t="s">
        <v>18</v>
      </c>
      <c r="C355" s="17">
        <v>0.25</v>
      </c>
      <c r="D355" s="7">
        <v>39</v>
      </c>
      <c r="E355" s="1">
        <v>0.23584876543209801</v>
      </c>
      <c r="F355" s="1">
        <v>30.182896979325001</v>
      </c>
      <c r="G355" s="1">
        <v>0.96205153255861997</v>
      </c>
      <c r="H355" s="1">
        <v>14.2080575850872</v>
      </c>
      <c r="I355" s="1">
        <v>33.3870722120366</v>
      </c>
      <c r="J355" s="1">
        <v>0.96917336923516195</v>
      </c>
      <c r="K355" s="8">
        <v>15.110739394382501</v>
      </c>
      <c r="L355" s="7">
        <v>37</v>
      </c>
      <c r="M355" s="1">
        <v>0.224641203703703</v>
      </c>
      <c r="N355" s="1">
        <v>31.031043454456402</v>
      </c>
      <c r="O355" s="1">
        <v>0.96837748473769603</v>
      </c>
      <c r="P355" s="1">
        <v>15.000035891446601</v>
      </c>
      <c r="Q355" s="1">
        <v>34.268869836798501</v>
      </c>
      <c r="R355" s="1">
        <v>0.97332758752613802</v>
      </c>
      <c r="S355" s="1">
        <v>15.7393770134417</v>
      </c>
      <c r="T355" s="7"/>
      <c r="U355" s="1"/>
      <c r="V355" s="1"/>
      <c r="W355" s="8"/>
      <c r="X355" s="7"/>
      <c r="Y355" s="1"/>
      <c r="Z355" s="1"/>
      <c r="AA355" s="8"/>
      <c r="AB355" s="7">
        <v>16</v>
      </c>
      <c r="AC355" s="1">
        <v>0.38201003086419699</v>
      </c>
      <c r="AD355" s="1">
        <v>32.990341539088398</v>
      </c>
      <c r="AE355" s="1">
        <v>0.98250976094627596</v>
      </c>
      <c r="AF355" s="1">
        <v>17.5720425461489</v>
      </c>
      <c r="AG355" s="1">
        <v>36.155122274480199</v>
      </c>
      <c r="AH355" s="1">
        <v>0.98651639468959795</v>
      </c>
      <c r="AI355" s="1">
        <v>18.701939685526799</v>
      </c>
      <c r="AJ355" s="1">
        <v>30.4327311515808</v>
      </c>
      <c r="AK355" s="1">
        <v>20.0769524574279</v>
      </c>
      <c r="AL355" s="7"/>
      <c r="AM355" s="1"/>
      <c r="AN355" s="1"/>
      <c r="AO355" s="8"/>
      <c r="AP355" s="1"/>
      <c r="AQ355" s="1"/>
      <c r="AR355" s="1"/>
      <c r="AS355" s="8"/>
      <c r="AT355" s="7">
        <v>0.16</v>
      </c>
      <c r="AU355" s="1">
        <v>0.265929783950617</v>
      </c>
      <c r="AV355" s="1">
        <v>29.547492398239701</v>
      </c>
      <c r="AW355" s="1">
        <v>0.98352584815236299</v>
      </c>
      <c r="AX355" s="1">
        <v>17.831969352998499</v>
      </c>
      <c r="AY355" s="1">
        <v>32.757657198159698</v>
      </c>
      <c r="AZ355" s="1">
        <v>0.98678301839803395</v>
      </c>
      <c r="BA355" s="1">
        <v>18.788677145389599</v>
      </c>
      <c r="BB355" s="1">
        <v>36.908152818679802</v>
      </c>
      <c r="BC355" s="1">
        <v>29.639878273010201</v>
      </c>
      <c r="BD355" s="7"/>
      <c r="BE355" s="1"/>
      <c r="BF355" s="1"/>
      <c r="BG355" s="8"/>
      <c r="BH355" s="1"/>
      <c r="BI355" s="1"/>
      <c r="BJ355" s="1"/>
      <c r="BK355" s="8"/>
    </row>
    <row r="356" spans="1:63">
      <c r="A356" s="49"/>
      <c r="B356" s="7" t="s">
        <v>18</v>
      </c>
      <c r="C356" s="17">
        <v>0.12</v>
      </c>
      <c r="D356" s="7">
        <v>43</v>
      </c>
      <c r="E356" s="1">
        <v>0.117681327160493</v>
      </c>
      <c r="F356" s="1">
        <v>27.855606361229199</v>
      </c>
      <c r="G356" s="1">
        <v>0.92890159357285496</v>
      </c>
      <c r="H356" s="1">
        <v>11.481401332737899</v>
      </c>
      <c r="I356" s="1">
        <v>31.1603995384285</v>
      </c>
      <c r="J356" s="1">
        <v>0.93787072725237597</v>
      </c>
      <c r="K356" s="8">
        <v>12.0670372997843</v>
      </c>
      <c r="L356" s="7">
        <v>41</v>
      </c>
      <c r="M356" s="1">
        <v>0.119382716049382</v>
      </c>
      <c r="N356" s="1">
        <v>28.720046963861598</v>
      </c>
      <c r="O356" s="1">
        <v>0.94109736789904697</v>
      </c>
      <c r="P356" s="1">
        <v>12.2986529805875</v>
      </c>
      <c r="Q356" s="1">
        <v>32.090327990724703</v>
      </c>
      <c r="R356" s="1">
        <v>0.94723883398311004</v>
      </c>
      <c r="S356" s="1">
        <v>12.776856151517199</v>
      </c>
      <c r="T356" s="7"/>
      <c r="U356" s="1"/>
      <c r="V356" s="1"/>
      <c r="W356" s="8"/>
      <c r="X356" s="7"/>
      <c r="Y356" s="1"/>
      <c r="Z356" s="1"/>
      <c r="AA356" s="8"/>
      <c r="AB356" s="7">
        <v>8</v>
      </c>
      <c r="AC356" s="1">
        <v>0.24839891975308601</v>
      </c>
      <c r="AD356" s="1">
        <v>31.077415727618401</v>
      </c>
      <c r="AE356" s="1">
        <v>0.97108073244467097</v>
      </c>
      <c r="AF356" s="1">
        <v>15.3881271071039</v>
      </c>
      <c r="AG356" s="1">
        <v>34.352940984387502</v>
      </c>
      <c r="AH356" s="1">
        <v>0.97543745324272702</v>
      </c>
      <c r="AI356" s="1">
        <v>16.0972660555659</v>
      </c>
      <c r="AJ356" s="1">
        <v>35.187758922576897</v>
      </c>
      <c r="AK356" s="1">
        <v>23.904786109924299</v>
      </c>
      <c r="AL356" s="7"/>
      <c r="AM356" s="1"/>
      <c r="AN356" s="1"/>
      <c r="AO356" s="8"/>
      <c r="AP356" s="1"/>
      <c r="AQ356" s="1"/>
      <c r="AR356" s="1"/>
      <c r="AS356" s="8"/>
      <c r="AT356" s="7">
        <v>0.08</v>
      </c>
      <c r="AU356" s="1">
        <v>0.182226080246913</v>
      </c>
      <c r="AV356" s="1">
        <v>28.219802804205901</v>
      </c>
      <c r="AW356" s="1">
        <v>0.97474230681443497</v>
      </c>
      <c r="AX356" s="1">
        <v>15.976063165886</v>
      </c>
      <c r="AY356" s="1">
        <v>31.440637019549701</v>
      </c>
      <c r="AZ356" s="1">
        <v>0.97888436900310205</v>
      </c>
      <c r="BA356" s="1">
        <v>16.753959360540801</v>
      </c>
      <c r="BB356" s="1">
        <v>33.727364778518599</v>
      </c>
      <c r="BC356" s="1">
        <v>26.338955879211401</v>
      </c>
      <c r="BD356" s="7"/>
      <c r="BE356" s="1"/>
      <c r="BF356" s="1"/>
      <c r="BG356" s="8"/>
      <c r="BH356" s="1"/>
      <c r="BI356" s="1"/>
      <c r="BJ356" s="1"/>
      <c r="BK356" s="8"/>
    </row>
    <row r="357" spans="1:63">
      <c r="A357" s="49"/>
      <c r="B357" s="7" t="s">
        <v>18</v>
      </c>
      <c r="C357" s="17">
        <v>0.06</v>
      </c>
      <c r="D357" s="7">
        <v>47</v>
      </c>
      <c r="E357" s="1">
        <v>5.3626543209876497E-2</v>
      </c>
      <c r="F357" s="1">
        <v>25.9016989059784</v>
      </c>
      <c r="G357" s="1">
        <v>0.87783903126110896</v>
      </c>
      <c r="H357" s="1">
        <v>9.1306753197417496</v>
      </c>
      <c r="I357" s="1">
        <v>29.3261323248434</v>
      </c>
      <c r="J357" s="1">
        <v>0.88806673879254705</v>
      </c>
      <c r="K357" s="8">
        <v>9.5104084276172305</v>
      </c>
      <c r="L357" s="7">
        <v>45</v>
      </c>
      <c r="M357" s="1">
        <v>5.6060956790123399E-2</v>
      </c>
      <c r="N357" s="1">
        <v>26.577860789339301</v>
      </c>
      <c r="O357" s="1">
        <v>0.89462959043003298</v>
      </c>
      <c r="P357" s="1">
        <v>9.7728133186288293</v>
      </c>
      <c r="Q357" s="1">
        <v>30.085031030315498</v>
      </c>
      <c r="R357" s="1">
        <v>0.90230039091663705</v>
      </c>
      <c r="S357" s="1">
        <v>10.101071739810999</v>
      </c>
      <c r="T357" s="7"/>
      <c r="U357" s="1"/>
      <c r="V357" s="1"/>
      <c r="W357" s="8"/>
      <c r="X357" s="7"/>
      <c r="Y357" s="1"/>
      <c r="Z357" s="1"/>
      <c r="AA357" s="8"/>
      <c r="AB357" s="7">
        <v>4</v>
      </c>
      <c r="AC357" s="1">
        <v>0.15862268518518499</v>
      </c>
      <c r="AD357" s="1">
        <v>29.302440319450501</v>
      </c>
      <c r="AE357" s="1">
        <v>0.95273330726304895</v>
      </c>
      <c r="AF357" s="1">
        <v>13.254447843343</v>
      </c>
      <c r="AG357" s="1">
        <v>32.666965912943503</v>
      </c>
      <c r="AH357" s="1">
        <v>0.95861105250226897</v>
      </c>
      <c r="AI357" s="1">
        <v>13.8311561737163</v>
      </c>
      <c r="AJ357" s="1">
        <v>33.356816291808997</v>
      </c>
      <c r="AK357" s="1">
        <v>24.950698852538999</v>
      </c>
      <c r="AL357" s="7"/>
      <c r="AM357" s="1"/>
      <c r="AN357" s="1"/>
      <c r="AO357" s="8"/>
      <c r="AP357" s="1"/>
      <c r="AQ357" s="1"/>
      <c r="AR357" s="1"/>
      <c r="AS357" s="8"/>
      <c r="AT357" s="7">
        <v>0.04</v>
      </c>
      <c r="AU357" s="1">
        <v>0.12628472222222201</v>
      </c>
      <c r="AV357" s="1">
        <v>27.101069843069201</v>
      </c>
      <c r="AW357" s="1">
        <v>0.96213172847083495</v>
      </c>
      <c r="AX357" s="1">
        <v>14.2172451749543</v>
      </c>
      <c r="AY357" s="1">
        <v>30.2610840760359</v>
      </c>
      <c r="AZ357" s="1">
        <v>0.96742445289138601</v>
      </c>
      <c r="BA357" s="1">
        <v>14.871082815476401</v>
      </c>
      <c r="BB357" s="1">
        <v>33.902093410491901</v>
      </c>
      <c r="BC357" s="1">
        <v>27.119562625884999</v>
      </c>
      <c r="BD357" s="7"/>
      <c r="BE357" s="1"/>
      <c r="BF357" s="1"/>
      <c r="BG357" s="8"/>
      <c r="BH357" s="1"/>
      <c r="BI357" s="1"/>
      <c r="BJ357" s="1"/>
      <c r="BK357" s="8"/>
    </row>
    <row r="358" spans="1:63">
      <c r="A358" s="49"/>
      <c r="B358" s="7" t="s">
        <v>80</v>
      </c>
      <c r="C358" s="17">
        <v>1.5</v>
      </c>
      <c r="D358" s="7">
        <v>31</v>
      </c>
      <c r="E358" s="1">
        <v>1.3366743827160401</v>
      </c>
      <c r="F358" s="1">
        <v>32.672869089849499</v>
      </c>
      <c r="G358" s="1">
        <v>0.98026758610355202</v>
      </c>
      <c r="H358" s="1">
        <v>17.0481978358806</v>
      </c>
      <c r="I358" s="1">
        <v>35.953901169081398</v>
      </c>
      <c r="J358" s="1">
        <v>0.98978910661903996</v>
      </c>
      <c r="K358" s="8">
        <v>19.9093625855486</v>
      </c>
      <c r="L358" s="7">
        <v>28</v>
      </c>
      <c r="M358" s="1">
        <v>1.3709336419753</v>
      </c>
      <c r="N358" s="1">
        <v>34.005711661639097</v>
      </c>
      <c r="O358" s="1">
        <v>0.98517873995915195</v>
      </c>
      <c r="P358" s="1">
        <v>18.291148729069501</v>
      </c>
      <c r="Q358" s="1">
        <v>37.331904372952899</v>
      </c>
      <c r="R358" s="1">
        <v>0.99228964398274999</v>
      </c>
      <c r="S358" s="1">
        <v>21.1292556841371</v>
      </c>
      <c r="T358" s="13">
        <f>bdrate(E358:E361,F358:F361,M358:M361,N358:N361)</f>
        <v>-0.22907871643420852</v>
      </c>
      <c r="U358" s="12">
        <f>bdrate(E358:E361,H358:H361,M358:M361,P358:P361)</f>
        <v>-0.2007665109422786</v>
      </c>
      <c r="V358" s="12">
        <f>bdrate(E358:E361,I358:I361,M358:M361,Q358:Q361)</f>
        <v>-0.22154693620360744</v>
      </c>
      <c r="W358" s="14">
        <f>bdrate(E358:E361,K358:K361,M358:M361,S358:S361)</f>
        <v>-0.15017919453496675</v>
      </c>
      <c r="X358" s="13">
        <f>bdrate(E360:E363,F360:F363,M360:M363,N360:N363)</f>
        <v>-0.23826308006334884</v>
      </c>
      <c r="Y358" s="12">
        <f>bdrate(E360:E363,H360:H363,M360:M363,P360:P363)</f>
        <v>-0.21183068805133287</v>
      </c>
      <c r="Z358" s="12">
        <f>bdrate(E360:E363,I360:I363,M360:M363,Q360:Q363)</f>
        <v>-0.2385118044587331</v>
      </c>
      <c r="AA358" s="14">
        <f>bdrate(E360:E363,K360:K363,M360:M363,S360:S363)</f>
        <v>-0.16325308136086958</v>
      </c>
      <c r="AB358" s="7"/>
      <c r="AC358" s="1"/>
      <c r="AD358" s="1"/>
      <c r="AE358" s="1"/>
      <c r="AF358" s="1"/>
      <c r="AG358" s="1"/>
      <c r="AH358" s="1"/>
      <c r="AI358" s="1"/>
      <c r="AJ358" s="1"/>
      <c r="AK358" s="1"/>
      <c r="AL358" s="13" t="e">
        <f>bdrate(E358:E361,F358:F361,AC358:AC361,AD358:AD361)</f>
        <v>#VALUE!</v>
      </c>
      <c r="AM358" s="12" t="e">
        <f>bdrate(E358:E361,H358:H361,AC358:AC361,AF358:AF361)</f>
        <v>#VALUE!</v>
      </c>
      <c r="AN358" s="12" t="e">
        <f>bdrate(E358:E361,I358:I361,AC358:AC361,AG358:AG361)</f>
        <v>#VALUE!</v>
      </c>
      <c r="AO358" s="14" t="e">
        <f>bdrate(E358:E361,K358:K361,AC358:AC361,AI358:AI361)</f>
        <v>#VALUE!</v>
      </c>
      <c r="AP358" s="12">
        <f>bdrate(E360:E363,F360:F363,AC360:AC363,AD360:AD363)</f>
        <v>-0.19983579667717266</v>
      </c>
      <c r="AQ358" s="12">
        <f>bdrate(E360:E363,H360:H363,AC360:AC363,AF360:AF363)</f>
        <v>-0.20143718857149417</v>
      </c>
      <c r="AR358" s="12">
        <f>bdrate(E360:E363,I360:I363,AC360:AC363,AG360:AG363)</f>
        <v>-0.19696509501885096</v>
      </c>
      <c r="AS358" s="14">
        <f>bdrate(E360:E363,K360:K363,AC360:AC363,AI360:AI363)</f>
        <v>-0.11902160786882132</v>
      </c>
      <c r="AT358" s="7"/>
      <c r="AU358" s="1"/>
      <c r="AV358" s="1"/>
      <c r="AW358" s="1"/>
      <c r="AX358" s="1"/>
      <c r="AY358" s="1"/>
      <c r="AZ358" s="1"/>
      <c r="BA358" s="1"/>
      <c r="BB358" s="1"/>
      <c r="BC358" s="1"/>
      <c r="BD358" s="13" t="e">
        <f>bdrate(E358:E361,F358:F361,AU358:AU361,AV358:AV361)</f>
        <v>#VALUE!</v>
      </c>
      <c r="BE358" s="12" t="e">
        <f>bdrate(E358:E361,H358:H361,AU358:AU361,AX358:AX361)</f>
        <v>#VALUE!</v>
      </c>
      <c r="BF358" s="12" t="e">
        <f>bdrate(E358:E361,I358:I361,AU358:AU361,AY358:AY361)</f>
        <v>#VALUE!</v>
      </c>
      <c r="BG358" s="14" t="e">
        <f>bdrate(E358:E361,K358:K361,AU358:AU361,BA358:BA361)</f>
        <v>#VALUE!</v>
      </c>
      <c r="BH358" s="12">
        <f>bdrate(E360:E363,F360:F363,AU360:AU363,AV360:AV363)</f>
        <v>7.7102338224742217E-2</v>
      </c>
      <c r="BI358" s="12">
        <f>bdrate(E360:E363,H360:H363,AU360:AU363,AX360:AX363)</f>
        <v>-0.50384743602390025</v>
      </c>
      <c r="BJ358" s="12">
        <f>bdrate(E360:E363,I360:I363,AU360:AU363,AY360:AY363)</f>
        <v>0.2244381630406389</v>
      </c>
      <c r="BK358" s="14">
        <f>bdrate(E360:E363,K360:K363,AU360:AU363,BA360:BA363)</f>
        <v>-0.404119429602255</v>
      </c>
    </row>
    <row r="359" spans="1:63">
      <c r="A359" s="49"/>
      <c r="B359" s="7" t="s">
        <v>18</v>
      </c>
      <c r="C359" s="17">
        <v>1</v>
      </c>
      <c r="D359" s="7">
        <v>34</v>
      </c>
      <c r="E359" s="1">
        <v>0.88439814814814799</v>
      </c>
      <c r="F359" s="1">
        <v>30.7037842401019</v>
      </c>
      <c r="G359" s="1">
        <v>0.968034397156043</v>
      </c>
      <c r="H359" s="1">
        <v>14.9531710073003</v>
      </c>
      <c r="I359" s="1">
        <v>33.8051048790811</v>
      </c>
      <c r="J359" s="1">
        <v>0.98183914603253097</v>
      </c>
      <c r="K359" s="8">
        <v>17.408637337532799</v>
      </c>
      <c r="L359" s="7">
        <v>31</v>
      </c>
      <c r="M359" s="1">
        <v>0.927646604938271</v>
      </c>
      <c r="N359" s="1">
        <v>32.050841992725601</v>
      </c>
      <c r="O359" s="1">
        <v>0.97607561480473404</v>
      </c>
      <c r="P359" s="1">
        <v>16.211592138325798</v>
      </c>
      <c r="Q359" s="1">
        <v>35.192975740699197</v>
      </c>
      <c r="R359" s="1">
        <v>0.98609468116180998</v>
      </c>
      <c r="S359" s="1">
        <v>18.568190486495801</v>
      </c>
      <c r="T359" s="7"/>
      <c r="U359" s="1"/>
      <c r="V359" s="1"/>
      <c r="W359" s="8"/>
      <c r="X359" s="7"/>
      <c r="Y359" s="1"/>
      <c r="Z359" s="1"/>
      <c r="AA359" s="8"/>
      <c r="AB359" s="7">
        <v>64</v>
      </c>
      <c r="AC359" s="1">
        <v>1.32516589506172</v>
      </c>
      <c r="AD359" s="1">
        <v>33.383873451465199</v>
      </c>
      <c r="AE359" s="1">
        <v>0.98505459722650401</v>
      </c>
      <c r="AF359" s="1">
        <v>18.254923763791702</v>
      </c>
      <c r="AG359" s="1">
        <v>37.122228587348701</v>
      </c>
      <c r="AH359" s="1">
        <v>0.99410684645348601</v>
      </c>
      <c r="AI359" s="1">
        <v>22.296522431853798</v>
      </c>
      <c r="AJ359" s="1">
        <v>69.523886919021606</v>
      </c>
      <c r="AK359" s="1">
        <v>32.598835468292201</v>
      </c>
      <c r="AL359" s="7"/>
      <c r="AM359" s="1"/>
      <c r="AN359" s="1"/>
      <c r="AO359" s="8"/>
      <c r="AP359" s="1"/>
      <c r="AQ359" s="1"/>
      <c r="AR359" s="1"/>
      <c r="AS359" s="8"/>
      <c r="AT359" s="7">
        <v>0.64</v>
      </c>
      <c r="AU359" s="1">
        <v>0.75944830246913497</v>
      </c>
      <c r="AV359" s="1">
        <v>29.203924695873301</v>
      </c>
      <c r="AW359" s="1">
        <v>0.98317796344042796</v>
      </c>
      <c r="AX359" s="1">
        <v>17.741214275010599</v>
      </c>
      <c r="AY359" s="1">
        <v>31.669563223135899</v>
      </c>
      <c r="AZ359" s="1">
        <v>0.98910953730796702</v>
      </c>
      <c r="BA359" s="1">
        <v>19.629536684234701</v>
      </c>
      <c r="BB359" s="1">
        <v>38.065634012222198</v>
      </c>
      <c r="BC359" s="1">
        <v>24.487661838531402</v>
      </c>
      <c r="BD359" s="7"/>
      <c r="BE359" s="1"/>
      <c r="BF359" s="1"/>
      <c r="BG359" s="8"/>
      <c r="BH359" s="1"/>
      <c r="BI359" s="1"/>
      <c r="BJ359" s="1"/>
      <c r="BK359" s="8"/>
    </row>
    <row r="360" spans="1:63">
      <c r="A360" s="49"/>
      <c r="B360" s="7" t="s">
        <v>18</v>
      </c>
      <c r="C360" s="17">
        <v>0.5</v>
      </c>
      <c r="D360" s="7">
        <v>38</v>
      </c>
      <c r="E360" s="1">
        <v>0.47874228395061702</v>
      </c>
      <c r="F360" s="1">
        <v>28.319051409636199</v>
      </c>
      <c r="G360" s="1">
        <v>0.94285575321467197</v>
      </c>
      <c r="H360" s="1">
        <v>12.4302748731872</v>
      </c>
      <c r="I360" s="1">
        <v>31.251040798570301</v>
      </c>
      <c r="J360" s="1">
        <v>0.96353293259709505</v>
      </c>
      <c r="K360" s="8">
        <v>14.380991602383199</v>
      </c>
      <c r="L360" s="7">
        <v>36</v>
      </c>
      <c r="M360" s="1">
        <v>0.44921296296296298</v>
      </c>
      <c r="N360" s="1">
        <v>29.053008926165099</v>
      </c>
      <c r="O360" s="1">
        <v>0.95061163582500297</v>
      </c>
      <c r="P360" s="1">
        <v>13.063753581579</v>
      </c>
      <c r="Q360" s="1">
        <v>32.0005311179251</v>
      </c>
      <c r="R360" s="1">
        <v>0.96727979586090496</v>
      </c>
      <c r="S360" s="1">
        <v>14.8518399545896</v>
      </c>
      <c r="T360" s="7"/>
      <c r="U360" s="1"/>
      <c r="V360" s="1"/>
      <c r="W360" s="8"/>
      <c r="X360" s="7"/>
      <c r="Y360" s="1"/>
      <c r="Z360" s="1"/>
      <c r="AA360" s="8"/>
      <c r="AB360" s="7">
        <v>32</v>
      </c>
      <c r="AC360" s="1">
        <v>0.98116126543209803</v>
      </c>
      <c r="AD360" s="1">
        <v>32.161680610358097</v>
      </c>
      <c r="AE360" s="1">
        <v>0.97881580641603905</v>
      </c>
      <c r="AF360" s="1">
        <v>16.7398806358188</v>
      </c>
      <c r="AG360" s="1">
        <v>35.492314388762097</v>
      </c>
      <c r="AH360" s="1">
        <v>0.98924346898800497</v>
      </c>
      <c r="AI360" s="1">
        <v>19.683277663328401</v>
      </c>
      <c r="AJ360" s="1">
        <v>54.905993461608801</v>
      </c>
      <c r="AK360" s="1">
        <v>32.3904802799224</v>
      </c>
      <c r="AL360" s="7"/>
      <c r="AM360" s="1"/>
      <c r="AN360" s="1"/>
      <c r="AO360" s="8"/>
      <c r="AP360" s="1"/>
      <c r="AQ360" s="1"/>
      <c r="AR360" s="1"/>
      <c r="AS360" s="8"/>
      <c r="AT360" s="7">
        <v>0.32</v>
      </c>
      <c r="AU360" s="1">
        <v>0.60530478395061704</v>
      </c>
      <c r="AV360" s="1">
        <v>28.690226146717801</v>
      </c>
      <c r="AW360" s="1">
        <v>0.97930018575212696</v>
      </c>
      <c r="AX360" s="1">
        <v>16.840335517163101</v>
      </c>
      <c r="AY360" s="1">
        <v>31.155752356205799</v>
      </c>
      <c r="AZ360" s="1">
        <v>0.985973632014299</v>
      </c>
      <c r="BA360" s="1">
        <v>18.530547714501601</v>
      </c>
      <c r="BB360" s="1">
        <v>49.996199131011899</v>
      </c>
      <c r="BC360" s="1">
        <v>27.609080314636198</v>
      </c>
      <c r="BD360" s="7"/>
      <c r="BE360" s="1"/>
      <c r="BF360" s="1"/>
      <c r="BG360" s="8"/>
      <c r="BH360" s="1"/>
      <c r="BI360" s="1"/>
      <c r="BJ360" s="1"/>
      <c r="BK360" s="8"/>
    </row>
    <row r="361" spans="1:63">
      <c r="A361" s="49"/>
      <c r="B361" s="7" t="s">
        <v>18</v>
      </c>
      <c r="C361" s="17">
        <v>0.25</v>
      </c>
      <c r="D361" s="7">
        <v>42</v>
      </c>
      <c r="E361" s="1">
        <v>0.244170524691358</v>
      </c>
      <c r="F361" s="1">
        <v>26.215478792751501</v>
      </c>
      <c r="G361" s="1">
        <v>0.90338412123937195</v>
      </c>
      <c r="H361" s="1">
        <v>10.1495149168588</v>
      </c>
      <c r="I361" s="1">
        <v>29.053216106731099</v>
      </c>
      <c r="J361" s="1">
        <v>0.93243249592149402</v>
      </c>
      <c r="K361" s="8">
        <v>11.7026212347479</v>
      </c>
      <c r="L361" s="7">
        <v>40</v>
      </c>
      <c r="M361" s="1">
        <v>0.23305555555555499</v>
      </c>
      <c r="N361" s="1">
        <v>26.851268257196502</v>
      </c>
      <c r="O361" s="1">
        <v>0.91561091450910703</v>
      </c>
      <c r="P361" s="1">
        <v>10.737137194596199</v>
      </c>
      <c r="Q361" s="1">
        <v>29.7092836891361</v>
      </c>
      <c r="R361" s="1">
        <v>0.93900922597523195</v>
      </c>
      <c r="S361" s="1">
        <v>12.147358550411701</v>
      </c>
      <c r="T361" s="7"/>
      <c r="U361" s="1"/>
      <c r="V361" s="1"/>
      <c r="W361" s="8"/>
      <c r="X361" s="7"/>
      <c r="Y361" s="1"/>
      <c r="Z361" s="1"/>
      <c r="AA361" s="8"/>
      <c r="AB361" s="7">
        <v>16</v>
      </c>
      <c r="AC361" s="1">
        <v>0.67539737654320897</v>
      </c>
      <c r="AD361" s="1">
        <v>30.5707813221346</v>
      </c>
      <c r="AE361" s="1">
        <v>0.96706921642393395</v>
      </c>
      <c r="AF361" s="1">
        <v>14.8239793528527</v>
      </c>
      <c r="AG361" s="1">
        <v>33.6438301954624</v>
      </c>
      <c r="AH361" s="1">
        <v>0.98019419811473396</v>
      </c>
      <c r="AI361" s="1">
        <v>17.032075694527698</v>
      </c>
      <c r="AJ361" s="1">
        <v>32.158257961273101</v>
      </c>
      <c r="AK361" s="1">
        <v>20.8049829006195</v>
      </c>
      <c r="AL361" s="7"/>
      <c r="AM361" s="1"/>
      <c r="AN361" s="1"/>
      <c r="AO361" s="8"/>
      <c r="AP361" s="1"/>
      <c r="AQ361" s="1"/>
      <c r="AR361" s="1"/>
      <c r="AS361" s="8"/>
      <c r="AT361" s="7">
        <v>0.16</v>
      </c>
      <c r="AU361" s="1">
        <v>0.45632330246913499</v>
      </c>
      <c r="AV361" s="1">
        <v>27.884853332910598</v>
      </c>
      <c r="AW361" s="1">
        <v>0.97158419929357598</v>
      </c>
      <c r="AX361" s="1">
        <v>15.464401018053501</v>
      </c>
      <c r="AY361" s="1">
        <v>30.362610367737901</v>
      </c>
      <c r="AZ361" s="1">
        <v>0.97961935300064096</v>
      </c>
      <c r="BA361" s="1">
        <v>16.907820330974399</v>
      </c>
      <c r="BB361" s="1">
        <v>39.596683263778601</v>
      </c>
      <c r="BC361" s="1">
        <v>27.029745817184399</v>
      </c>
      <c r="BD361" s="7"/>
      <c r="BE361" s="1"/>
      <c r="BF361" s="1"/>
      <c r="BG361" s="8"/>
      <c r="BH361" s="1"/>
      <c r="BI361" s="1"/>
      <c r="BJ361" s="1"/>
      <c r="BK361" s="8"/>
    </row>
    <row r="362" spans="1:63">
      <c r="A362" s="49"/>
      <c r="B362" s="7" t="s">
        <v>18</v>
      </c>
      <c r="C362" s="17">
        <v>0.12</v>
      </c>
      <c r="D362" s="7">
        <v>46</v>
      </c>
      <c r="E362" s="1">
        <v>0.117542438271604</v>
      </c>
      <c r="F362" s="1">
        <v>24.355427446280402</v>
      </c>
      <c r="G362" s="1">
        <v>0.84292684460400102</v>
      </c>
      <c r="H362" s="1">
        <v>8.0389803176190693</v>
      </c>
      <c r="I362" s="1">
        <v>27.1458121339749</v>
      </c>
      <c r="J362" s="1">
        <v>0.87941277814123697</v>
      </c>
      <c r="K362" s="8">
        <v>9.1869871019127292</v>
      </c>
      <c r="L362" s="7">
        <v>44</v>
      </c>
      <c r="M362" s="1">
        <v>0.11541280864197501</v>
      </c>
      <c r="N362" s="1">
        <v>24.974879078207199</v>
      </c>
      <c r="O362" s="1">
        <v>0.86326991848395795</v>
      </c>
      <c r="P362" s="1">
        <v>8.6413592728141104</v>
      </c>
      <c r="Q362" s="1">
        <v>27.780480002026799</v>
      </c>
      <c r="R362" s="1">
        <v>0.89354247077574001</v>
      </c>
      <c r="S362" s="1">
        <v>9.7282361759893892</v>
      </c>
      <c r="T362" s="7"/>
      <c r="U362" s="1"/>
      <c r="V362" s="1"/>
      <c r="W362" s="8"/>
      <c r="X362" s="7"/>
      <c r="Y362" s="1"/>
      <c r="Z362" s="1"/>
      <c r="AA362" s="8"/>
      <c r="AB362" s="7">
        <v>8</v>
      </c>
      <c r="AC362" s="1">
        <v>0.443159722222222</v>
      </c>
      <c r="AD362" s="1">
        <v>28.858981192811299</v>
      </c>
      <c r="AE362" s="1">
        <v>0.95048437733764901</v>
      </c>
      <c r="AF362" s="1">
        <v>13.052577552967801</v>
      </c>
      <c r="AG362" s="1">
        <v>31.8005572799958</v>
      </c>
      <c r="AH362" s="1">
        <v>0.96641682312695798</v>
      </c>
      <c r="AI362" s="1">
        <v>14.7387822323157</v>
      </c>
      <c r="AJ362" s="1">
        <v>36.255135297775198</v>
      </c>
      <c r="AK362" s="1">
        <v>24.491385221481298</v>
      </c>
      <c r="AL362" s="7"/>
      <c r="AM362" s="1"/>
      <c r="AN362" s="1"/>
      <c r="AO362" s="8"/>
      <c r="AP362" s="1"/>
      <c r="AQ362" s="1"/>
      <c r="AR362" s="1"/>
      <c r="AS362" s="8"/>
      <c r="AT362" s="7">
        <v>0.08</v>
      </c>
      <c r="AU362" s="1">
        <v>0.31324459876543198</v>
      </c>
      <c r="AV362" s="1">
        <v>26.722438923883399</v>
      </c>
      <c r="AW362" s="1">
        <v>0.95677221501676102</v>
      </c>
      <c r="AX362" s="1">
        <v>13.642370173972299</v>
      </c>
      <c r="AY362" s="1">
        <v>29.211615872310901</v>
      </c>
      <c r="AZ362" s="1">
        <v>0.96769342953916104</v>
      </c>
      <c r="BA362" s="1">
        <v>14.9070914253904</v>
      </c>
      <c r="BB362" s="1">
        <v>34.434424400329497</v>
      </c>
      <c r="BC362" s="1">
        <v>23.9046964645385</v>
      </c>
      <c r="BD362" s="7"/>
      <c r="BE362" s="1"/>
      <c r="BF362" s="1"/>
      <c r="BG362" s="8"/>
      <c r="BH362" s="1"/>
      <c r="BI362" s="1"/>
      <c r="BJ362" s="1"/>
      <c r="BK362" s="8"/>
    </row>
    <row r="363" spans="1:63">
      <c r="A363" s="49"/>
      <c r="B363" s="7" t="s">
        <v>18</v>
      </c>
      <c r="C363" s="17">
        <v>0.06</v>
      </c>
      <c r="D363" s="7">
        <v>50</v>
      </c>
      <c r="E363" s="1">
        <v>5.4506172839506102E-2</v>
      </c>
      <c r="F363" s="1">
        <v>22.8054699647811</v>
      </c>
      <c r="G363" s="1">
        <v>0.76483080359936995</v>
      </c>
      <c r="H363" s="1">
        <v>6.2861956486349104</v>
      </c>
      <c r="I363" s="1">
        <v>25.578123398465401</v>
      </c>
      <c r="J363" s="1">
        <v>0.80612558051177896</v>
      </c>
      <c r="K363" s="8">
        <v>7.1247948957003304</v>
      </c>
      <c r="L363" s="7">
        <v>48</v>
      </c>
      <c r="M363" s="1">
        <v>5.4560185185185101E-2</v>
      </c>
      <c r="N363" s="1">
        <v>23.3102338303853</v>
      </c>
      <c r="O363" s="1">
        <v>0.79165608406792598</v>
      </c>
      <c r="P363" s="1">
        <v>6.8121917730753099</v>
      </c>
      <c r="Q363" s="1">
        <v>26.1006710061062</v>
      </c>
      <c r="R363" s="1">
        <v>0.82615931117835095</v>
      </c>
      <c r="S363" s="1">
        <v>7.5984856584740097</v>
      </c>
      <c r="T363" s="7"/>
      <c r="U363" s="1"/>
      <c r="V363" s="1"/>
      <c r="W363" s="8"/>
      <c r="X363" s="7"/>
      <c r="Y363" s="1"/>
      <c r="Z363" s="1"/>
      <c r="AA363" s="8"/>
      <c r="AB363" s="7">
        <v>4</v>
      </c>
      <c r="AC363" s="1">
        <v>0.29354552469135797</v>
      </c>
      <c r="AD363" s="1">
        <v>27.416976165975299</v>
      </c>
      <c r="AE363" s="1">
        <v>0.928400584653571</v>
      </c>
      <c r="AF363" s="1">
        <v>11.450905239610901</v>
      </c>
      <c r="AG363" s="1">
        <v>30.294930429060798</v>
      </c>
      <c r="AH363" s="1">
        <v>0.94751199015129195</v>
      </c>
      <c r="AI363" s="1">
        <v>12.7993989376091</v>
      </c>
      <c r="AJ363" s="1">
        <v>34.672606229782097</v>
      </c>
      <c r="AK363" s="1">
        <v>24.494190454483</v>
      </c>
      <c r="AL363" s="7"/>
      <c r="AM363" s="1"/>
      <c r="AN363" s="1"/>
      <c r="AO363" s="8"/>
      <c r="AP363" s="1"/>
      <c r="AQ363" s="1"/>
      <c r="AR363" s="1"/>
      <c r="AS363" s="8"/>
      <c r="AT363" s="7">
        <v>0.04</v>
      </c>
      <c r="AU363" s="1">
        <v>0.201855709876543</v>
      </c>
      <c r="AV363" s="1">
        <v>25.5091047641831</v>
      </c>
      <c r="AW363" s="1">
        <v>0.93412917411877805</v>
      </c>
      <c r="AX363" s="1">
        <v>11.8130689138756</v>
      </c>
      <c r="AY363" s="1">
        <v>28.004646349779801</v>
      </c>
      <c r="AZ363" s="1">
        <v>0.94864535797421801</v>
      </c>
      <c r="BA363" s="1">
        <v>12.8942029374023</v>
      </c>
      <c r="BB363" s="1">
        <v>35.982027769088702</v>
      </c>
      <c r="BC363" s="1">
        <v>27.173070669174098</v>
      </c>
      <c r="BD363" s="7"/>
      <c r="BE363" s="1"/>
      <c r="BF363" s="1"/>
      <c r="BG363" s="8"/>
      <c r="BH363" s="1"/>
      <c r="BI363" s="1"/>
      <c r="BJ363" s="1"/>
      <c r="BK363" s="8"/>
    </row>
    <row r="364" spans="1:63">
      <c r="A364" s="49"/>
      <c r="B364" s="7" t="s">
        <v>81</v>
      </c>
      <c r="C364" s="17">
        <v>1.5</v>
      </c>
      <c r="D364" s="7">
        <v>15</v>
      </c>
      <c r="E364" s="1">
        <v>1.4565586419753001</v>
      </c>
      <c r="F364" s="1">
        <v>46.8252375410773</v>
      </c>
      <c r="G364" s="1">
        <v>0.99659047137625401</v>
      </c>
      <c r="H364" s="1">
        <v>24.673056592060199</v>
      </c>
      <c r="I364" s="1">
        <v>50.189274981989499</v>
      </c>
      <c r="J364" s="1">
        <v>0.998518419188411</v>
      </c>
      <c r="K364" s="8">
        <v>28.292746553078999</v>
      </c>
      <c r="L364" s="7">
        <v>13</v>
      </c>
      <c r="M364" s="1">
        <v>1.47745756172839</v>
      </c>
      <c r="N364" s="1">
        <v>47.630916649179298</v>
      </c>
      <c r="O364" s="1">
        <v>0.99740142521492903</v>
      </c>
      <c r="P364" s="1">
        <v>25.852647799855902</v>
      </c>
      <c r="Q364" s="1">
        <v>51.120000108752301</v>
      </c>
      <c r="R364" s="1">
        <v>0.99882940667537301</v>
      </c>
      <c r="S364" s="1">
        <v>29.315939568032601</v>
      </c>
      <c r="T364" s="13">
        <f>bdrate(E364:E367,F364:F367,M364:M367,N364:N367)</f>
        <v>-0.38348829787198435</v>
      </c>
      <c r="U364" s="12">
        <f>bdrate(E364:E367,H364:H367,M364:M367,P364:P367)</f>
        <v>-0.41876654489390408</v>
      </c>
      <c r="V364" s="12">
        <f>bdrate(E364:E367,I364:I367,M364:M367,Q364:Q367)</f>
        <v>-0.34588792923033307</v>
      </c>
      <c r="W364" s="14">
        <f>bdrate(E364:E367,K364:K367,M364:M367,S364:S367)</f>
        <v>-0.26912805841437959</v>
      </c>
      <c r="X364" s="13">
        <f>bdrate(E366:E369,F366:F369,M366:M369,N366:N369)</f>
        <v>-0.4464836720236306</v>
      </c>
      <c r="Y364" s="12">
        <f>bdrate(E366:E369,H366:H369,M366:M369,P366:P369)</f>
        <v>-0.48893051380917019</v>
      </c>
      <c r="Z364" s="12">
        <f>bdrate(E366:E369,I366:I369,M366:M369,Q366:Q369)</f>
        <v>-0.40815871305462159</v>
      </c>
      <c r="AA364" s="14">
        <f>bdrate(E366:E369,K366:K369,M366:M369,S366:S369)</f>
        <v>-0.290843619544779</v>
      </c>
      <c r="AB364" s="7"/>
      <c r="AC364" s="1"/>
      <c r="AD364" s="1"/>
      <c r="AE364" s="1"/>
      <c r="AF364" s="1"/>
      <c r="AG364" s="1"/>
      <c r="AH364" s="1"/>
      <c r="AI364" s="1"/>
      <c r="AJ364" s="1"/>
      <c r="AK364" s="1"/>
      <c r="AL364" s="13" t="e">
        <f>bdrate(E364:E367,F364:F367,AC364:AC367,AD364:AD367)</f>
        <v>#VALUE!</v>
      </c>
      <c r="AM364" s="12" t="e">
        <f>bdrate(E364:E367,H364:H367,AC364:AC367,AF364:AF367)</f>
        <v>#VALUE!</v>
      </c>
      <c r="AN364" s="12" t="e">
        <f>bdrate(E364:E367,I364:I367,AC364:AC367,AG364:AG367)</f>
        <v>#VALUE!</v>
      </c>
      <c r="AO364" s="14" t="e">
        <f>bdrate(E364:E367,K364:K367,AC364:AC367,AI364:AI367)</f>
        <v>#VALUE!</v>
      </c>
      <c r="AP364" s="12">
        <f>bdrate(E366:E369,F366:F369,AC366:AC369,AD366:AD369)</f>
        <v>-0.27969060108364074</v>
      </c>
      <c r="AQ364" s="12">
        <f>bdrate(E366:E369,H366:H369,AC366:AC369,AF366:AF369)</f>
        <v>-0.31859441110332798</v>
      </c>
      <c r="AR364" s="12">
        <f>bdrate(E366:E369,I366:I369,AC366:AC369,AG366:AG369)</f>
        <v>-0.24074952357742296</v>
      </c>
      <c r="AS364" s="14">
        <f>bdrate(E366:E369,K366:K369,AC366:AC369,AI366:AI369)</f>
        <v>-0.10997365796619341</v>
      </c>
      <c r="AT364" s="7"/>
      <c r="AU364" s="1"/>
      <c r="AV364" s="1"/>
      <c r="AW364" s="1"/>
      <c r="AX364" s="1"/>
      <c r="AY364" s="1"/>
      <c r="AZ364" s="1"/>
      <c r="BA364" s="1"/>
      <c r="BB364" s="1"/>
      <c r="BC364" s="1"/>
      <c r="BD364" s="13" t="e">
        <f>bdrate(E364:E367,F364:F367,AU364:AU367,AV364:AV367)</f>
        <v>#VALUE!</v>
      </c>
      <c r="BE364" s="12" t="e">
        <f>bdrate(E364:E367,H364:H367,AU364:AU367,AX364:AX367)</f>
        <v>#VALUE!</v>
      </c>
      <c r="BF364" s="12" t="e">
        <f>bdrate(E364:E367,I364:I367,AU364:AU367,AY364:AY367)</f>
        <v>#VALUE!</v>
      </c>
      <c r="BG364" s="14" t="e">
        <f>bdrate(E364:E367,K364:K367,AU364:AU367,BA364:BA367)</f>
        <v>#VALUE!</v>
      </c>
      <c r="BH364" s="12">
        <f>bdrate(E366:E369,F366:F369,AU366:AU369,AV366:AV369)</f>
        <v>-0.10792495394075152</v>
      </c>
      <c r="BI364" s="12">
        <f>bdrate(E366:E369,H366:H369,AU366:AU369,AX366:AX369)</f>
        <v>-0.50734022181570793</v>
      </c>
      <c r="BJ364" s="12">
        <f>bdrate(E366:E369,I366:I369,AU366:AU369,AY366:AY369)</f>
        <v>-1.2901843876305441E-2</v>
      </c>
      <c r="BK364" s="14">
        <f>bdrate(E366:E369,K366:K369,AU366:AU369,BA366:BA369)</f>
        <v>-0.3110578554116209</v>
      </c>
    </row>
    <row r="365" spans="1:63">
      <c r="A365" s="49"/>
      <c r="B365" s="7" t="s">
        <v>18</v>
      </c>
      <c r="C365" s="17">
        <v>1</v>
      </c>
      <c r="D365" s="7">
        <v>18</v>
      </c>
      <c r="E365" s="1">
        <v>0.97913580246913501</v>
      </c>
      <c r="F365" s="1">
        <v>45.5121326176982</v>
      </c>
      <c r="G365" s="1">
        <v>0.99496690784071096</v>
      </c>
      <c r="H365" s="1">
        <v>22.981651173072301</v>
      </c>
      <c r="I365" s="1">
        <v>48.747885211948997</v>
      </c>
      <c r="J365" s="1">
        <v>0.99769623802236396</v>
      </c>
      <c r="K365" s="8">
        <v>26.375623937988401</v>
      </c>
      <c r="L365" s="7">
        <v>16</v>
      </c>
      <c r="M365" s="1">
        <v>0.90573302469135797</v>
      </c>
      <c r="N365" s="1">
        <v>46.459861521493401</v>
      </c>
      <c r="O365" s="1">
        <v>0.99635604980994497</v>
      </c>
      <c r="P365" s="1">
        <v>24.384275681239501</v>
      </c>
      <c r="Q365" s="1">
        <v>49.679110791738999</v>
      </c>
      <c r="R365" s="1">
        <v>0.99812178521177797</v>
      </c>
      <c r="S365" s="1">
        <v>27.2625474433537</v>
      </c>
      <c r="T365" s="7"/>
      <c r="U365" s="1"/>
      <c r="V365" s="1"/>
      <c r="W365" s="8"/>
      <c r="X365" s="7"/>
      <c r="Y365" s="1"/>
      <c r="Z365" s="1"/>
      <c r="AA365" s="8"/>
      <c r="AB365" s="7">
        <v>64</v>
      </c>
      <c r="AC365" s="1">
        <v>0.17571373456790099</v>
      </c>
      <c r="AD365" s="1">
        <v>41.836630091691703</v>
      </c>
      <c r="AE365" s="1">
        <v>0.98549363211297403</v>
      </c>
      <c r="AF365" s="1">
        <v>18.384413128608099</v>
      </c>
      <c r="AG365" s="1">
        <v>44.445415730379302</v>
      </c>
      <c r="AH365" s="1">
        <v>0.98810589635885704</v>
      </c>
      <c r="AI365" s="1">
        <v>19.246682815269899</v>
      </c>
      <c r="AJ365" s="1">
        <v>50.697556018829303</v>
      </c>
      <c r="AK365" s="1">
        <v>31.4757306575775</v>
      </c>
      <c r="AL365" s="7"/>
      <c r="AM365" s="1"/>
      <c r="AN365" s="1"/>
      <c r="AO365" s="8"/>
      <c r="AP365" s="1"/>
      <c r="AQ365" s="1"/>
      <c r="AR365" s="1"/>
      <c r="AS365" s="8"/>
      <c r="AT365" s="7">
        <v>0.64</v>
      </c>
      <c r="AU365" s="1">
        <v>0.36494212962962902</v>
      </c>
      <c r="AV365" s="1">
        <v>43.6991811555773</v>
      </c>
      <c r="AW365" s="1">
        <v>0.99402906647799905</v>
      </c>
      <c r="AX365" s="1">
        <v>22.239577640533501</v>
      </c>
      <c r="AY365" s="1">
        <v>46.200064846143903</v>
      </c>
      <c r="AZ365" s="1">
        <v>0.99545496428382096</v>
      </c>
      <c r="BA365" s="1">
        <v>23.4246269961954</v>
      </c>
      <c r="BB365" s="1">
        <v>35.399544000625603</v>
      </c>
      <c r="BC365" s="1">
        <v>24.725723505020099</v>
      </c>
      <c r="BD365" s="7"/>
      <c r="BE365" s="1"/>
      <c r="BF365" s="1"/>
      <c r="BG365" s="8"/>
      <c r="BH365" s="1"/>
      <c r="BI365" s="1"/>
      <c r="BJ365" s="1"/>
      <c r="BK365" s="8"/>
    </row>
    <row r="366" spans="1:63">
      <c r="A366" s="49"/>
      <c r="B366" s="7" t="s">
        <v>18</v>
      </c>
      <c r="C366" s="17">
        <v>0.5</v>
      </c>
      <c r="D366" s="7">
        <v>23</v>
      </c>
      <c r="E366" s="1">
        <v>0.485952932098765</v>
      </c>
      <c r="F366" s="1">
        <v>43.343883593402801</v>
      </c>
      <c r="G366" s="1">
        <v>0.99018700773780399</v>
      </c>
      <c r="H366" s="1">
        <v>20.081985436079101</v>
      </c>
      <c r="I366" s="1">
        <v>46.372589480314304</v>
      </c>
      <c r="J366" s="1">
        <v>0.99485609408551501</v>
      </c>
      <c r="K366" s="8">
        <v>22.887069835507202</v>
      </c>
      <c r="L366" s="7">
        <v>20</v>
      </c>
      <c r="M366" s="1">
        <v>0.49828317901234498</v>
      </c>
      <c r="N366" s="1">
        <v>44.951131790261201</v>
      </c>
      <c r="O366" s="1">
        <v>0.99429449108595902</v>
      </c>
      <c r="P366" s="1">
        <v>22.437056117712299</v>
      </c>
      <c r="Q366" s="1">
        <v>47.929161729622002</v>
      </c>
      <c r="R366" s="1">
        <v>0.99656251532814599</v>
      </c>
      <c r="S366" s="1">
        <v>24.637592297272899</v>
      </c>
      <c r="T366" s="7"/>
      <c r="U366" s="1"/>
      <c r="V366" s="1"/>
      <c r="W366" s="8"/>
      <c r="X366" s="7"/>
      <c r="Y366" s="1"/>
      <c r="Z366" s="1"/>
      <c r="AA366" s="8"/>
      <c r="AB366" s="7">
        <v>32</v>
      </c>
      <c r="AC366" s="1">
        <v>0.12147762345679</v>
      </c>
      <c r="AD366" s="1">
        <v>40.585763857729397</v>
      </c>
      <c r="AE366" s="1">
        <v>0.97899670004348704</v>
      </c>
      <c r="AF366" s="1">
        <v>16.777124652512001</v>
      </c>
      <c r="AG366" s="1">
        <v>43.173204154370502</v>
      </c>
      <c r="AH366" s="1">
        <v>0.98240727529512895</v>
      </c>
      <c r="AI366" s="1">
        <v>17.546668931945799</v>
      </c>
      <c r="AJ366" s="1">
        <v>45.4109787940979</v>
      </c>
      <c r="AK366" s="1">
        <v>30.784974098205499</v>
      </c>
      <c r="AL366" s="7"/>
      <c r="AM366" s="1"/>
      <c r="AN366" s="1"/>
      <c r="AO366" s="8"/>
      <c r="AP366" s="1"/>
      <c r="AQ366" s="1"/>
      <c r="AR366" s="1"/>
      <c r="AS366" s="8"/>
      <c r="AT366" s="7">
        <v>0.32</v>
      </c>
      <c r="AU366" s="1">
        <v>0.237858796296296</v>
      </c>
      <c r="AV366" s="1">
        <v>42.1734415597154</v>
      </c>
      <c r="AW366" s="1">
        <v>0.990535291147845</v>
      </c>
      <c r="AX366" s="1">
        <v>20.238927410079</v>
      </c>
      <c r="AY366" s="1">
        <v>44.634137207870602</v>
      </c>
      <c r="AZ366" s="1">
        <v>0.99258022440290405</v>
      </c>
      <c r="BA366" s="1">
        <v>21.2960922927852</v>
      </c>
      <c r="BB366" s="1">
        <v>40.444012165069502</v>
      </c>
      <c r="BC366" s="1">
        <v>29.354521512985201</v>
      </c>
      <c r="BD366" s="7"/>
      <c r="BE366" s="1"/>
      <c r="BF366" s="1"/>
      <c r="BG366" s="8"/>
      <c r="BH366" s="1"/>
      <c r="BI366" s="1"/>
      <c r="BJ366" s="1"/>
      <c r="BK366" s="8"/>
    </row>
    <row r="367" spans="1:63">
      <c r="A367" s="49"/>
      <c r="B367" s="7" t="s">
        <v>18</v>
      </c>
      <c r="C367" s="17">
        <v>0.25</v>
      </c>
      <c r="D367" s="7">
        <v>28</v>
      </c>
      <c r="E367" s="1">
        <v>0.22582175925925899</v>
      </c>
      <c r="F367" s="1">
        <v>41.057619789949698</v>
      </c>
      <c r="G367" s="1">
        <v>0.980814230331295</v>
      </c>
      <c r="H367" s="1">
        <v>17.170207736787599</v>
      </c>
      <c r="I367" s="1">
        <v>43.8946652378417</v>
      </c>
      <c r="J367" s="1">
        <v>0.98820332320216697</v>
      </c>
      <c r="K367" s="8">
        <v>19.282403191032401</v>
      </c>
      <c r="L367" s="7">
        <v>25</v>
      </c>
      <c r="M367" s="1">
        <v>0.242380401234567</v>
      </c>
      <c r="N367" s="1">
        <v>42.9761400566695</v>
      </c>
      <c r="O367" s="1">
        <v>0.98974853809541097</v>
      </c>
      <c r="P367" s="1">
        <v>19.892141978448901</v>
      </c>
      <c r="Q367" s="1">
        <v>45.731211944811598</v>
      </c>
      <c r="R367" s="1">
        <v>0.99249076999004504</v>
      </c>
      <c r="S367" s="1">
        <v>21.244045928988999</v>
      </c>
      <c r="T367" s="7"/>
      <c r="U367" s="1"/>
      <c r="V367" s="1"/>
      <c r="W367" s="8"/>
      <c r="X367" s="7"/>
      <c r="Y367" s="1"/>
      <c r="Z367" s="1"/>
      <c r="AA367" s="8"/>
      <c r="AB367" s="7">
        <v>16</v>
      </c>
      <c r="AC367" s="1">
        <v>7.6099537037036993E-2</v>
      </c>
      <c r="AD367" s="1">
        <v>39.108313944375098</v>
      </c>
      <c r="AE367" s="1">
        <v>0.96847595241037199</v>
      </c>
      <c r="AF367" s="1">
        <v>15.013580255420999</v>
      </c>
      <c r="AG367" s="1">
        <v>41.658525935525297</v>
      </c>
      <c r="AH367" s="1">
        <v>0.97163504266587497</v>
      </c>
      <c r="AI367" s="1">
        <v>15.4721786535393</v>
      </c>
      <c r="AJ367" s="1">
        <v>28.787533760070801</v>
      </c>
      <c r="AK367" s="1">
        <v>19.955573797225899</v>
      </c>
      <c r="AL367" s="7"/>
      <c r="AM367" s="1"/>
      <c r="AN367" s="1"/>
      <c r="AO367" s="8"/>
      <c r="AP367" s="1"/>
      <c r="AQ367" s="1"/>
      <c r="AR367" s="1"/>
      <c r="AS367" s="8"/>
      <c r="AT367" s="7">
        <v>0.16</v>
      </c>
      <c r="AU367" s="1">
        <v>0.15254243827160399</v>
      </c>
      <c r="AV367" s="1">
        <v>40.5474662361773</v>
      </c>
      <c r="AW367" s="1">
        <v>0.98539747367745001</v>
      </c>
      <c r="AX367" s="1">
        <v>18.3557200222725</v>
      </c>
      <c r="AY367" s="1">
        <v>43.002504745234901</v>
      </c>
      <c r="AZ367" s="1">
        <v>0.98808781347538699</v>
      </c>
      <c r="BA367" s="1">
        <v>19.2400851488852</v>
      </c>
      <c r="BB367" s="1">
        <v>35.229346275329497</v>
      </c>
      <c r="BC367" s="1">
        <v>27.5563113689422</v>
      </c>
      <c r="BD367" s="7"/>
      <c r="BE367" s="1"/>
      <c r="BF367" s="1"/>
      <c r="BG367" s="8"/>
      <c r="BH367" s="1"/>
      <c r="BI367" s="1"/>
      <c r="BJ367" s="1"/>
      <c r="BK367" s="8"/>
    </row>
    <row r="368" spans="1:63">
      <c r="A368" s="49"/>
      <c r="B368" s="7" t="s">
        <v>18</v>
      </c>
      <c r="C368" s="17">
        <v>0.12</v>
      </c>
      <c r="D368" s="7">
        <v>32</v>
      </c>
      <c r="E368" s="1">
        <v>0.11798996913580199</v>
      </c>
      <c r="F368" s="1">
        <v>39.373719474679298</v>
      </c>
      <c r="G368" s="1">
        <v>0.96945304757847395</v>
      </c>
      <c r="H368" s="1">
        <v>15.1503211152733</v>
      </c>
      <c r="I368" s="1">
        <v>42.091250517277203</v>
      </c>
      <c r="J368" s="1">
        <v>0.97859963973394903</v>
      </c>
      <c r="K368" s="8">
        <v>16.695789154246</v>
      </c>
      <c r="L368" s="7">
        <v>30</v>
      </c>
      <c r="M368" s="1">
        <v>0.11527777777777699</v>
      </c>
      <c r="N368" s="1">
        <v>40.8655947889022</v>
      </c>
      <c r="O368" s="1">
        <v>0.98103220982345696</v>
      </c>
      <c r="P368" s="1">
        <v>17.2198326320921</v>
      </c>
      <c r="Q368" s="1">
        <v>43.492629060025202</v>
      </c>
      <c r="R368" s="1">
        <v>0.98382825251266803</v>
      </c>
      <c r="S368" s="1">
        <v>17.912430485475401</v>
      </c>
      <c r="T368" s="7"/>
      <c r="U368" s="1"/>
      <c r="V368" s="1"/>
      <c r="W368" s="8"/>
      <c r="X368" s="7"/>
      <c r="Y368" s="1"/>
      <c r="Z368" s="1"/>
      <c r="AA368" s="8"/>
      <c r="AB368" s="7">
        <v>8</v>
      </c>
      <c r="AC368" s="1">
        <v>5.1863425925925903E-2</v>
      </c>
      <c r="AD368" s="1">
        <v>37.923916742114997</v>
      </c>
      <c r="AE368" s="1">
        <v>0.95688898237489495</v>
      </c>
      <c r="AF368" s="1">
        <v>13.6541172560931</v>
      </c>
      <c r="AG368" s="1">
        <v>40.490984041553801</v>
      </c>
      <c r="AH368" s="1">
        <v>0.96066943892857803</v>
      </c>
      <c r="AI368" s="1">
        <v>14.052698581037401</v>
      </c>
      <c r="AJ368" s="1">
        <v>33.909718513488698</v>
      </c>
      <c r="AK368" s="1">
        <v>24.695833206176701</v>
      </c>
      <c r="AL368" s="7"/>
      <c r="AM368" s="1"/>
      <c r="AN368" s="1"/>
      <c r="AO368" s="8"/>
      <c r="AP368" s="1"/>
      <c r="AQ368" s="1"/>
      <c r="AR368" s="1"/>
      <c r="AS368" s="8"/>
      <c r="AT368" s="7">
        <v>0.08</v>
      </c>
      <c r="AU368" s="1">
        <v>0.10305941358024601</v>
      </c>
      <c r="AV368" s="1">
        <v>39.070813402082699</v>
      </c>
      <c r="AW368" s="1">
        <v>0.97958278414067901</v>
      </c>
      <c r="AX368" s="1">
        <v>16.900034796521599</v>
      </c>
      <c r="AY368" s="1">
        <v>41.513826281940602</v>
      </c>
      <c r="AZ368" s="1">
        <v>0.98248390134858898</v>
      </c>
      <c r="BA368" s="1">
        <v>17.565626175080698</v>
      </c>
      <c r="BB368" s="1">
        <v>32.787968635558997</v>
      </c>
      <c r="BC368" s="1">
        <v>24.170860052108701</v>
      </c>
      <c r="BD368" s="7"/>
      <c r="BE368" s="1"/>
      <c r="BF368" s="1"/>
      <c r="BG368" s="8"/>
      <c r="BH368" s="1"/>
      <c r="BI368" s="1"/>
      <c r="BJ368" s="1"/>
      <c r="BK368" s="8"/>
    </row>
    <row r="369" spans="1:63">
      <c r="A369" s="49"/>
      <c r="B369" s="7" t="s">
        <v>18</v>
      </c>
      <c r="C369" s="17">
        <v>0.06</v>
      </c>
      <c r="D369" s="7">
        <v>36</v>
      </c>
      <c r="E369" s="1">
        <v>5.9278549382715998E-2</v>
      </c>
      <c r="F369" s="1">
        <v>37.773112688198502</v>
      </c>
      <c r="G369" s="1">
        <v>0.95350288015885798</v>
      </c>
      <c r="H369" s="1">
        <v>13.3257394766571</v>
      </c>
      <c r="I369" s="1">
        <v>40.394971391187603</v>
      </c>
      <c r="J369" s="1">
        <v>0.96330667800855496</v>
      </c>
      <c r="K369" s="8">
        <v>14.354129680684199</v>
      </c>
      <c r="L369" s="7">
        <v>35</v>
      </c>
      <c r="M369" s="1">
        <v>5.2569444444444398E-2</v>
      </c>
      <c r="N369" s="1">
        <v>38.776469091182904</v>
      </c>
      <c r="O369" s="1">
        <v>0.96552523910912502</v>
      </c>
      <c r="P369" s="1">
        <v>14.6249873730973</v>
      </c>
      <c r="Q369" s="1">
        <v>41.339476336168097</v>
      </c>
      <c r="R369" s="1">
        <v>0.96777340557574298</v>
      </c>
      <c r="S369" s="1">
        <v>14.917855865416101</v>
      </c>
      <c r="T369" s="7"/>
      <c r="U369" s="1"/>
      <c r="V369" s="1"/>
      <c r="W369" s="8"/>
      <c r="X369" s="7"/>
      <c r="Y369" s="1"/>
      <c r="Z369" s="1"/>
      <c r="AA369" s="8"/>
      <c r="AB369" s="7">
        <v>4</v>
      </c>
      <c r="AC369" s="1">
        <v>3.2658179012345599E-2</v>
      </c>
      <c r="AD369" s="1">
        <v>36.710042617130803</v>
      </c>
      <c r="AE369" s="1">
        <v>0.94222662565568405</v>
      </c>
      <c r="AF369" s="1">
        <v>12.382722660691201</v>
      </c>
      <c r="AG369" s="1">
        <v>39.248896426352097</v>
      </c>
      <c r="AH369" s="1">
        <v>0.94315210696426399</v>
      </c>
      <c r="AI369" s="1">
        <v>12.4528562701688</v>
      </c>
      <c r="AJ369" s="1">
        <v>33.277530908584502</v>
      </c>
      <c r="AK369" s="1">
        <v>24.654285192489599</v>
      </c>
      <c r="AL369" s="7"/>
      <c r="AM369" s="1"/>
      <c r="AN369" s="1"/>
      <c r="AO369" s="8"/>
      <c r="AP369" s="1"/>
      <c r="AQ369" s="1"/>
      <c r="AR369" s="1"/>
      <c r="AS369" s="8"/>
      <c r="AT369" s="7">
        <v>0.04</v>
      </c>
      <c r="AU369" s="1">
        <v>6.63618827160493E-2</v>
      </c>
      <c r="AV369" s="1">
        <v>37.509652221590699</v>
      </c>
      <c r="AW369" s="1">
        <v>0.97033164043393905</v>
      </c>
      <c r="AX369" s="1">
        <v>15.277064661908501</v>
      </c>
      <c r="AY369" s="1">
        <v>40.025029684637403</v>
      </c>
      <c r="AZ369" s="1">
        <v>0.97390423361786005</v>
      </c>
      <c r="BA369" s="1">
        <v>15.8342994423304</v>
      </c>
      <c r="BB369" s="1">
        <v>33.935214757919297</v>
      </c>
      <c r="BC369" s="1">
        <v>26.261017322540201</v>
      </c>
      <c r="BD369" s="7"/>
      <c r="BE369" s="1"/>
      <c r="BF369" s="1"/>
      <c r="BG369" s="8"/>
      <c r="BH369" s="1"/>
      <c r="BI369" s="1"/>
      <c r="BJ369" s="1"/>
      <c r="BK369" s="8"/>
    </row>
    <row r="370" spans="1:63">
      <c r="A370" s="49"/>
      <c r="B370" s="7" t="s">
        <v>82</v>
      </c>
      <c r="C370" s="17">
        <v>1.5</v>
      </c>
      <c r="D370" s="7">
        <v>28</v>
      </c>
      <c r="E370" s="1">
        <v>1.39328125</v>
      </c>
      <c r="F370" s="1">
        <v>35.791506132551298</v>
      </c>
      <c r="G370" s="1">
        <v>0.98961330259129798</v>
      </c>
      <c r="H370" s="1">
        <v>19.835225203138499</v>
      </c>
      <c r="I370" s="1">
        <v>39.0705584534454</v>
      </c>
      <c r="J370" s="1">
        <v>0.99292713997494397</v>
      </c>
      <c r="K370" s="8">
        <v>21.5040493670726</v>
      </c>
      <c r="L370" s="7">
        <v>24</v>
      </c>
      <c r="M370" s="1">
        <v>1.49853190104166</v>
      </c>
      <c r="N370" s="1">
        <v>37.572870810243302</v>
      </c>
      <c r="O370" s="1">
        <v>0.99294217382205896</v>
      </c>
      <c r="P370" s="1">
        <v>21.513290417667399</v>
      </c>
      <c r="Q370" s="1">
        <v>40.936425865917698</v>
      </c>
      <c r="R370" s="1">
        <v>0.99522594762995198</v>
      </c>
      <c r="S370" s="1">
        <v>23.211128212115501</v>
      </c>
      <c r="T370" s="13">
        <f>bdrate(E370:E373,F370:F373,M370:M373,N370:N373)</f>
        <v>-0.25169744885148315</v>
      </c>
      <c r="U370" s="12">
        <f>bdrate(E370:E373,H370:H373,M370:M373,P370:P373)</f>
        <v>-0.23213367727917122</v>
      </c>
      <c r="V370" s="12">
        <f>bdrate(E370:E373,I370:I373,M370:M373,Q370:Q373)</f>
        <v>-0.26464769904896401</v>
      </c>
      <c r="W370" s="14">
        <f>bdrate(E370:E373,K370:K373,M370:M373,S370:S373)</f>
        <v>-0.19847200290183686</v>
      </c>
      <c r="X370" s="13">
        <f>bdrate(E372:E375,F372:F375,M372:M375,N372:N375)</f>
        <v>-0.26524445281685538</v>
      </c>
      <c r="Y370" s="12">
        <f>bdrate(E372:E375,H372:H375,M372:M375,P372:P375)</f>
        <v>-0.23579837977002349</v>
      </c>
      <c r="Z370" s="12">
        <f>bdrate(E372:E375,I372:I375,M372:M375,Q372:Q375)</f>
        <v>-0.28540687848108059</v>
      </c>
      <c r="AA370" s="14">
        <f>bdrate(E372:E375,K372:K375,M372:M375,S372:S375)</f>
        <v>-0.2000667222607162</v>
      </c>
      <c r="AB370" s="7"/>
      <c r="AC370" s="1"/>
      <c r="AD370" s="1"/>
      <c r="AE370" s="1"/>
      <c r="AF370" s="1"/>
      <c r="AG370" s="1"/>
      <c r="AH370" s="1"/>
      <c r="AI370" s="1"/>
      <c r="AJ370" s="1"/>
      <c r="AK370" s="1"/>
      <c r="AL370" s="13" t="e">
        <f>bdrate(E370:E373,F370:F373,AC370:AC373,AD370:AD373)</f>
        <v>#VALUE!</v>
      </c>
      <c r="AM370" s="12" t="e">
        <f>bdrate(E370:E373,H370:H373,AC370:AC373,AF370:AF373)</f>
        <v>#VALUE!</v>
      </c>
      <c r="AN370" s="12" t="e">
        <f>bdrate(E370:E373,I370:I373,AC370:AC373,AG370:AG373)</f>
        <v>#VALUE!</v>
      </c>
      <c r="AO370" s="14" t="e">
        <f>bdrate(E370:E373,K370:K373,AC370:AC373,AI370:AI373)</f>
        <v>#VALUE!</v>
      </c>
      <c r="AP370" s="12">
        <f>bdrate(E372:E375,F372:F375,AC372:AC375,AD372:AD375)</f>
        <v>-0.28306003077053321</v>
      </c>
      <c r="AQ370" s="12">
        <f>bdrate(E372:E375,H372:H375,AC372:AC375,AF372:AF375)</f>
        <v>-0.31817565348888954</v>
      </c>
      <c r="AR370" s="12">
        <f>bdrate(E372:E375,I372:I375,AC372:AC375,AG372:AG375)</f>
        <v>-0.2883505551236446</v>
      </c>
      <c r="AS370" s="14">
        <f>bdrate(E372:E375,K372:K375,AC372:AC375,AI372:AI375)</f>
        <v>-0.22485284790882565</v>
      </c>
      <c r="AT370" s="7"/>
      <c r="AU370" s="1"/>
      <c r="AV370" s="1"/>
      <c r="AW370" s="1"/>
      <c r="AX370" s="1"/>
      <c r="AY370" s="1"/>
      <c r="AZ370" s="1"/>
      <c r="BA370" s="1"/>
      <c r="BB370" s="1"/>
      <c r="BC370" s="1"/>
      <c r="BD370" s="13" t="e">
        <f>bdrate(E370:E373,F370:F373,AU370:AU373,AV370:AV373)</f>
        <v>#VALUE!</v>
      </c>
      <c r="BE370" s="12" t="e">
        <f>bdrate(E370:E373,H370:H373,AU370:AU373,AX370:AX373)</f>
        <v>#VALUE!</v>
      </c>
      <c r="BF370" s="12" t="e">
        <f>bdrate(E370:E373,I370:I373,AU370:AU373,AY370:AY373)</f>
        <v>#VALUE!</v>
      </c>
      <c r="BG370" s="14" t="e">
        <f>bdrate(E370:E373,K370:K373,AU370:AU373,BA370:BA373)</f>
        <v>#VALUE!</v>
      </c>
      <c r="BH370" s="12">
        <f>bdrate(E372:E375,F372:F375,AU372:AU375,AV372:AV375)</f>
        <v>-7.5862722676384942E-2</v>
      </c>
      <c r="BI370" s="12">
        <f>bdrate(E372:E375,H372:H375,AU372:AU375,AX372:AX375)</f>
        <v>-0.50398563079775727</v>
      </c>
      <c r="BJ370" s="12">
        <f>bdrate(E372:E375,I372:I375,AU372:AU375,AY372:AY375)</f>
        <v>-2.0434645871571844E-2</v>
      </c>
      <c r="BK370" s="14">
        <f>bdrate(E372:E375,K372:K375,AU372:AU375,BA372:BA375)</f>
        <v>-0.43236737534730363</v>
      </c>
    </row>
    <row r="371" spans="1:63">
      <c r="A371" s="49"/>
      <c r="B371" s="7" t="s">
        <v>18</v>
      </c>
      <c r="C371" s="17">
        <v>1</v>
      </c>
      <c r="D371" s="7">
        <v>31</v>
      </c>
      <c r="E371" s="1">
        <v>0.974244791666666</v>
      </c>
      <c r="F371" s="1">
        <v>33.8415466825005</v>
      </c>
      <c r="G371" s="1">
        <v>0.98489199349721901</v>
      </c>
      <c r="H371" s="1">
        <v>18.207928369156601</v>
      </c>
      <c r="I371" s="1">
        <v>37.091973983198898</v>
      </c>
      <c r="J371" s="1">
        <v>0.98954421100972101</v>
      </c>
      <c r="K371" s="8">
        <v>19.806431898959801</v>
      </c>
      <c r="L371" s="7">
        <v>28</v>
      </c>
      <c r="M371" s="1">
        <v>0.94032877604166598</v>
      </c>
      <c r="N371" s="1">
        <v>35.064429592436497</v>
      </c>
      <c r="O371" s="1">
        <v>0.987880719449859</v>
      </c>
      <c r="P371" s="1">
        <v>19.165231608939798</v>
      </c>
      <c r="Q371" s="1">
        <v>38.389375717756202</v>
      </c>
      <c r="R371" s="1">
        <v>0.99135921350134504</v>
      </c>
      <c r="S371" s="1">
        <v>20.634467255211302</v>
      </c>
      <c r="T371" s="7"/>
      <c r="U371" s="1"/>
      <c r="V371" s="1"/>
      <c r="W371" s="8"/>
      <c r="X371" s="7"/>
      <c r="Y371" s="1"/>
      <c r="Z371" s="1"/>
      <c r="AA371" s="8"/>
      <c r="AB371" s="7">
        <v>64</v>
      </c>
      <c r="AC371" s="1">
        <v>0.98735351562499996</v>
      </c>
      <c r="AD371" s="1">
        <v>35.376028757311303</v>
      </c>
      <c r="AE371" s="1">
        <v>0.98984985527632496</v>
      </c>
      <c r="AF371" s="1">
        <v>19.9352776541132</v>
      </c>
      <c r="AG371" s="1">
        <v>38.675110658005302</v>
      </c>
      <c r="AH371" s="1">
        <v>0.99299686452204905</v>
      </c>
      <c r="AI371" s="1">
        <v>21.547074720016699</v>
      </c>
      <c r="AJ371" s="1">
        <v>78.013523340225206</v>
      </c>
      <c r="AK371" s="1">
        <v>38.801910638809197</v>
      </c>
      <c r="AL371" s="7"/>
      <c r="AM371" s="1"/>
      <c r="AN371" s="1"/>
      <c r="AO371" s="8"/>
      <c r="AP371" s="1"/>
      <c r="AQ371" s="1"/>
      <c r="AR371" s="1"/>
      <c r="AS371" s="8"/>
      <c r="AT371" s="7">
        <v>0.64</v>
      </c>
      <c r="AU371" s="1">
        <v>0.63661783854166598</v>
      </c>
      <c r="AV371" s="1">
        <v>31.126807913134201</v>
      </c>
      <c r="AW371" s="1">
        <v>0.99065830356075302</v>
      </c>
      <c r="AX371" s="1">
        <v>20.2957424932635</v>
      </c>
      <c r="AY371" s="1">
        <v>34.126826720805198</v>
      </c>
      <c r="AZ371" s="1">
        <v>0.99294082126581296</v>
      </c>
      <c r="BA371" s="1">
        <v>21.512458218883602</v>
      </c>
      <c r="BB371" s="1">
        <v>43.626041173934901</v>
      </c>
      <c r="BC371" s="1">
        <v>28.577830076217602</v>
      </c>
      <c r="BD371" s="7"/>
      <c r="BE371" s="1"/>
      <c r="BF371" s="1"/>
      <c r="BG371" s="8"/>
      <c r="BH371" s="1"/>
      <c r="BI371" s="1"/>
      <c r="BJ371" s="1"/>
      <c r="BK371" s="8"/>
    </row>
    <row r="372" spans="1:63">
      <c r="A372" s="49"/>
      <c r="B372" s="7" t="s">
        <v>18</v>
      </c>
      <c r="C372" s="17">
        <v>0.5</v>
      </c>
      <c r="D372" s="7">
        <v>37</v>
      </c>
      <c r="E372" s="1">
        <v>0.447626953125</v>
      </c>
      <c r="F372" s="1">
        <v>30.078061229503799</v>
      </c>
      <c r="G372" s="1">
        <v>0.96816064041690497</v>
      </c>
      <c r="H372" s="1">
        <v>14.9703567624609</v>
      </c>
      <c r="I372" s="1">
        <v>33.288415174080598</v>
      </c>
      <c r="J372" s="1">
        <v>0.97740083483642204</v>
      </c>
      <c r="K372" s="8">
        <v>16.459076038414501</v>
      </c>
      <c r="L372" s="7">
        <v>34</v>
      </c>
      <c r="M372" s="1">
        <v>0.45066406250000002</v>
      </c>
      <c r="N372" s="1">
        <v>31.473405344192301</v>
      </c>
      <c r="O372" s="1">
        <v>0.975341185021389</v>
      </c>
      <c r="P372" s="1">
        <v>16.080277980004698</v>
      </c>
      <c r="Q372" s="1">
        <v>34.787260172900602</v>
      </c>
      <c r="R372" s="1">
        <v>0.98190283471412698</v>
      </c>
      <c r="S372" s="1">
        <v>17.423894470709801</v>
      </c>
      <c r="T372" s="7"/>
      <c r="U372" s="1"/>
      <c r="V372" s="1"/>
      <c r="W372" s="8"/>
      <c r="X372" s="7"/>
      <c r="Y372" s="1"/>
      <c r="Z372" s="1"/>
      <c r="AA372" s="8"/>
      <c r="AB372" s="7">
        <v>32</v>
      </c>
      <c r="AC372" s="1">
        <v>0.72315429687499999</v>
      </c>
      <c r="AD372" s="1">
        <v>33.860146631610199</v>
      </c>
      <c r="AE372" s="1">
        <v>0.98608626993487103</v>
      </c>
      <c r="AF372" s="1">
        <v>18.5655642647516</v>
      </c>
      <c r="AG372" s="1">
        <v>37.093520713584397</v>
      </c>
      <c r="AH372" s="1">
        <v>0.98991577796156205</v>
      </c>
      <c r="AI372" s="1">
        <v>19.963576004205699</v>
      </c>
      <c r="AJ372" s="1">
        <v>66.997281551360999</v>
      </c>
      <c r="AK372" s="1">
        <v>36.439132928848203</v>
      </c>
      <c r="AL372" s="7"/>
      <c r="AM372" s="1"/>
      <c r="AN372" s="1"/>
      <c r="AO372" s="8"/>
      <c r="AP372" s="1"/>
      <c r="AQ372" s="1"/>
      <c r="AR372" s="1"/>
      <c r="AS372" s="8"/>
      <c r="AT372" s="7">
        <v>0.32</v>
      </c>
      <c r="AU372" s="1">
        <v>0.47655273437500001</v>
      </c>
      <c r="AV372" s="1">
        <v>30.286374677292802</v>
      </c>
      <c r="AW372" s="1">
        <v>0.98680089207780197</v>
      </c>
      <c r="AX372" s="1">
        <v>18.794554201243901</v>
      </c>
      <c r="AY372" s="1">
        <v>33.2826181995596</v>
      </c>
      <c r="AZ372" s="1">
        <v>0.98973058952422399</v>
      </c>
      <c r="BA372" s="1">
        <v>19.884544867305099</v>
      </c>
      <c r="BB372" s="1">
        <v>55.249248981475802</v>
      </c>
      <c r="BC372" s="1">
        <v>34.4624922275543</v>
      </c>
      <c r="BD372" s="7"/>
      <c r="BE372" s="1"/>
      <c r="BF372" s="1"/>
      <c r="BG372" s="8"/>
      <c r="BH372" s="1"/>
      <c r="BI372" s="1"/>
      <c r="BJ372" s="1"/>
      <c r="BK372" s="8"/>
    </row>
    <row r="373" spans="1:63">
      <c r="A373" s="49"/>
      <c r="B373" s="7" t="s">
        <v>18</v>
      </c>
      <c r="C373" s="17">
        <v>0.25</v>
      </c>
      <c r="D373" s="7">
        <v>42</v>
      </c>
      <c r="E373" s="1">
        <v>0.214840494791666</v>
      </c>
      <c r="F373" s="1">
        <v>27.183362114748501</v>
      </c>
      <c r="G373" s="1">
        <v>0.94065769912383501</v>
      </c>
      <c r="H373" s="1">
        <v>12.2663561881376</v>
      </c>
      <c r="I373" s="1">
        <v>30.3778239823822</v>
      </c>
      <c r="J373" s="1">
        <v>0.95619439778568804</v>
      </c>
      <c r="K373" s="8">
        <v>13.5847034485711</v>
      </c>
      <c r="L373" s="7">
        <v>39</v>
      </c>
      <c r="M373" s="1">
        <v>0.227932942708333</v>
      </c>
      <c r="N373" s="1">
        <v>28.5751817846111</v>
      </c>
      <c r="O373" s="1">
        <v>0.95506843211986103</v>
      </c>
      <c r="P373" s="1">
        <v>13.474484265035199</v>
      </c>
      <c r="Q373" s="1">
        <v>31.8803189062005</v>
      </c>
      <c r="R373" s="1">
        <v>0.96599512695355105</v>
      </c>
      <c r="S373" s="1">
        <v>14.684588422067</v>
      </c>
      <c r="T373" s="7"/>
      <c r="U373" s="1"/>
      <c r="V373" s="1"/>
      <c r="W373" s="8"/>
      <c r="X373" s="7"/>
      <c r="Y373" s="1"/>
      <c r="Z373" s="1"/>
      <c r="AA373" s="8"/>
      <c r="AB373" s="7">
        <v>16</v>
      </c>
      <c r="AC373" s="1">
        <v>0.49913085937500001</v>
      </c>
      <c r="AD373" s="1">
        <v>32.090085815531303</v>
      </c>
      <c r="AE373" s="1">
        <v>0.97992860452451602</v>
      </c>
      <c r="AF373" s="1">
        <v>16.9742243188552</v>
      </c>
      <c r="AG373" s="1">
        <v>35.299697175322201</v>
      </c>
      <c r="AH373" s="1">
        <v>0.98465764542657996</v>
      </c>
      <c r="AI373" s="1">
        <v>18.141079846000501</v>
      </c>
      <c r="AJ373" s="1">
        <v>36.3888385295867</v>
      </c>
      <c r="AK373" s="1">
        <v>24.1983079910278</v>
      </c>
      <c r="AL373" s="7"/>
      <c r="AM373" s="1"/>
      <c r="AN373" s="1"/>
      <c r="AO373" s="8"/>
      <c r="AP373" s="1"/>
      <c r="AQ373" s="1"/>
      <c r="AR373" s="1"/>
      <c r="AS373" s="8"/>
      <c r="AT373" s="7">
        <v>0.16</v>
      </c>
      <c r="AU373" s="1">
        <v>0.33211914062499998</v>
      </c>
      <c r="AV373" s="1">
        <v>29.082746904509101</v>
      </c>
      <c r="AW373" s="1">
        <v>0.97980625311580005</v>
      </c>
      <c r="AX373" s="1">
        <v>16.947830916478701</v>
      </c>
      <c r="AY373" s="1">
        <v>32.071900482372399</v>
      </c>
      <c r="AZ373" s="1">
        <v>0.98390105208400802</v>
      </c>
      <c r="BA373" s="1">
        <v>17.932025046643499</v>
      </c>
      <c r="BB373" s="1">
        <v>44.637427330016997</v>
      </c>
      <c r="BC373" s="1">
        <v>33.404803752899099</v>
      </c>
      <c r="BD373" s="7"/>
      <c r="BE373" s="1"/>
      <c r="BF373" s="1"/>
      <c r="BG373" s="8"/>
      <c r="BH373" s="1"/>
      <c r="BI373" s="1"/>
      <c r="BJ373" s="1"/>
      <c r="BK373" s="8"/>
    </row>
    <row r="374" spans="1:63">
      <c r="A374" s="49"/>
      <c r="B374" s="7" t="s">
        <v>18</v>
      </c>
      <c r="C374" s="17">
        <v>0.12</v>
      </c>
      <c r="D374" s="7">
        <v>46</v>
      </c>
      <c r="E374" s="1">
        <v>0.116009114583333</v>
      </c>
      <c r="F374" s="1">
        <v>25.168919934682801</v>
      </c>
      <c r="G374" s="1">
        <v>0.90551766971655201</v>
      </c>
      <c r="H374" s="1">
        <v>10.246494039554801</v>
      </c>
      <c r="I374" s="1">
        <v>28.338927407501799</v>
      </c>
      <c r="J374" s="1">
        <v>0.92659086512796696</v>
      </c>
      <c r="K374" s="8">
        <v>11.3424989406662</v>
      </c>
      <c r="L374" s="7">
        <v>44</v>
      </c>
      <c r="M374" s="1">
        <v>0.109039713541666</v>
      </c>
      <c r="N374" s="1">
        <v>25.935305208631799</v>
      </c>
      <c r="O374" s="1">
        <v>0.91846534033595595</v>
      </c>
      <c r="P374" s="1">
        <v>10.8865773725949</v>
      </c>
      <c r="Q374" s="1">
        <v>29.214047033593602</v>
      </c>
      <c r="R374" s="1">
        <v>0.93553545967872798</v>
      </c>
      <c r="S374" s="1">
        <v>11.906791098222399</v>
      </c>
      <c r="T374" s="7"/>
      <c r="U374" s="1"/>
      <c r="V374" s="1"/>
      <c r="W374" s="8"/>
      <c r="X374" s="7"/>
      <c r="Y374" s="1"/>
      <c r="Z374" s="1"/>
      <c r="AA374" s="8"/>
      <c r="AB374" s="7">
        <v>8</v>
      </c>
      <c r="AC374" s="1">
        <v>0.34349283854166601</v>
      </c>
      <c r="AD374" s="1">
        <v>30.382886087801701</v>
      </c>
      <c r="AE374" s="1">
        <v>0.97196879731003905</v>
      </c>
      <c r="AF374" s="1">
        <v>15.5235826826154</v>
      </c>
      <c r="AG374" s="1">
        <v>33.611037212772203</v>
      </c>
      <c r="AH374" s="1">
        <v>0.97774995682643095</v>
      </c>
      <c r="AI374" s="1">
        <v>16.526691419853201</v>
      </c>
      <c r="AJ374" s="1">
        <v>42.051054716110201</v>
      </c>
      <c r="AK374" s="1">
        <v>29.6278426647186</v>
      </c>
      <c r="AL374" s="7"/>
      <c r="AM374" s="1"/>
      <c r="AN374" s="1"/>
      <c r="AO374" s="8"/>
      <c r="AP374" s="1"/>
      <c r="AQ374" s="1"/>
      <c r="AR374" s="1"/>
      <c r="AS374" s="8"/>
      <c r="AT374" s="7">
        <v>0.08</v>
      </c>
      <c r="AU374" s="1">
        <v>0.227568359375</v>
      </c>
      <c r="AV374" s="1">
        <v>27.746866364873298</v>
      </c>
      <c r="AW374" s="1">
        <v>0.969691336351857</v>
      </c>
      <c r="AX374" s="1">
        <v>15.184332118683299</v>
      </c>
      <c r="AY374" s="1">
        <v>30.7502714397997</v>
      </c>
      <c r="AZ374" s="1">
        <v>0.97546467134007497</v>
      </c>
      <c r="BA374" s="1">
        <v>16.1020812010672</v>
      </c>
      <c r="BB374" s="1">
        <v>41.145942211151102</v>
      </c>
      <c r="BC374" s="1">
        <v>30.085040807723999</v>
      </c>
      <c r="BD374" s="7"/>
      <c r="BE374" s="1"/>
      <c r="BF374" s="1"/>
      <c r="BG374" s="8"/>
      <c r="BH374" s="1"/>
      <c r="BI374" s="1"/>
      <c r="BJ374" s="1"/>
      <c r="BK374" s="8"/>
    </row>
    <row r="375" spans="1:63">
      <c r="A375" s="49"/>
      <c r="B375" s="7" t="s">
        <v>18</v>
      </c>
      <c r="C375" s="17">
        <v>0.06</v>
      </c>
      <c r="D375" s="7">
        <v>51</v>
      </c>
      <c r="E375" s="1">
        <v>5.32063802083333E-2</v>
      </c>
      <c r="F375" s="1">
        <v>22.935995824139699</v>
      </c>
      <c r="G375" s="1">
        <v>0.83910961877144297</v>
      </c>
      <c r="H375" s="1">
        <v>7.9346991925851897</v>
      </c>
      <c r="I375" s="1">
        <v>26.098155211388299</v>
      </c>
      <c r="J375" s="1">
        <v>0.86639466022776201</v>
      </c>
      <c r="K375" s="8">
        <v>8.7417618417129308</v>
      </c>
      <c r="L375" s="7">
        <v>48</v>
      </c>
      <c r="M375" s="1">
        <v>5.8802083333333303E-2</v>
      </c>
      <c r="N375" s="1">
        <v>24.0195851582979</v>
      </c>
      <c r="O375" s="1">
        <v>0.87173813640077202</v>
      </c>
      <c r="P375" s="1">
        <v>8.9190245422868593</v>
      </c>
      <c r="Q375" s="1">
        <v>27.265936355023101</v>
      </c>
      <c r="R375" s="1">
        <v>0.89378689824780799</v>
      </c>
      <c r="S375" s="1">
        <v>9.7382190822890102</v>
      </c>
      <c r="T375" s="7"/>
      <c r="U375" s="1"/>
      <c r="V375" s="1"/>
      <c r="W375" s="8"/>
      <c r="X375" s="7"/>
      <c r="Y375" s="1"/>
      <c r="Z375" s="1"/>
      <c r="AA375" s="8"/>
      <c r="AB375" s="7">
        <v>4</v>
      </c>
      <c r="AC375" s="1">
        <v>0.23908528645833299</v>
      </c>
      <c r="AD375" s="1">
        <v>28.8178391476246</v>
      </c>
      <c r="AE375" s="1">
        <v>0.95977374939220095</v>
      </c>
      <c r="AF375" s="1">
        <v>13.954904450879001</v>
      </c>
      <c r="AG375" s="1">
        <v>32.066468838095297</v>
      </c>
      <c r="AH375" s="1">
        <v>0.96722294590518398</v>
      </c>
      <c r="AI375" s="1">
        <v>14.844300821217599</v>
      </c>
      <c r="AJ375" s="1">
        <v>40.105056762695298</v>
      </c>
      <c r="AK375" s="1">
        <v>29.3990764617919</v>
      </c>
      <c r="AL375" s="7"/>
      <c r="AM375" s="1"/>
      <c r="AN375" s="1"/>
      <c r="AO375" s="8"/>
      <c r="AP375" s="1"/>
      <c r="AQ375" s="1"/>
      <c r="AR375" s="1"/>
      <c r="AS375" s="8"/>
      <c r="AT375" s="7">
        <v>0.04</v>
      </c>
      <c r="AU375" s="1">
        <v>0.15391601562500001</v>
      </c>
      <c r="AV375" s="1">
        <v>26.407818796241301</v>
      </c>
      <c r="AW375" s="1">
        <v>0.95517130623368296</v>
      </c>
      <c r="AX375" s="1">
        <v>13.484439155697601</v>
      </c>
      <c r="AY375" s="1">
        <v>29.390536712939898</v>
      </c>
      <c r="AZ375" s="1">
        <v>0.96322882721996095</v>
      </c>
      <c r="BA375" s="1">
        <v>14.3449251851904</v>
      </c>
      <c r="BB375" s="1">
        <v>41.045214653015101</v>
      </c>
      <c r="BC375" s="1">
        <v>31.120257854461599</v>
      </c>
      <c r="BD375" s="7"/>
      <c r="BE375" s="1"/>
      <c r="BF375" s="1"/>
      <c r="BG375" s="8"/>
      <c r="BH375" s="1"/>
      <c r="BI375" s="1"/>
      <c r="BJ375" s="1"/>
      <c r="BK375" s="8"/>
    </row>
    <row r="376" spans="1:63">
      <c r="A376" s="49"/>
      <c r="B376" s="7" t="s">
        <v>83</v>
      </c>
      <c r="C376" s="17">
        <v>1.5</v>
      </c>
      <c r="D376" s="7">
        <v>17</v>
      </c>
      <c r="E376" s="1">
        <v>1.4264496527777699</v>
      </c>
      <c r="F376" s="1">
        <v>44.651936318318199</v>
      </c>
      <c r="G376" s="1">
        <v>0.994965428320568</v>
      </c>
      <c r="H376" s="1">
        <v>22.980374715198401</v>
      </c>
      <c r="I376" s="1">
        <v>48.362848799529203</v>
      </c>
      <c r="J376" s="1">
        <v>0.99780298679565405</v>
      </c>
      <c r="K376" s="8">
        <v>26.581673329033499</v>
      </c>
      <c r="L376" s="7">
        <v>15</v>
      </c>
      <c r="M376" s="1">
        <v>1.40772135416666</v>
      </c>
      <c r="N376" s="1">
        <v>44.905571676736102</v>
      </c>
      <c r="O376" s="1">
        <v>0.99506867539266697</v>
      </c>
      <c r="P376" s="1">
        <v>23.0703640883909</v>
      </c>
      <c r="Q376" s="1">
        <v>48.728267800074399</v>
      </c>
      <c r="R376" s="1">
        <v>0.99802732630644397</v>
      </c>
      <c r="S376" s="1">
        <v>27.049447468857799</v>
      </c>
      <c r="T376" s="13">
        <f>bdrate(E376:E379,F376:F379,M376:M379,N376:N379)</f>
        <v>-0.15375804308282348</v>
      </c>
      <c r="U376" s="12">
        <f>bdrate(E376:E379,H376:H379,M376:M379,P376:P379)</f>
        <v>-0.11062043019064205</v>
      </c>
      <c r="V376" s="12">
        <f>bdrate(E376:E379,I376:I379,M376:M379,Q376:Q379)</f>
        <v>-0.17147098379436043</v>
      </c>
      <c r="W376" s="14">
        <f>bdrate(E376:E379,K376:K379,M376:M379,S376:S379)</f>
        <v>-0.13997569736864435</v>
      </c>
      <c r="X376" s="13">
        <f>bdrate(E378:E381,F378:F381,M378:M381,N378:N381)</f>
        <v>-0.30547281113235247</v>
      </c>
      <c r="Y376" s="12">
        <f>bdrate(E378:E381,H378:H381,M378:M381,P378:P381)</f>
        <v>-0.26568305455131058</v>
      </c>
      <c r="Z376" s="12">
        <f>bdrate(E378:E381,I378:I381,M378:M381,Q378:Q381)</f>
        <v>-0.3070514087860754</v>
      </c>
      <c r="AA376" s="14">
        <f>bdrate(E378:E381,K378:K381,M378:M381,S378:S381)</f>
        <v>-0.27102364569427051</v>
      </c>
      <c r="AB376" s="7"/>
      <c r="AC376" s="1"/>
      <c r="AD376" s="1"/>
      <c r="AE376" s="1"/>
      <c r="AF376" s="1"/>
      <c r="AG376" s="1"/>
      <c r="AH376" s="1"/>
      <c r="AI376" s="1"/>
      <c r="AJ376" s="1"/>
      <c r="AK376" s="1"/>
      <c r="AL376" s="13" t="e">
        <f>bdrate(E376:E379,F376:F379,AC376:AC379,AD376:AD379)</f>
        <v>#VALUE!</v>
      </c>
      <c r="AM376" s="12" t="e">
        <f>bdrate(E376:E379,H376:H379,AC376:AC379,AF376:AF379)</f>
        <v>#VALUE!</v>
      </c>
      <c r="AN376" s="12" t="e">
        <f>bdrate(E376:E379,I376:I379,AC376:AC379,AG376:AG379)</f>
        <v>#VALUE!</v>
      </c>
      <c r="AO376" s="14" t="e">
        <f>bdrate(E376:E379,K376:K379,AC376:AC379,AI376:AI379)</f>
        <v>#VALUE!</v>
      </c>
      <c r="AP376" s="12">
        <f>bdrate(E378:E381,F378:F381,AC378:AC381,AD378:AD381)</f>
        <v>-0.18548019300714202</v>
      </c>
      <c r="AQ376" s="12">
        <f>bdrate(E378:E381,H378:H381,AC378:AC381,AF378:AF381)</f>
        <v>-0.24085593698400176</v>
      </c>
      <c r="AR376" s="12">
        <f>bdrate(E378:E381,I378:I381,AC378:AC381,AG378:AG381)</f>
        <v>-0.14655549184400429</v>
      </c>
      <c r="AS376" s="14">
        <f>bdrate(E378:E381,K378:K381,AC378:AC381,AI378:AI381)</f>
        <v>-0.16683839854824001</v>
      </c>
      <c r="AT376" s="7"/>
      <c r="AU376" s="1"/>
      <c r="AV376" s="1"/>
      <c r="AW376" s="1"/>
      <c r="AX376" s="1"/>
      <c r="AY376" s="1"/>
      <c r="AZ376" s="1"/>
      <c r="BA376" s="1"/>
      <c r="BB376" s="1"/>
      <c r="BC376" s="1"/>
      <c r="BD376" s="13" t="e">
        <f>bdrate(E376:E379,F376:F379,AU376:AU379,AV376:AV379)</f>
        <v>#VALUE!</v>
      </c>
      <c r="BE376" s="12" t="e">
        <f>bdrate(E376:E379,H376:H379,AU376:AU379,AX376:AX379)</f>
        <v>#VALUE!</v>
      </c>
      <c r="BF376" s="12" t="e">
        <f>bdrate(E376:E379,I376:I379,AU376:AU379,AY376:AY379)</f>
        <v>#VALUE!</v>
      </c>
      <c r="BG376" s="14" t="e">
        <f>bdrate(E376:E379,K376:K379,AU376:AU379,BA376:BA379)</f>
        <v>#VALUE!</v>
      </c>
      <c r="BH376" s="12">
        <f>bdrate(E378:E381,F378:F381,AU378:AU381,AV378:AV381)</f>
        <v>0.45894650142654614</v>
      </c>
      <c r="BI376" s="12">
        <f>bdrate(E378:E381,H378:H381,AU378:AU381,AX378:AX381)</f>
        <v>-0.53173634933433012</v>
      </c>
      <c r="BJ376" s="12">
        <f>bdrate(E378:E381,I378:I381,AU378:AU381,AY378:AY381)</f>
        <v>0.73390466097983187</v>
      </c>
      <c r="BK376" s="14">
        <f>bdrate(E378:E381,K378:K381,AU378:AU381,BA378:BA381)</f>
        <v>-0.42751990121942229</v>
      </c>
    </row>
    <row r="377" spans="1:63">
      <c r="A377" s="49"/>
      <c r="B377" s="7" t="s">
        <v>18</v>
      </c>
      <c r="C377" s="17">
        <v>1</v>
      </c>
      <c r="D377" s="7">
        <v>20</v>
      </c>
      <c r="E377" s="1">
        <v>0.85389973958333298</v>
      </c>
      <c r="F377" s="1">
        <v>43.181036862246401</v>
      </c>
      <c r="G377" s="1">
        <v>0.99189495873853695</v>
      </c>
      <c r="H377" s="1">
        <v>20.9124476988639</v>
      </c>
      <c r="I377" s="1">
        <v>46.821910230733501</v>
      </c>
      <c r="J377" s="1">
        <v>0.99626770503810902</v>
      </c>
      <c r="K377" s="8">
        <v>24.280240414369</v>
      </c>
      <c r="L377" s="7">
        <v>17</v>
      </c>
      <c r="M377" s="1">
        <v>0.98729600694444397</v>
      </c>
      <c r="N377" s="1">
        <v>43.858501108281096</v>
      </c>
      <c r="O377" s="1">
        <v>0.99324998360581596</v>
      </c>
      <c r="P377" s="1">
        <v>21.706951723697198</v>
      </c>
      <c r="Q377" s="1">
        <v>47.559421308124598</v>
      </c>
      <c r="R377" s="1">
        <v>0.99704513215511903</v>
      </c>
      <c r="S377" s="1">
        <v>25.294619379714302</v>
      </c>
      <c r="T377" s="7"/>
      <c r="U377" s="1"/>
      <c r="V377" s="1"/>
      <c r="W377" s="8"/>
      <c r="X377" s="7"/>
      <c r="Y377" s="1"/>
      <c r="Z377" s="1"/>
      <c r="AA377" s="8"/>
      <c r="AB377" s="7">
        <v>64</v>
      </c>
      <c r="AC377" s="1">
        <v>0.201907552083333</v>
      </c>
      <c r="AD377" s="1">
        <v>39.873869339309003</v>
      </c>
      <c r="AE377" s="1">
        <v>0.98035837387482805</v>
      </c>
      <c r="AF377" s="1">
        <v>17.068225599322499</v>
      </c>
      <c r="AG377" s="1">
        <v>43.814606780889498</v>
      </c>
      <c r="AH377" s="1">
        <v>0.99370215017349495</v>
      </c>
      <c r="AI377" s="1">
        <v>22.008076994152599</v>
      </c>
      <c r="AJ377" s="1">
        <v>120.841268062591</v>
      </c>
      <c r="AK377" s="1">
        <v>56.3398694992065</v>
      </c>
      <c r="AL377" s="7"/>
      <c r="AM377" s="1"/>
      <c r="AN377" s="1"/>
      <c r="AO377" s="8"/>
      <c r="AP377" s="1"/>
      <c r="AQ377" s="1"/>
      <c r="AR377" s="1"/>
      <c r="AS377" s="8"/>
      <c r="AT377" s="7">
        <v>0.64</v>
      </c>
      <c r="AU377" s="1">
        <v>0.41370876736111101</v>
      </c>
      <c r="AV377" s="1">
        <v>39.3193251048802</v>
      </c>
      <c r="AW377" s="1">
        <v>0.99136809327106601</v>
      </c>
      <c r="AX377" s="1">
        <v>20.638932610184</v>
      </c>
      <c r="AY377" s="1">
        <v>42.079524468575798</v>
      </c>
      <c r="AZ377" s="1">
        <v>0.99583183177877099</v>
      </c>
      <c r="BA377" s="1">
        <v>23.800547618589398</v>
      </c>
      <c r="BB377" s="1">
        <v>65.354102134704505</v>
      </c>
      <c r="BC377" s="1">
        <v>42.230162143707197</v>
      </c>
      <c r="BD377" s="7"/>
      <c r="BE377" s="1"/>
      <c r="BF377" s="1"/>
      <c r="BG377" s="8"/>
      <c r="BH377" s="1"/>
      <c r="BI377" s="1"/>
      <c r="BJ377" s="1"/>
      <c r="BK377" s="8"/>
    </row>
    <row r="378" spans="1:63">
      <c r="A378" s="49"/>
      <c r="B378" s="7" t="s">
        <v>18</v>
      </c>
      <c r="C378" s="17">
        <v>0.5</v>
      </c>
      <c r="D378" s="7">
        <v>24</v>
      </c>
      <c r="E378" s="1">
        <v>0.46372178819444398</v>
      </c>
      <c r="F378" s="1">
        <v>41.5702954750545</v>
      </c>
      <c r="G378" s="1">
        <v>0.986983914198442</v>
      </c>
      <c r="H378" s="1">
        <v>18.8551959720855</v>
      </c>
      <c r="I378" s="1">
        <v>45.307924784718097</v>
      </c>
      <c r="J378" s="1">
        <v>0.99463937989423301</v>
      </c>
      <c r="K378" s="8">
        <v>22.707849690879598</v>
      </c>
      <c r="L378" s="7">
        <v>21</v>
      </c>
      <c r="M378" s="1">
        <v>0.47907552083333299</v>
      </c>
      <c r="N378" s="1">
        <v>42.127996054171199</v>
      </c>
      <c r="O378" s="1">
        <v>0.98846976636335704</v>
      </c>
      <c r="P378" s="1">
        <v>19.3816189252519</v>
      </c>
      <c r="Q378" s="1">
        <v>45.894629449254602</v>
      </c>
      <c r="R378" s="1">
        <v>0.99512589697246501</v>
      </c>
      <c r="S378" s="1">
        <v>23.1210529504934</v>
      </c>
      <c r="T378" s="7"/>
      <c r="U378" s="1"/>
      <c r="V378" s="1"/>
      <c r="W378" s="8"/>
      <c r="X378" s="7"/>
      <c r="Y378" s="1"/>
      <c r="Z378" s="1"/>
      <c r="AA378" s="8"/>
      <c r="AB378" s="7">
        <v>32</v>
      </c>
      <c r="AC378" s="1">
        <v>0.148470052083333</v>
      </c>
      <c r="AD378" s="1">
        <v>39.059119388979703</v>
      </c>
      <c r="AE378" s="1">
        <v>0.97769744324541896</v>
      </c>
      <c r="AF378" s="1">
        <v>16.516453467833799</v>
      </c>
      <c r="AG378" s="1">
        <v>42.755261161675499</v>
      </c>
      <c r="AH378" s="1">
        <v>0.99224928024994596</v>
      </c>
      <c r="AI378" s="1">
        <v>21.1065796601466</v>
      </c>
      <c r="AJ378" s="1">
        <v>93.327273130416799</v>
      </c>
      <c r="AK378" s="1">
        <v>55.841958284378002</v>
      </c>
      <c r="AL378" s="7"/>
      <c r="AM378" s="1"/>
      <c r="AN378" s="1"/>
      <c r="AO378" s="8"/>
      <c r="AP378" s="1"/>
      <c r="AQ378" s="1"/>
      <c r="AR378" s="1"/>
      <c r="AS378" s="8"/>
      <c r="AT378" s="7">
        <v>0.32</v>
      </c>
      <c r="AU378" s="1">
        <v>0.236616753472222</v>
      </c>
      <c r="AV378" s="1">
        <v>38.155130286479398</v>
      </c>
      <c r="AW378" s="1">
        <v>0.98714103649521701</v>
      </c>
      <c r="AX378" s="1">
        <v>18.907940362558701</v>
      </c>
      <c r="AY378" s="1">
        <v>40.910484964990196</v>
      </c>
      <c r="AZ378" s="1">
        <v>0.99425593548472602</v>
      </c>
      <c r="BA378" s="1">
        <v>22.407806908984501</v>
      </c>
      <c r="BB378" s="1">
        <v>85.079482078552203</v>
      </c>
      <c r="BC378" s="1">
        <v>50.9836871623992</v>
      </c>
      <c r="BD378" s="7"/>
      <c r="BE378" s="1"/>
      <c r="BF378" s="1"/>
      <c r="BG378" s="8"/>
      <c r="BH378" s="1"/>
      <c r="BI378" s="1"/>
      <c r="BJ378" s="1"/>
      <c r="BK378" s="8"/>
    </row>
    <row r="379" spans="1:63">
      <c r="A379" s="49"/>
      <c r="B379" s="7" t="s">
        <v>18</v>
      </c>
      <c r="C379" s="17">
        <v>0.25</v>
      </c>
      <c r="D379" s="7">
        <v>29</v>
      </c>
      <c r="E379" s="1">
        <v>0.225685763888888</v>
      </c>
      <c r="F379" s="1">
        <v>39.604405795696799</v>
      </c>
      <c r="G379" s="1">
        <v>0.97918410216617602</v>
      </c>
      <c r="H379" s="1">
        <v>16.816048523310702</v>
      </c>
      <c r="I379" s="1">
        <v>43.334284587285097</v>
      </c>
      <c r="J379" s="1">
        <v>0.99237173299764103</v>
      </c>
      <c r="K379" s="8">
        <v>21.175741143122401</v>
      </c>
      <c r="L379" s="7">
        <v>26</v>
      </c>
      <c r="M379" s="1">
        <v>0.222621527777777</v>
      </c>
      <c r="N379" s="1">
        <v>40.385414130703502</v>
      </c>
      <c r="O379" s="1">
        <v>0.982043174860044</v>
      </c>
      <c r="P379" s="1">
        <v>17.457704464038201</v>
      </c>
      <c r="Q379" s="1">
        <v>44.2031705417212</v>
      </c>
      <c r="R379" s="1">
        <v>0.99330457687710205</v>
      </c>
      <c r="S379" s="1">
        <v>21.742219721795301</v>
      </c>
      <c r="T379" s="7"/>
      <c r="U379" s="1"/>
      <c r="V379" s="1"/>
      <c r="W379" s="8"/>
      <c r="X379" s="7"/>
      <c r="Y379" s="1"/>
      <c r="Z379" s="1"/>
      <c r="AA379" s="8"/>
      <c r="AB379" s="7">
        <v>16</v>
      </c>
      <c r="AC379" s="1">
        <v>0.105948350694444</v>
      </c>
      <c r="AD379" s="1">
        <v>38.049596465916402</v>
      </c>
      <c r="AE379" s="1">
        <v>0.97408820587020595</v>
      </c>
      <c r="AF379" s="1">
        <v>15.8650251547063</v>
      </c>
      <c r="AG379" s="1">
        <v>41.4190171760089</v>
      </c>
      <c r="AH379" s="1">
        <v>0.98957427209715498</v>
      </c>
      <c r="AI379" s="1">
        <v>19.818936137496198</v>
      </c>
      <c r="AJ379" s="1">
        <v>60.039938688278198</v>
      </c>
      <c r="AK379" s="1">
        <v>41.574184894561697</v>
      </c>
      <c r="AL379" s="7"/>
      <c r="AM379" s="1"/>
      <c r="AN379" s="1"/>
      <c r="AO379" s="8"/>
      <c r="AP379" s="1"/>
      <c r="AQ379" s="1"/>
      <c r="AR379" s="1"/>
      <c r="AS379" s="8"/>
      <c r="AT379" s="7">
        <v>0.16</v>
      </c>
      <c r="AU379" s="1">
        <v>0.13011067708333299</v>
      </c>
      <c r="AV379" s="1">
        <v>36.763790880670697</v>
      </c>
      <c r="AW379" s="1">
        <v>0.981602994335112</v>
      </c>
      <c r="AX379" s="1">
        <v>17.3525285791657</v>
      </c>
      <c r="AY379" s="1">
        <v>39.5014777576257</v>
      </c>
      <c r="AZ379" s="1">
        <v>0.99226318176244299</v>
      </c>
      <c r="BA379" s="1">
        <v>21.114376059798499</v>
      </c>
      <c r="BB379" s="1">
        <v>77.104255199432302</v>
      </c>
      <c r="BC379" s="1">
        <v>55.5476393699646</v>
      </c>
      <c r="BD379" s="7"/>
      <c r="BE379" s="1"/>
      <c r="BF379" s="1"/>
      <c r="BG379" s="8"/>
      <c r="BH379" s="1"/>
      <c r="BI379" s="1"/>
      <c r="BJ379" s="1"/>
      <c r="BK379" s="8"/>
    </row>
    <row r="380" spans="1:63">
      <c r="A380" s="49"/>
      <c r="B380" s="7" t="s">
        <v>18</v>
      </c>
      <c r="C380" s="17">
        <v>0.12</v>
      </c>
      <c r="D380" s="7">
        <v>34</v>
      </c>
      <c r="E380" s="1">
        <v>0.117866753472222</v>
      </c>
      <c r="F380" s="1">
        <v>37.663649869226397</v>
      </c>
      <c r="G380" s="1">
        <v>0.97158713523765605</v>
      </c>
      <c r="H380" s="1">
        <v>15.464849757893999</v>
      </c>
      <c r="I380" s="1">
        <v>41.124671329698003</v>
      </c>
      <c r="J380" s="1">
        <v>0.98843949012455201</v>
      </c>
      <c r="K380" s="8">
        <v>19.370230109665101</v>
      </c>
      <c r="L380" s="7">
        <v>31</v>
      </c>
      <c r="M380" s="1">
        <v>0.11141276041666601</v>
      </c>
      <c r="N380" s="1">
        <v>38.757055484409896</v>
      </c>
      <c r="O380" s="1">
        <v>0.97547431048716604</v>
      </c>
      <c r="P380" s="1">
        <v>16.1037877406383</v>
      </c>
      <c r="Q380" s="1">
        <v>42.333216555136502</v>
      </c>
      <c r="R380" s="1">
        <v>0.99057385472276804</v>
      </c>
      <c r="S380" s="1">
        <v>20.2566587111004</v>
      </c>
      <c r="T380" s="7"/>
      <c r="U380" s="1"/>
      <c r="V380" s="1"/>
      <c r="W380" s="8"/>
      <c r="X380" s="7"/>
      <c r="Y380" s="1"/>
      <c r="Z380" s="1"/>
      <c r="AA380" s="8"/>
      <c r="AB380" s="7">
        <v>8</v>
      </c>
      <c r="AC380" s="1">
        <v>7.7944878472222201E-2</v>
      </c>
      <c r="AD380" s="1">
        <v>36.952079657846099</v>
      </c>
      <c r="AE380" s="1">
        <v>0.96984259059780098</v>
      </c>
      <c r="AF380" s="1">
        <v>15.2060596819524</v>
      </c>
      <c r="AG380" s="1">
        <v>40.067775659447697</v>
      </c>
      <c r="AH380" s="1">
        <v>0.98573563194330405</v>
      </c>
      <c r="AI380" s="1">
        <v>18.457474637944401</v>
      </c>
      <c r="AJ380" s="1">
        <v>60.921009063720703</v>
      </c>
      <c r="AK380" s="1">
        <v>42.884640693664501</v>
      </c>
      <c r="AL380" s="7"/>
      <c r="AM380" s="1"/>
      <c r="AN380" s="1"/>
      <c r="AO380" s="8"/>
      <c r="AP380" s="1"/>
      <c r="AQ380" s="1"/>
      <c r="AR380" s="1"/>
      <c r="AS380" s="8"/>
      <c r="AT380" s="7">
        <v>0.08</v>
      </c>
      <c r="AU380" s="1">
        <v>8.0492621527777697E-2</v>
      </c>
      <c r="AV380" s="1">
        <v>35.418279740873999</v>
      </c>
      <c r="AW380" s="1">
        <v>0.97648902673779403</v>
      </c>
      <c r="AX380" s="1">
        <v>16.287293924124199</v>
      </c>
      <c r="AY380" s="1">
        <v>38.124479467414297</v>
      </c>
      <c r="AZ380" s="1">
        <v>0.99000435737205195</v>
      </c>
      <c r="BA380" s="1">
        <v>20.001892795048601</v>
      </c>
      <c r="BB380" s="1">
        <v>57.389634370803797</v>
      </c>
      <c r="BC380" s="1">
        <v>39.904348373413001</v>
      </c>
      <c r="BD380" s="7"/>
      <c r="BE380" s="1"/>
      <c r="BF380" s="1"/>
      <c r="BG380" s="8"/>
      <c r="BH380" s="1"/>
      <c r="BI380" s="1"/>
      <c r="BJ380" s="1"/>
      <c r="BK380" s="8"/>
    </row>
    <row r="381" spans="1:63">
      <c r="A381" s="49"/>
      <c r="B381" s="7" t="s">
        <v>18</v>
      </c>
      <c r="C381" s="17">
        <v>0.06</v>
      </c>
      <c r="D381" s="7">
        <v>40</v>
      </c>
      <c r="E381" s="1">
        <v>5.4071180555555501E-2</v>
      </c>
      <c r="F381" s="1">
        <v>35.0316707092136</v>
      </c>
      <c r="G381" s="1">
        <v>0.95858097443167201</v>
      </c>
      <c r="H381" s="1">
        <v>13.828001226148601</v>
      </c>
      <c r="I381" s="1">
        <v>38.130031417688699</v>
      </c>
      <c r="J381" s="1">
        <v>0.97812043891292999</v>
      </c>
      <c r="K381" s="8">
        <v>16.599613943758701</v>
      </c>
      <c r="L381" s="7">
        <v>36</v>
      </c>
      <c r="M381" s="1">
        <v>5.9535590277777703E-2</v>
      </c>
      <c r="N381" s="1">
        <v>36.959542279444499</v>
      </c>
      <c r="O381" s="1">
        <v>0.96820726953026204</v>
      </c>
      <c r="P381" s="1">
        <v>14.976721717701199</v>
      </c>
      <c r="Q381" s="1">
        <v>40.132394517075703</v>
      </c>
      <c r="R381" s="1">
        <v>0.984876042957614</v>
      </c>
      <c r="S381" s="1">
        <v>18.203345648642099</v>
      </c>
      <c r="T381" s="7"/>
      <c r="U381" s="1"/>
      <c r="V381" s="1"/>
      <c r="W381" s="8"/>
      <c r="X381" s="7"/>
      <c r="Y381" s="1"/>
      <c r="Z381" s="1"/>
      <c r="AA381" s="8"/>
      <c r="AB381" s="7">
        <v>4</v>
      </c>
      <c r="AC381" s="1">
        <v>5.4381510416666598E-2</v>
      </c>
      <c r="AD381" s="1">
        <v>35.6477436529877</v>
      </c>
      <c r="AE381" s="1">
        <v>0.96212479677642904</v>
      </c>
      <c r="AF381" s="1">
        <v>14.216450282285599</v>
      </c>
      <c r="AG381" s="1">
        <v>38.586826300604699</v>
      </c>
      <c r="AH381" s="1">
        <v>0.97880228179020901</v>
      </c>
      <c r="AI381" s="1">
        <v>16.737108854028701</v>
      </c>
      <c r="AJ381" s="1">
        <v>58.585451841354299</v>
      </c>
      <c r="AK381" s="1">
        <v>42.369246959686201</v>
      </c>
      <c r="AL381" s="7"/>
      <c r="AM381" s="1"/>
      <c r="AN381" s="1"/>
      <c r="AO381" s="8"/>
      <c r="AP381" s="1"/>
      <c r="AQ381" s="1"/>
      <c r="AR381" s="1"/>
      <c r="AS381" s="8"/>
      <c r="AT381" s="7">
        <v>0.04</v>
      </c>
      <c r="AU381" s="1">
        <v>5.3435329861111103E-2</v>
      </c>
      <c r="AV381" s="1">
        <v>33.939084543073399</v>
      </c>
      <c r="AW381" s="1">
        <v>0.97109974730725801</v>
      </c>
      <c r="AX381" s="1">
        <v>15.390983599222199</v>
      </c>
      <c r="AY381" s="1">
        <v>36.618800148470797</v>
      </c>
      <c r="AZ381" s="1">
        <v>0.98665789334333898</v>
      </c>
      <c r="BA381" s="1">
        <v>18.747755919240198</v>
      </c>
      <c r="BB381" s="1">
        <v>63.070418834686201</v>
      </c>
      <c r="BC381" s="1">
        <v>48.100012063980103</v>
      </c>
      <c r="BD381" s="7"/>
      <c r="BE381" s="1"/>
      <c r="BF381" s="1"/>
      <c r="BG381" s="8"/>
      <c r="BH381" s="1"/>
      <c r="BI381" s="1"/>
      <c r="BJ381" s="1"/>
      <c r="BK381" s="8"/>
    </row>
    <row r="382" spans="1:63">
      <c r="A382" s="49"/>
      <c r="B382" s="7" t="s">
        <v>84</v>
      </c>
      <c r="C382" s="17">
        <v>1.5</v>
      </c>
      <c r="D382" s="7">
        <v>21</v>
      </c>
      <c r="E382" s="1">
        <v>1.46244140625</v>
      </c>
      <c r="F382" s="1">
        <v>41.858630311209197</v>
      </c>
      <c r="G382" s="1">
        <v>0.99159410484687405</v>
      </c>
      <c r="H382" s="1">
        <v>20.754160312593001</v>
      </c>
      <c r="I382" s="1">
        <v>45.027580278949102</v>
      </c>
      <c r="J382" s="1">
        <v>0.99496615363614105</v>
      </c>
      <c r="K382" s="8">
        <v>22.9810004352479</v>
      </c>
      <c r="L382" s="7">
        <v>20</v>
      </c>
      <c r="M382" s="1">
        <v>1.39109049479166</v>
      </c>
      <c r="N382" s="1">
        <v>42.165546980387802</v>
      </c>
      <c r="O382" s="1">
        <v>0.99246266308974695</v>
      </c>
      <c r="P382" s="1">
        <v>21.227820718326999</v>
      </c>
      <c r="Q382" s="1">
        <v>45.407440120347601</v>
      </c>
      <c r="R382" s="1">
        <v>0.99542495518145702</v>
      </c>
      <c r="S382" s="1">
        <v>23.3960464709475</v>
      </c>
      <c r="T382" s="13">
        <f>bdrate(E382:E385,F382:F385,M382:M385,N382:N385)</f>
        <v>-0.15094546930173114</v>
      </c>
      <c r="U382" s="12">
        <f>bdrate(E382:E385,H382:H385,M382:M385,P382:P385)</f>
        <v>-0.16935853233118381</v>
      </c>
      <c r="V382" s="12">
        <f>bdrate(E382:E385,I382:I385,M382:M385,Q382:Q385)</f>
        <v>-0.16373342060436535</v>
      </c>
      <c r="W382" s="14">
        <f>bdrate(E382:E385,K382:K385,M382:M385,S382:S385)</f>
        <v>-0.15636827840967182</v>
      </c>
      <c r="X382" s="13">
        <f>bdrate(E384:E387,F384:F387,M384:M387,N384:N387)</f>
        <v>-0.28936761856991566</v>
      </c>
      <c r="Y382" s="12">
        <f>bdrate(E384:E387,H384:H387,M384:M387,P384:P387)</f>
        <v>-0.25206422004373485</v>
      </c>
      <c r="Z382" s="12">
        <f>bdrate(E384:E387,I384:I387,M384:M387,Q384:Q387)</f>
        <v>-0.30651290188425728</v>
      </c>
      <c r="AA382" s="14">
        <f>bdrate(E384:E387,K384:K387,M384:M387,S384:S387)</f>
        <v>-0.21323846894482068</v>
      </c>
      <c r="AB382" s="7"/>
      <c r="AC382" s="1"/>
      <c r="AD382" s="1"/>
      <c r="AE382" s="1"/>
      <c r="AF382" s="1"/>
      <c r="AG382" s="1"/>
      <c r="AH382" s="1"/>
      <c r="AI382" s="1"/>
      <c r="AJ382" s="1"/>
      <c r="AK382" s="1"/>
      <c r="AL382" s="13" t="e">
        <f>bdrate(E382:E385,F382:F385,AC382:AC385,AD382:AD385)</f>
        <v>#VALUE!</v>
      </c>
      <c r="AM382" s="12" t="e">
        <f>bdrate(E382:E385,H382:H385,AC382:AC385,AF382:AF385)</f>
        <v>#VALUE!</v>
      </c>
      <c r="AN382" s="12" t="e">
        <f>bdrate(E382:E385,I382:I385,AC382:AC385,AG382:AG385)</f>
        <v>#VALUE!</v>
      </c>
      <c r="AO382" s="14" t="e">
        <f>bdrate(E382:E385,K382:K385,AC382:AC385,AI382:AI385)</f>
        <v>#VALUE!</v>
      </c>
      <c r="AP382" s="12">
        <f>bdrate(E384:E387,F384:F387,AC384:AC387,AD384:AD387)</f>
        <v>-0.25239228745091236</v>
      </c>
      <c r="AQ382" s="12">
        <f>bdrate(E384:E387,H384:H387,AC384:AC387,AF384:AF387)</f>
        <v>-0.37314317481596415</v>
      </c>
      <c r="AR382" s="12">
        <f>bdrate(E384:E387,I384:I387,AC384:AC387,AG384:AG387)</f>
        <v>-0.26527085082485991</v>
      </c>
      <c r="AS382" s="14">
        <f>bdrate(E384:E387,K384:K387,AC384:AC387,AI384:AI387)</f>
        <v>-0.27434547910150997</v>
      </c>
      <c r="AT382" s="7"/>
      <c r="AU382" s="1"/>
      <c r="AV382" s="1"/>
      <c r="AW382" s="1"/>
      <c r="AX382" s="1"/>
      <c r="AY382" s="1"/>
      <c r="AZ382" s="1"/>
      <c r="BA382" s="1"/>
      <c r="BB382" s="1"/>
      <c r="BC382" s="1"/>
      <c r="BD382" s="13" t="e">
        <f>bdrate(E382:E385,F382:F385,AU382:AU385,AV382:AV385)</f>
        <v>#VALUE!</v>
      </c>
      <c r="BE382" s="12" t="e">
        <f>bdrate(E382:E385,H382:H385,AU382:AU385,AX382:AX385)</f>
        <v>#VALUE!</v>
      </c>
      <c r="BF382" s="12" t="e">
        <f>bdrate(E382:E385,I382:I385,AU382:AU385,AY382:AY385)</f>
        <v>#VALUE!</v>
      </c>
      <c r="BG382" s="14" t="e">
        <f>bdrate(E382:E385,K382:K385,AU382:AU385,BA382:BA385)</f>
        <v>#VALUE!</v>
      </c>
      <c r="BH382" s="12">
        <f>bdrate(E384:E387,F384:F387,AU384:AU387,AV384:AV387)</f>
        <v>0.58767219075329069</v>
      </c>
      <c r="BI382" s="12">
        <f>bdrate(E384:E387,H384:H387,AU384:AU387,AX384:AX387)</f>
        <v>-0.58740730267735108</v>
      </c>
      <c r="BJ382" s="12">
        <f>bdrate(E384:E387,I384:I387,AU384:AU387,AY384:AY387)</f>
        <v>0.70470449129290635</v>
      </c>
      <c r="BK382" s="14">
        <f>bdrate(E384:E387,K384:K387,AU384:AU387,BA384:BA387)</f>
        <v>-0.53173535792076787</v>
      </c>
    </row>
    <row r="383" spans="1:63">
      <c r="A383" s="49"/>
      <c r="B383" s="7" t="s">
        <v>18</v>
      </c>
      <c r="C383" s="17">
        <v>1</v>
      </c>
      <c r="D383" s="7">
        <v>23</v>
      </c>
      <c r="E383" s="1">
        <v>0.96541992187500003</v>
      </c>
      <c r="F383" s="1">
        <v>40.093932537840999</v>
      </c>
      <c r="G383" s="1">
        <v>0.98736777172895995</v>
      </c>
      <c r="H383" s="1">
        <v>18.985200349980701</v>
      </c>
      <c r="I383" s="1">
        <v>43.242492188980997</v>
      </c>
      <c r="J383" s="1">
        <v>0.99139053954735001</v>
      </c>
      <c r="K383" s="8">
        <v>20.650240645486001</v>
      </c>
      <c r="L383" s="7">
        <v>22</v>
      </c>
      <c r="M383" s="1">
        <v>0.95703125</v>
      </c>
      <c r="N383" s="1">
        <v>40.541461540757801</v>
      </c>
      <c r="O383" s="1">
        <v>0.98891133468061998</v>
      </c>
      <c r="P383" s="1">
        <v>19.5512072430271</v>
      </c>
      <c r="Q383" s="1">
        <v>43.732434102969698</v>
      </c>
      <c r="R383" s="1">
        <v>0.992573130004204</v>
      </c>
      <c r="S383" s="1">
        <v>21.2919417815827</v>
      </c>
      <c r="T383" s="7"/>
      <c r="U383" s="1"/>
      <c r="V383" s="1"/>
      <c r="W383" s="8"/>
      <c r="X383" s="7"/>
      <c r="Y383" s="1"/>
      <c r="Z383" s="1"/>
      <c r="AA383" s="8"/>
      <c r="AB383" s="7">
        <v>64</v>
      </c>
      <c r="AC383" s="1">
        <v>0.24901367187500001</v>
      </c>
      <c r="AD383" s="1">
        <v>37.4084935090927</v>
      </c>
      <c r="AE383" s="1">
        <v>0.97460487496522297</v>
      </c>
      <c r="AF383" s="1">
        <v>15.952496445491001</v>
      </c>
      <c r="AG383" s="1">
        <v>40.566574660253103</v>
      </c>
      <c r="AH383" s="1">
        <v>0.97974645711272701</v>
      </c>
      <c r="AI383" s="1">
        <v>16.934989960636901</v>
      </c>
      <c r="AJ383" s="1">
        <v>65.437233924865694</v>
      </c>
      <c r="AK383" s="1">
        <v>37.561108350753699</v>
      </c>
      <c r="AL383" s="7"/>
      <c r="AM383" s="1"/>
      <c r="AN383" s="1"/>
      <c r="AO383" s="8"/>
      <c r="AP383" s="1"/>
      <c r="AQ383" s="1"/>
      <c r="AR383" s="1"/>
      <c r="AS383" s="8"/>
      <c r="AT383" s="7">
        <v>0.64</v>
      </c>
      <c r="AU383" s="1">
        <v>0.504521484375</v>
      </c>
      <c r="AV383" s="1">
        <v>36.0601010260064</v>
      </c>
      <c r="AW383" s="1">
        <v>0.98970145102893003</v>
      </c>
      <c r="AX383" s="1">
        <v>19.872239615326901</v>
      </c>
      <c r="AY383" s="1">
        <v>38.880099577286401</v>
      </c>
      <c r="AZ383" s="1">
        <v>0.99224916420484899</v>
      </c>
      <c r="BA383" s="1">
        <v>21.1065146373234</v>
      </c>
      <c r="BB383" s="1">
        <v>43.027711153030303</v>
      </c>
      <c r="BC383" s="1">
        <v>28.765985965728699</v>
      </c>
      <c r="BD383" s="7"/>
      <c r="BE383" s="1"/>
      <c r="BF383" s="1"/>
      <c r="BG383" s="8"/>
      <c r="BH383" s="1"/>
      <c r="BI383" s="1"/>
      <c r="BJ383" s="1"/>
      <c r="BK383" s="8"/>
    </row>
    <row r="384" spans="1:63">
      <c r="A384" s="49"/>
      <c r="B384" s="7" t="s">
        <v>18</v>
      </c>
      <c r="C384" s="17">
        <v>0.5</v>
      </c>
      <c r="D384" s="7">
        <v>26</v>
      </c>
      <c r="E384" s="1">
        <v>0.471256510416666</v>
      </c>
      <c r="F384" s="1">
        <v>38.145223017423497</v>
      </c>
      <c r="G384" s="1">
        <v>0.97824300594279501</v>
      </c>
      <c r="H384" s="1">
        <v>16.624011068849899</v>
      </c>
      <c r="I384" s="1">
        <v>41.309867390868298</v>
      </c>
      <c r="J384" s="1">
        <v>0.98330338391163996</v>
      </c>
      <c r="K384" s="8">
        <v>17.7737153861687</v>
      </c>
      <c r="L384" s="7">
        <v>25</v>
      </c>
      <c r="M384" s="1">
        <v>0.44504882812500002</v>
      </c>
      <c r="N384" s="1">
        <v>38.4334297358632</v>
      </c>
      <c r="O384" s="1">
        <v>0.98033819323357896</v>
      </c>
      <c r="P384" s="1">
        <v>17.0637657640047</v>
      </c>
      <c r="Q384" s="1">
        <v>41.641054922813197</v>
      </c>
      <c r="R384" s="1">
        <v>0.985134357519449</v>
      </c>
      <c r="S384" s="1">
        <v>18.278163162115899</v>
      </c>
      <c r="T384" s="7"/>
      <c r="U384" s="1"/>
      <c r="V384" s="1"/>
      <c r="W384" s="8"/>
      <c r="X384" s="7"/>
      <c r="Y384" s="1"/>
      <c r="Z384" s="1"/>
      <c r="AA384" s="8"/>
      <c r="AB384" s="7">
        <v>32</v>
      </c>
      <c r="AC384" s="1">
        <v>0.17768554687499999</v>
      </c>
      <c r="AD384" s="1">
        <v>36.739712064885602</v>
      </c>
      <c r="AE384" s="1">
        <v>0.97220576483512999</v>
      </c>
      <c r="AF384" s="1">
        <v>15.560452722729</v>
      </c>
      <c r="AG384" s="1">
        <v>39.859427446864103</v>
      </c>
      <c r="AH384" s="1">
        <v>0.97787576813758403</v>
      </c>
      <c r="AI384" s="1">
        <v>16.551317987637098</v>
      </c>
      <c r="AJ384" s="1">
        <v>60.603413343429501</v>
      </c>
      <c r="AK384" s="1">
        <v>36.254772901534999</v>
      </c>
      <c r="AL384" s="7"/>
      <c r="AM384" s="1"/>
      <c r="AN384" s="1"/>
      <c r="AO384" s="8"/>
      <c r="AP384" s="1"/>
      <c r="AQ384" s="1"/>
      <c r="AR384" s="1"/>
      <c r="AS384" s="8"/>
      <c r="AT384" s="7">
        <v>0.32</v>
      </c>
      <c r="AU384" s="1">
        <v>0.33128580729166601</v>
      </c>
      <c r="AV384" s="1">
        <v>35.446027435182899</v>
      </c>
      <c r="AW384" s="1">
        <v>0.98523752618632698</v>
      </c>
      <c r="AX384" s="1">
        <v>18.3084085974846</v>
      </c>
      <c r="AY384" s="1">
        <v>38.241685286127698</v>
      </c>
      <c r="AZ384" s="1">
        <v>0.98852791232027404</v>
      </c>
      <c r="BA384" s="1">
        <v>19.403575424054001</v>
      </c>
      <c r="BB384" s="1">
        <v>49.4393599033355</v>
      </c>
      <c r="BC384" s="1">
        <v>31.702045917510901</v>
      </c>
      <c r="BD384" s="7"/>
      <c r="BE384" s="1"/>
      <c r="BF384" s="1"/>
      <c r="BG384" s="8"/>
      <c r="BH384" s="1"/>
      <c r="BI384" s="1"/>
      <c r="BJ384" s="1"/>
      <c r="BK384" s="8"/>
    </row>
    <row r="385" spans="1:63">
      <c r="A385" s="49"/>
      <c r="B385" s="7" t="s">
        <v>18</v>
      </c>
      <c r="C385" s="17">
        <v>0.25</v>
      </c>
      <c r="D385" s="7">
        <v>31</v>
      </c>
      <c r="E385" s="1">
        <v>0.23276367187499999</v>
      </c>
      <c r="F385" s="1">
        <v>36.6901579004575</v>
      </c>
      <c r="G385" s="1">
        <v>0.97046281589772698</v>
      </c>
      <c r="H385" s="1">
        <v>15.296309100780899</v>
      </c>
      <c r="I385" s="1">
        <v>39.7527705093921</v>
      </c>
      <c r="J385" s="1">
        <v>0.977312477712456</v>
      </c>
      <c r="K385" s="8">
        <v>16.442129309816799</v>
      </c>
      <c r="L385" s="7">
        <v>28</v>
      </c>
      <c r="M385" s="1">
        <v>0.23757161458333301</v>
      </c>
      <c r="N385" s="1">
        <v>37.345877440391199</v>
      </c>
      <c r="O385" s="1">
        <v>0.97285947349334401</v>
      </c>
      <c r="P385" s="1">
        <v>15.663817315945799</v>
      </c>
      <c r="Q385" s="1">
        <v>40.528189225138398</v>
      </c>
      <c r="R385" s="1">
        <v>0.97856938396865301</v>
      </c>
      <c r="S385" s="1">
        <v>16.689653448158701</v>
      </c>
      <c r="T385" s="7"/>
      <c r="U385" s="1"/>
      <c r="V385" s="1"/>
      <c r="W385" s="8"/>
      <c r="X385" s="7"/>
      <c r="Y385" s="1"/>
      <c r="Z385" s="1"/>
      <c r="AA385" s="8"/>
      <c r="AB385" s="7">
        <v>16</v>
      </c>
      <c r="AC385" s="1">
        <v>0.125615234375</v>
      </c>
      <c r="AD385" s="1">
        <v>35.9690184970191</v>
      </c>
      <c r="AE385" s="1">
        <v>0.96930800476174905</v>
      </c>
      <c r="AF385" s="1">
        <v>15.129748778504799</v>
      </c>
      <c r="AG385" s="1">
        <v>39.024976431683399</v>
      </c>
      <c r="AH385" s="1">
        <v>0.97560242758992399</v>
      </c>
      <c r="AI385" s="1">
        <v>16.126533843726701</v>
      </c>
      <c r="AJ385" s="1">
        <v>39.122459888458202</v>
      </c>
      <c r="AK385" s="1">
        <v>27.8964359760284</v>
      </c>
      <c r="AL385" s="7"/>
      <c r="AM385" s="1"/>
      <c r="AN385" s="1"/>
      <c r="AO385" s="8"/>
      <c r="AP385" s="1"/>
      <c r="AQ385" s="1"/>
      <c r="AR385" s="1"/>
      <c r="AS385" s="8"/>
      <c r="AT385" s="7">
        <v>0.16</v>
      </c>
      <c r="AU385" s="1">
        <v>0.150478515625</v>
      </c>
      <c r="AV385" s="1">
        <v>34.329305250141097</v>
      </c>
      <c r="AW385" s="1">
        <v>0.976009250473866</v>
      </c>
      <c r="AX385" s="1">
        <v>16.199561834628199</v>
      </c>
      <c r="AY385" s="1">
        <v>37.101789574695303</v>
      </c>
      <c r="AZ385" s="1">
        <v>0.98053317203144696</v>
      </c>
      <c r="BA385" s="1">
        <v>17.107048090338601</v>
      </c>
      <c r="BB385" s="1">
        <v>46.2203273773193</v>
      </c>
      <c r="BC385" s="1">
        <v>36.962454319000202</v>
      </c>
      <c r="BD385" s="7"/>
      <c r="BE385" s="1"/>
      <c r="BF385" s="1"/>
      <c r="BG385" s="8"/>
      <c r="BH385" s="1"/>
      <c r="BI385" s="1"/>
      <c r="BJ385" s="1"/>
      <c r="BK385" s="8"/>
    </row>
    <row r="386" spans="1:63">
      <c r="A386" s="49"/>
      <c r="B386" s="7" t="s">
        <v>18</v>
      </c>
      <c r="C386" s="17">
        <v>0.12</v>
      </c>
      <c r="D386" s="7">
        <v>37</v>
      </c>
      <c r="E386" s="1">
        <v>0.108125</v>
      </c>
      <c r="F386" s="1">
        <v>34.7286117697317</v>
      </c>
      <c r="G386" s="1">
        <v>0.96175492030642296</v>
      </c>
      <c r="H386" s="1">
        <v>14.174244297751599</v>
      </c>
      <c r="I386" s="1">
        <v>37.681677819187598</v>
      </c>
      <c r="J386" s="1">
        <v>0.97112897492337902</v>
      </c>
      <c r="K386" s="8">
        <v>15.395377960563501</v>
      </c>
      <c r="L386" s="7">
        <v>34</v>
      </c>
      <c r="M386" s="1">
        <v>0.113798828125</v>
      </c>
      <c r="N386" s="1">
        <v>35.855236613540697</v>
      </c>
      <c r="O386" s="1">
        <v>0.966968009446039</v>
      </c>
      <c r="P386" s="1">
        <v>14.810652543269599</v>
      </c>
      <c r="Q386" s="1">
        <v>38.919860028927701</v>
      </c>
      <c r="R386" s="1">
        <v>0.97460156189698</v>
      </c>
      <c r="S386" s="1">
        <v>15.951929898405499</v>
      </c>
      <c r="T386" s="7"/>
      <c r="U386" s="1"/>
      <c r="V386" s="1"/>
      <c r="W386" s="8"/>
      <c r="X386" s="7"/>
      <c r="Y386" s="1"/>
      <c r="Z386" s="1"/>
      <c r="AA386" s="8"/>
      <c r="AB386" s="7">
        <v>8</v>
      </c>
      <c r="AC386" s="1">
        <v>9.0244140624999997E-2</v>
      </c>
      <c r="AD386" s="1">
        <v>35.014177492282499</v>
      </c>
      <c r="AE386" s="1">
        <v>0.96546499149098197</v>
      </c>
      <c r="AF386" s="1">
        <v>14.617404326528</v>
      </c>
      <c r="AG386" s="1">
        <v>38.034942524588097</v>
      </c>
      <c r="AH386" s="1">
        <v>0.97232775452961695</v>
      </c>
      <c r="AI386" s="1">
        <v>15.5795559850887</v>
      </c>
      <c r="AJ386" s="1">
        <v>39.623838663101097</v>
      </c>
      <c r="AK386" s="1">
        <v>28.834491491317699</v>
      </c>
      <c r="AL386" s="7"/>
      <c r="AM386" s="1"/>
      <c r="AN386" s="1"/>
      <c r="AO386" s="8"/>
      <c r="AP386" s="1"/>
      <c r="AQ386" s="1"/>
      <c r="AR386" s="1"/>
      <c r="AS386" s="8"/>
      <c r="AT386" s="7">
        <v>0.08</v>
      </c>
      <c r="AU386" s="1">
        <v>8.2106119791666599E-2</v>
      </c>
      <c r="AV386" s="1">
        <v>33.145648714405702</v>
      </c>
      <c r="AW386" s="1">
        <v>0.96868243825082201</v>
      </c>
      <c r="AX386" s="1">
        <v>15.0421205760062</v>
      </c>
      <c r="AY386" s="1">
        <v>35.842730945688601</v>
      </c>
      <c r="AZ386" s="1">
        <v>0.97485890293208</v>
      </c>
      <c r="BA386" s="1">
        <v>15.996157751723899</v>
      </c>
      <c r="BB386" s="1">
        <v>35.528682231902998</v>
      </c>
      <c r="BC386" s="1">
        <v>24.858791351318299</v>
      </c>
      <c r="BD386" s="7"/>
      <c r="BE386" s="1"/>
      <c r="BF386" s="1"/>
      <c r="BG386" s="8"/>
      <c r="BH386" s="1"/>
      <c r="BI386" s="1"/>
      <c r="BJ386" s="1"/>
      <c r="BK386" s="8"/>
    </row>
    <row r="387" spans="1:63">
      <c r="A387" s="49"/>
      <c r="B387" s="7" t="s">
        <v>18</v>
      </c>
      <c r="C387" s="17">
        <v>0.06</v>
      </c>
      <c r="D387" s="7">
        <v>42</v>
      </c>
      <c r="E387" s="1">
        <v>5.1175130208333301E-2</v>
      </c>
      <c r="F387" s="1">
        <v>32.621608965952603</v>
      </c>
      <c r="G387" s="1">
        <v>0.94767023238213099</v>
      </c>
      <c r="H387" s="1">
        <v>12.8125119383861</v>
      </c>
      <c r="I387" s="1">
        <v>35.484309666363799</v>
      </c>
      <c r="J387" s="1">
        <v>0.95979225163200699</v>
      </c>
      <c r="K387" s="8">
        <v>13.956902466865801</v>
      </c>
      <c r="L387" s="7">
        <v>39</v>
      </c>
      <c r="M387" s="1">
        <v>5.8629557291666599E-2</v>
      </c>
      <c r="N387" s="1">
        <v>34.104760944823397</v>
      </c>
      <c r="O387" s="1">
        <v>0.95832331295074602</v>
      </c>
      <c r="P387" s="1">
        <v>13.801068111435701</v>
      </c>
      <c r="Q387" s="1">
        <v>37.0724655217346</v>
      </c>
      <c r="R387" s="1">
        <v>0.968036921555257</v>
      </c>
      <c r="S387" s="1">
        <v>14.9535139934616</v>
      </c>
      <c r="T387" s="7"/>
      <c r="U387" s="1"/>
      <c r="V387" s="1"/>
      <c r="W387" s="8"/>
      <c r="X387" s="7"/>
      <c r="Y387" s="1"/>
      <c r="Z387" s="1"/>
      <c r="AA387" s="8"/>
      <c r="AB387" s="7">
        <v>4</v>
      </c>
      <c r="AC387" s="1">
        <v>6.3831380208333302E-2</v>
      </c>
      <c r="AD387" s="1">
        <v>33.944748867388697</v>
      </c>
      <c r="AE387" s="1">
        <v>0.95961439903108203</v>
      </c>
      <c r="AF387" s="1">
        <v>13.937734500974299</v>
      </c>
      <c r="AG387" s="1">
        <v>36.909823284820199</v>
      </c>
      <c r="AH387" s="1">
        <v>0.96737928850593102</v>
      </c>
      <c r="AI387" s="1">
        <v>14.865065707458299</v>
      </c>
      <c r="AJ387" s="1">
        <v>38.579953193664501</v>
      </c>
      <c r="AK387" s="1">
        <v>28.7339589595794</v>
      </c>
      <c r="AL387" s="7"/>
      <c r="AM387" s="1"/>
      <c r="AN387" s="1"/>
      <c r="AO387" s="8"/>
      <c r="AP387" s="1"/>
      <c r="AQ387" s="1"/>
      <c r="AR387" s="1"/>
      <c r="AS387" s="8"/>
      <c r="AT387" s="7">
        <v>0.04</v>
      </c>
      <c r="AU387" s="1">
        <v>5.1331380208333298E-2</v>
      </c>
      <c r="AV387" s="1">
        <v>31.930312338396899</v>
      </c>
      <c r="AW387" s="1">
        <v>0.96201630950615802</v>
      </c>
      <c r="AX387" s="1">
        <v>14.2040284151458</v>
      </c>
      <c r="AY387" s="1">
        <v>34.597211898049103</v>
      </c>
      <c r="AZ387" s="1">
        <v>0.96975045862166098</v>
      </c>
      <c r="BA387" s="1">
        <v>15.1928120542033</v>
      </c>
      <c r="BB387" s="1">
        <v>40.803954601287799</v>
      </c>
      <c r="BC387" s="1">
        <v>31.2782943248748</v>
      </c>
      <c r="BD387" s="7"/>
      <c r="BE387" s="1"/>
      <c r="BF387" s="1"/>
      <c r="BG387" s="8"/>
      <c r="BH387" s="1"/>
      <c r="BI387" s="1"/>
      <c r="BJ387" s="1"/>
      <c r="BK387" s="8"/>
    </row>
    <row r="388" spans="1:63">
      <c r="A388" s="49"/>
      <c r="B388" s="7" t="s">
        <v>85</v>
      </c>
      <c r="C388" s="17">
        <v>1.5</v>
      </c>
      <c r="D388" s="7">
        <v>22</v>
      </c>
      <c r="E388" s="1">
        <v>1.3125655864197501</v>
      </c>
      <c r="F388" s="1">
        <v>40.621150964405203</v>
      </c>
      <c r="G388" s="1">
        <v>0.99269023643357401</v>
      </c>
      <c r="H388" s="1">
        <v>21.360966700267198</v>
      </c>
      <c r="I388" s="1">
        <v>44.278904233906403</v>
      </c>
      <c r="J388" s="1">
        <v>0.99637120115366595</v>
      </c>
      <c r="K388" s="8">
        <v>24.4023710519396</v>
      </c>
      <c r="L388" s="7">
        <v>19</v>
      </c>
      <c r="M388" s="1">
        <v>1.35018518518518</v>
      </c>
      <c r="N388" s="1">
        <v>41.597259921461898</v>
      </c>
      <c r="O388" s="1">
        <v>0.99406629195518303</v>
      </c>
      <c r="P388" s="1">
        <v>22.266738260078</v>
      </c>
      <c r="Q388" s="1">
        <v>45.505260193608599</v>
      </c>
      <c r="R388" s="1">
        <v>0.99723411352703795</v>
      </c>
      <c r="S388" s="1">
        <v>25.5816564967079</v>
      </c>
      <c r="T388" s="13">
        <f>bdrate(E388:E391,F388:F391,M388:M391,N388:N391)</f>
        <v>-0.26972004661347559</v>
      </c>
      <c r="U388" s="12">
        <f>bdrate(E388:E391,H388:H391,M388:M391,P388:P391)</f>
        <v>-0.2393376558881084</v>
      </c>
      <c r="V388" s="12">
        <f>bdrate(E388:E391,I388:I391,M388:M391,Q388:Q391)</f>
        <v>-0.28937462554246984</v>
      </c>
      <c r="W388" s="14">
        <f>bdrate(E388:E391,K388:K391,M388:M391,S388:S391)</f>
        <v>-0.23333004779120436</v>
      </c>
      <c r="X388" s="13">
        <f>bdrate(E390:E393,F390:F393,M390:M393,N390:N393)</f>
        <v>-0.38523108309056364</v>
      </c>
      <c r="Y388" s="12">
        <f>bdrate(E390:E393,H390:H393,M390:M393,P390:P393)</f>
        <v>-0.3346646581019741</v>
      </c>
      <c r="Z388" s="12">
        <f>bdrate(E390:E393,I390:I393,M390:M393,Q390:Q393)</f>
        <v>-0.39897783253060071</v>
      </c>
      <c r="AA388" s="14">
        <f>bdrate(E390:E393,K390:K393,M390:M393,S390:S393)</f>
        <v>-0.30000832252198473</v>
      </c>
      <c r="AB388" s="7"/>
      <c r="AC388" s="1"/>
      <c r="AD388" s="1"/>
      <c r="AE388" s="1"/>
      <c r="AF388" s="1"/>
      <c r="AG388" s="1"/>
      <c r="AH388" s="1"/>
      <c r="AI388" s="1"/>
      <c r="AJ388" s="1"/>
      <c r="AK388" s="1"/>
      <c r="AL388" s="13" t="e">
        <f>bdrate(E388:E391,F388:F391,AC388:AC391,AD388:AD391)</f>
        <v>#VALUE!</v>
      </c>
      <c r="AM388" s="12" t="e">
        <f>bdrate(E388:E391,H388:H391,AC388:AC391,AF388:AF391)</f>
        <v>#VALUE!</v>
      </c>
      <c r="AN388" s="12" t="e">
        <f>bdrate(E388:E391,I388:I391,AC388:AC391,AG388:AG391)</f>
        <v>#VALUE!</v>
      </c>
      <c r="AO388" s="14" t="e">
        <f>bdrate(E388:E391,K388:K391,AC388:AC391,AI388:AI391)</f>
        <v>#VALUE!</v>
      </c>
      <c r="AP388" s="12">
        <f>bdrate(E390:E393,F390:F393,AC390:AC393,AD390:AD393)</f>
        <v>-0.26677326660083145</v>
      </c>
      <c r="AQ388" s="12">
        <f>bdrate(E390:E393,H390:H393,AC390:AC393,AF390:AF393)</f>
        <v>-0.26939795326034954</v>
      </c>
      <c r="AR388" s="12">
        <f>bdrate(E390:E393,I390:I393,AC390:AC393,AG390:AG393)</f>
        <v>-0.26683640646549078</v>
      </c>
      <c r="AS388" s="14">
        <f>bdrate(E390:E393,K390:K393,AC390:AC393,AI390:AI393)</f>
        <v>-0.19440544680089944</v>
      </c>
      <c r="AT388" s="7"/>
      <c r="AU388" s="1"/>
      <c r="AV388" s="1"/>
      <c r="AW388" s="1"/>
      <c r="AX388" s="1"/>
      <c r="AY388" s="1"/>
      <c r="AZ388" s="1"/>
      <c r="BA388" s="1"/>
      <c r="BB388" s="1"/>
      <c r="BC388" s="1"/>
      <c r="BD388" s="13" t="e">
        <f>bdrate(E388:E391,F388:F391,AU388:AU391,AV388:AV391)</f>
        <v>#VALUE!</v>
      </c>
      <c r="BE388" s="12" t="e">
        <f>bdrate(E388:E391,H388:H391,AU388:AU391,AX388:AX391)</f>
        <v>#VALUE!</v>
      </c>
      <c r="BF388" s="12" t="e">
        <f>bdrate(E388:E391,I388:I391,AU388:AU391,AY388:AY391)</f>
        <v>#VALUE!</v>
      </c>
      <c r="BG388" s="14" t="e">
        <f>bdrate(E388:E391,K388:K391,AU388:AU391,BA388:BA391)</f>
        <v>#VALUE!</v>
      </c>
      <c r="BH388" s="12">
        <f>bdrate(E390:E393,F390:F393,AU390:AU393,AV390:AV393)</f>
        <v>0.14835645690609867</v>
      </c>
      <c r="BI388" s="12">
        <f>bdrate(E390:E393,H390:H393,AU390:AU393,AX390:AX393)</f>
        <v>-0.51722110729501702</v>
      </c>
      <c r="BJ388" s="12">
        <f>bdrate(E390:E393,I390:I393,AU390:AU393,AY390:AY393)</f>
        <v>0.26148592787813807</v>
      </c>
      <c r="BK388" s="14">
        <f>bdrate(E390:E393,K390:K393,AU390:AU393,BA390:BA393)</f>
        <v>-0.44813149848985667</v>
      </c>
    </row>
    <row r="389" spans="1:63">
      <c r="A389" s="49"/>
      <c r="B389" s="7" t="s">
        <v>18</v>
      </c>
      <c r="C389" s="17">
        <v>1</v>
      </c>
      <c r="D389" s="7">
        <v>24</v>
      </c>
      <c r="E389" s="1">
        <v>0.93362654320987604</v>
      </c>
      <c r="F389" s="1">
        <v>39.302022013372898</v>
      </c>
      <c r="G389" s="1">
        <v>0.99005291490587699</v>
      </c>
      <c r="H389" s="1">
        <v>20.0230416679237</v>
      </c>
      <c r="I389" s="1">
        <v>42.825177448705503</v>
      </c>
      <c r="J389" s="1">
        <v>0.99457826231725899</v>
      </c>
      <c r="K389" s="8">
        <v>22.658614985028901</v>
      </c>
      <c r="L389" s="7">
        <v>21</v>
      </c>
      <c r="M389" s="1">
        <v>0.98187885802469099</v>
      </c>
      <c r="N389" s="1">
        <v>40.317807018911303</v>
      </c>
      <c r="O389" s="1">
        <v>0.99203206467485305</v>
      </c>
      <c r="P389" s="1">
        <v>20.986541996905</v>
      </c>
      <c r="Q389" s="1">
        <v>44.055072594026697</v>
      </c>
      <c r="R389" s="1">
        <v>0.99594888685156702</v>
      </c>
      <c r="S389" s="1">
        <v>23.924256267117901</v>
      </c>
      <c r="T389" s="7"/>
      <c r="U389" s="1"/>
      <c r="V389" s="1"/>
      <c r="W389" s="8"/>
      <c r="X389" s="7"/>
      <c r="Y389" s="1"/>
      <c r="Z389" s="1"/>
      <c r="AA389" s="8"/>
      <c r="AB389" s="7">
        <v>64</v>
      </c>
      <c r="AC389" s="1">
        <v>0.37534336419753001</v>
      </c>
      <c r="AD389" s="1">
        <v>37.244038475040597</v>
      </c>
      <c r="AE389" s="1">
        <v>0.98352307785433701</v>
      </c>
      <c r="AF389" s="1">
        <v>17.831239103569299</v>
      </c>
      <c r="AG389" s="1">
        <v>40.743211214456601</v>
      </c>
      <c r="AH389" s="1">
        <v>0.99023402139042704</v>
      </c>
      <c r="AI389" s="1">
        <v>20.102842312862698</v>
      </c>
      <c r="AJ389" s="1">
        <v>69.069569110870304</v>
      </c>
      <c r="AK389" s="1">
        <v>34.403867959976097</v>
      </c>
      <c r="AL389" s="7"/>
      <c r="AM389" s="1"/>
      <c r="AN389" s="1"/>
      <c r="AO389" s="8"/>
      <c r="AP389" s="1"/>
      <c r="AQ389" s="1"/>
      <c r="AR389" s="1"/>
      <c r="AS389" s="8"/>
      <c r="AT389" s="7">
        <v>0.64</v>
      </c>
      <c r="AU389" s="1">
        <v>0.47116898148148101</v>
      </c>
      <c r="AV389" s="1">
        <v>36.477879352966397</v>
      </c>
      <c r="AW389" s="1">
        <v>0.99138591785263896</v>
      </c>
      <c r="AX389" s="1">
        <v>20.647909909463799</v>
      </c>
      <c r="AY389" s="1">
        <v>39.530354381741198</v>
      </c>
      <c r="AZ389" s="1">
        <v>0.99448576943598299</v>
      </c>
      <c r="BA389" s="1">
        <v>22.585150788928299</v>
      </c>
      <c r="BB389" s="1">
        <v>37.184293508529599</v>
      </c>
      <c r="BC389" s="1">
        <v>24.085664033889699</v>
      </c>
      <c r="BD389" s="7"/>
      <c r="BE389" s="1"/>
      <c r="BF389" s="1"/>
      <c r="BG389" s="8"/>
      <c r="BH389" s="1"/>
      <c r="BI389" s="1"/>
      <c r="BJ389" s="1"/>
      <c r="BK389" s="8"/>
    </row>
    <row r="390" spans="1:63">
      <c r="A390" s="49"/>
      <c r="B390" s="7" t="s">
        <v>18</v>
      </c>
      <c r="C390" s="17">
        <v>0.5</v>
      </c>
      <c r="D390" s="7">
        <v>28</v>
      </c>
      <c r="E390" s="1">
        <v>0.48744212962962902</v>
      </c>
      <c r="F390" s="1">
        <v>37.171088556970098</v>
      </c>
      <c r="G390" s="1">
        <v>0.98306762653101998</v>
      </c>
      <c r="H390" s="1">
        <v>17.712821610739901</v>
      </c>
      <c r="I390" s="1">
        <v>40.6022095350664</v>
      </c>
      <c r="J390" s="1">
        <v>0.989778708834683</v>
      </c>
      <c r="K390" s="8">
        <v>19.904942401549601</v>
      </c>
      <c r="L390" s="7">
        <v>25</v>
      </c>
      <c r="M390" s="1">
        <v>0.47121913580246899</v>
      </c>
      <c r="N390" s="1">
        <v>38.083011995593203</v>
      </c>
      <c r="O390" s="1">
        <v>0.98602775142335597</v>
      </c>
      <c r="P390" s="1">
        <v>18.547336965454001</v>
      </c>
      <c r="Q390" s="1">
        <v>41.6330259435748</v>
      </c>
      <c r="R390" s="1">
        <v>0.99176797560304697</v>
      </c>
      <c r="S390" s="1">
        <v>20.844933511409099</v>
      </c>
      <c r="T390" s="7"/>
      <c r="U390" s="1"/>
      <c r="V390" s="1"/>
      <c r="W390" s="8"/>
      <c r="X390" s="7"/>
      <c r="Y390" s="1"/>
      <c r="Z390" s="1"/>
      <c r="AA390" s="8"/>
      <c r="AB390" s="7">
        <v>32</v>
      </c>
      <c r="AC390" s="1">
        <v>0.26139274691358</v>
      </c>
      <c r="AD390" s="1">
        <v>36.168472590321599</v>
      </c>
      <c r="AE390" s="1">
        <v>0.97932717145877102</v>
      </c>
      <c r="AF390" s="1">
        <v>16.8460009735408</v>
      </c>
      <c r="AG390" s="1">
        <v>39.647501658608299</v>
      </c>
      <c r="AH390" s="1">
        <v>0.98685808357340798</v>
      </c>
      <c r="AI390" s="1">
        <v>18.8134129894624</v>
      </c>
      <c r="AJ390" s="1">
        <v>54.783471584319997</v>
      </c>
      <c r="AK390" s="1">
        <v>31.5202922821044</v>
      </c>
      <c r="AL390" s="7"/>
      <c r="AM390" s="1"/>
      <c r="AN390" s="1"/>
      <c r="AO390" s="8"/>
      <c r="AP390" s="1"/>
      <c r="AQ390" s="1"/>
      <c r="AR390" s="1"/>
      <c r="AS390" s="8"/>
      <c r="AT390" s="7">
        <v>0.32</v>
      </c>
      <c r="AU390" s="1">
        <v>0.32385802469135799</v>
      </c>
      <c r="AV390" s="1">
        <v>35.3257536914616</v>
      </c>
      <c r="AW390" s="1">
        <v>0.98779575342057802</v>
      </c>
      <c r="AX390" s="1">
        <v>19.134890262836201</v>
      </c>
      <c r="AY390" s="1">
        <v>38.338349437464899</v>
      </c>
      <c r="AZ390" s="1">
        <v>0.99195766268059604</v>
      </c>
      <c r="BA390" s="1">
        <v>20.946177152565699</v>
      </c>
      <c r="BB390" s="1">
        <v>46.614960908889699</v>
      </c>
      <c r="BC390" s="1">
        <v>28.526939392089801</v>
      </c>
      <c r="BD390" s="7"/>
      <c r="BE390" s="1"/>
      <c r="BF390" s="1"/>
      <c r="BG390" s="8"/>
      <c r="BH390" s="1"/>
      <c r="BI390" s="1"/>
      <c r="BJ390" s="1"/>
      <c r="BK390" s="8"/>
    </row>
    <row r="391" spans="1:63">
      <c r="A391" s="49"/>
      <c r="B391" s="7" t="s">
        <v>18</v>
      </c>
      <c r="C391" s="17">
        <v>0.25</v>
      </c>
      <c r="D391" s="7">
        <v>33</v>
      </c>
      <c r="E391" s="1">
        <v>0.23973765432098701</v>
      </c>
      <c r="F391" s="1">
        <v>35.002754436820197</v>
      </c>
      <c r="G391" s="1">
        <v>0.97248336702705496</v>
      </c>
      <c r="H391" s="1">
        <v>15.604047089078801</v>
      </c>
      <c r="I391" s="1">
        <v>38.376128666648398</v>
      </c>
      <c r="J391" s="1">
        <v>0.98238625446015904</v>
      </c>
      <c r="K391" s="8">
        <v>17.541482820612401</v>
      </c>
      <c r="L391" s="7">
        <v>30</v>
      </c>
      <c r="M391" s="1">
        <v>0.21919753086419699</v>
      </c>
      <c r="N391" s="1">
        <v>36.127647047500197</v>
      </c>
      <c r="O391" s="1">
        <v>0.97741858642972002</v>
      </c>
      <c r="P391" s="1">
        <v>16.462488752296</v>
      </c>
      <c r="Q391" s="1">
        <v>39.6100616685641</v>
      </c>
      <c r="R391" s="1">
        <v>0.98551707969829905</v>
      </c>
      <c r="S391" s="1">
        <v>18.3914385919966</v>
      </c>
      <c r="T391" s="7"/>
      <c r="U391" s="1"/>
      <c r="V391" s="1"/>
      <c r="W391" s="8"/>
      <c r="X391" s="7"/>
      <c r="Y391" s="1"/>
      <c r="Z391" s="1"/>
      <c r="AA391" s="8"/>
      <c r="AB391" s="7">
        <v>16</v>
      </c>
      <c r="AC391" s="1">
        <v>0.18038966049382699</v>
      </c>
      <c r="AD391" s="1">
        <v>35.156016973862798</v>
      </c>
      <c r="AE391" s="1">
        <v>0.97319948141771795</v>
      </c>
      <c r="AF391" s="1">
        <v>15.7185680241732</v>
      </c>
      <c r="AG391" s="1">
        <v>38.526922121577996</v>
      </c>
      <c r="AH391" s="1">
        <v>0.98174738644278003</v>
      </c>
      <c r="AI391" s="1">
        <v>17.386749409493301</v>
      </c>
      <c r="AJ391" s="1">
        <v>35.920659303665097</v>
      </c>
      <c r="AK391" s="1">
        <v>24.491398096084499</v>
      </c>
      <c r="AL391" s="7"/>
      <c r="AM391" s="1"/>
      <c r="AN391" s="1"/>
      <c r="AO391" s="8"/>
      <c r="AP391" s="1"/>
      <c r="AQ391" s="1"/>
      <c r="AR391" s="1"/>
      <c r="AS391" s="8"/>
      <c r="AT391" s="7">
        <v>0.16</v>
      </c>
      <c r="AU391" s="1">
        <v>0.20426311728395</v>
      </c>
      <c r="AV391" s="1">
        <v>34.000307796595102</v>
      </c>
      <c r="AW391" s="1">
        <v>0.98208661704564704</v>
      </c>
      <c r="AX391" s="1">
        <v>17.468223896021399</v>
      </c>
      <c r="AY391" s="1">
        <v>37.005093806745101</v>
      </c>
      <c r="AZ391" s="1">
        <v>0.98768975848927698</v>
      </c>
      <c r="BA391" s="1">
        <v>19.097334266994501</v>
      </c>
      <c r="BB391" s="1">
        <v>44.171744585037203</v>
      </c>
      <c r="BC391" s="1">
        <v>31.5562403202056</v>
      </c>
      <c r="BD391" s="7"/>
      <c r="BE391" s="1"/>
      <c r="BF391" s="1"/>
      <c r="BG391" s="8"/>
      <c r="BH391" s="1"/>
      <c r="BI391" s="1"/>
      <c r="BJ391" s="1"/>
      <c r="BK391" s="8"/>
    </row>
    <row r="392" spans="1:63">
      <c r="A392" s="49"/>
      <c r="B392" s="7" t="s">
        <v>18</v>
      </c>
      <c r="C392" s="17">
        <v>0.12</v>
      </c>
      <c r="D392" s="7">
        <v>39</v>
      </c>
      <c r="E392" s="1">
        <v>0.10711033950617201</v>
      </c>
      <c r="F392" s="1">
        <v>32.332715656731899</v>
      </c>
      <c r="G392" s="1">
        <v>0.95414445650083302</v>
      </c>
      <c r="H392" s="1">
        <v>13.386081547470599</v>
      </c>
      <c r="I392" s="1">
        <v>35.611794548797597</v>
      </c>
      <c r="J392" s="1">
        <v>0.96808504485728697</v>
      </c>
      <c r="K392" s="8">
        <v>14.9600576164577</v>
      </c>
      <c r="L392" s="7">
        <v>35</v>
      </c>
      <c r="M392" s="1">
        <v>0.113657407407407</v>
      </c>
      <c r="N392" s="1">
        <v>34.234931712729399</v>
      </c>
      <c r="O392" s="1">
        <v>0.96638972715750604</v>
      </c>
      <c r="P392" s="1">
        <v>14.7352796198728</v>
      </c>
      <c r="Q392" s="1">
        <v>37.647274354165297</v>
      </c>
      <c r="R392" s="1">
        <v>0.97679384532769697</v>
      </c>
      <c r="S392" s="1">
        <v>16.3439681744821</v>
      </c>
      <c r="T392" s="7"/>
      <c r="U392" s="1"/>
      <c r="V392" s="1"/>
      <c r="W392" s="8"/>
      <c r="X392" s="7"/>
      <c r="Y392" s="1"/>
      <c r="Z392" s="1"/>
      <c r="AA392" s="8"/>
      <c r="AB392" s="7">
        <v>8</v>
      </c>
      <c r="AC392" s="1">
        <v>0.131446759259259</v>
      </c>
      <c r="AD392" s="1">
        <v>34.036734333533602</v>
      </c>
      <c r="AE392" s="1">
        <v>0.96690942106456501</v>
      </c>
      <c r="AF392" s="1">
        <v>14.802956345849299</v>
      </c>
      <c r="AG392" s="1">
        <v>37.366517073434999</v>
      </c>
      <c r="AH392" s="1">
        <v>0.97621197739267995</v>
      </c>
      <c r="AI392" s="1">
        <v>16.236416574340101</v>
      </c>
      <c r="AJ392" s="1">
        <v>35.111515760421703</v>
      </c>
      <c r="AK392" s="1">
        <v>24.9133446216583</v>
      </c>
      <c r="AL392" s="7"/>
      <c r="AM392" s="1"/>
      <c r="AN392" s="1"/>
      <c r="AO392" s="8"/>
      <c r="AP392" s="1"/>
      <c r="AQ392" s="1"/>
      <c r="AR392" s="1"/>
      <c r="AS392" s="8"/>
      <c r="AT392" s="7">
        <v>0.08</v>
      </c>
      <c r="AU392" s="1">
        <v>0.13199459876543199</v>
      </c>
      <c r="AV392" s="1">
        <v>32.707517823806697</v>
      </c>
      <c r="AW392" s="1">
        <v>0.97474444016621897</v>
      </c>
      <c r="AX392" s="1">
        <v>15.9764300014601</v>
      </c>
      <c r="AY392" s="1">
        <v>35.677713902113297</v>
      </c>
      <c r="AZ392" s="1">
        <v>0.98221215592945299</v>
      </c>
      <c r="BA392" s="1">
        <v>17.4987668626143</v>
      </c>
      <c r="BB392" s="1">
        <v>32.245790719985898</v>
      </c>
      <c r="BC392" s="1">
        <v>22.5276100635528</v>
      </c>
      <c r="BD392" s="7"/>
      <c r="BE392" s="1"/>
      <c r="BF392" s="1"/>
      <c r="BG392" s="8"/>
      <c r="BH392" s="1"/>
      <c r="BI392" s="1"/>
      <c r="BJ392" s="1"/>
      <c r="BK392" s="8"/>
    </row>
    <row r="393" spans="1:63">
      <c r="A393" s="49"/>
      <c r="B393" s="7" t="s">
        <v>18</v>
      </c>
      <c r="C393" s="17">
        <v>0.06</v>
      </c>
      <c r="D393" s="7">
        <v>44</v>
      </c>
      <c r="E393" s="1">
        <v>5.4394290123456701E-2</v>
      </c>
      <c r="F393" s="1">
        <v>29.941794002016199</v>
      </c>
      <c r="G393" s="1">
        <v>0.92850897362469598</v>
      </c>
      <c r="H393" s="1">
        <v>11.457484678530101</v>
      </c>
      <c r="I393" s="1">
        <v>33.133695083585103</v>
      </c>
      <c r="J393" s="1">
        <v>0.94618566235423696</v>
      </c>
      <c r="K393" s="8">
        <v>12.6910200071143</v>
      </c>
      <c r="L393" s="7">
        <v>41</v>
      </c>
      <c r="M393" s="1">
        <v>5.3344907407407403E-2</v>
      </c>
      <c r="N393" s="1">
        <v>31.648290356891501</v>
      </c>
      <c r="O393" s="1">
        <v>0.94513790489948002</v>
      </c>
      <c r="P393" s="1">
        <v>12.607276113647201</v>
      </c>
      <c r="Q393" s="1">
        <v>34.977288817278499</v>
      </c>
      <c r="R393" s="1">
        <v>0.95847286890987404</v>
      </c>
      <c r="S393" s="1">
        <v>13.8166807117196</v>
      </c>
      <c r="T393" s="7"/>
      <c r="U393" s="1"/>
      <c r="V393" s="1"/>
      <c r="W393" s="8"/>
      <c r="X393" s="7"/>
      <c r="Y393" s="1"/>
      <c r="Z393" s="1"/>
      <c r="AA393" s="8"/>
      <c r="AB393" s="7">
        <v>4</v>
      </c>
      <c r="AC393" s="1">
        <v>9.6168981481481397E-2</v>
      </c>
      <c r="AD393" s="1">
        <v>32.950234593089299</v>
      </c>
      <c r="AE393" s="1">
        <v>0.95832406782173196</v>
      </c>
      <c r="AF393" s="1">
        <v>13.801146773943699</v>
      </c>
      <c r="AG393" s="1">
        <v>36.229011748308601</v>
      </c>
      <c r="AH393" s="1">
        <v>0.96836948827648495</v>
      </c>
      <c r="AI393" s="1">
        <v>14.998937819413401</v>
      </c>
      <c r="AJ393" s="1">
        <v>34.154398918151799</v>
      </c>
      <c r="AK393" s="1">
        <v>24.8330380916595</v>
      </c>
      <c r="AL393" s="7"/>
      <c r="AM393" s="1"/>
      <c r="AN393" s="1"/>
      <c r="AO393" s="8"/>
      <c r="AP393" s="1"/>
      <c r="AQ393" s="1"/>
      <c r="AR393" s="1"/>
      <c r="AS393" s="8"/>
      <c r="AT393" s="7">
        <v>0.04</v>
      </c>
      <c r="AU393" s="1">
        <v>8.8831018518518504E-2</v>
      </c>
      <c r="AV393" s="1">
        <v>31.087880129022299</v>
      </c>
      <c r="AW393" s="1">
        <v>0.96533314687099003</v>
      </c>
      <c r="AX393" s="1">
        <v>14.6008557947813</v>
      </c>
      <c r="AY393" s="1">
        <v>34.035193964280801</v>
      </c>
      <c r="AZ393" s="1">
        <v>0.97502966586878703</v>
      </c>
      <c r="BA393" s="1">
        <v>16.0257564626015</v>
      </c>
      <c r="BB393" s="1">
        <v>35.389122724533003</v>
      </c>
      <c r="BC393" s="1">
        <v>26.654764175415</v>
      </c>
      <c r="BD393" s="7"/>
      <c r="BE393" s="1"/>
      <c r="BF393" s="1"/>
      <c r="BG393" s="8"/>
      <c r="BH393" s="1"/>
      <c r="BI393" s="1"/>
      <c r="BJ393" s="1"/>
      <c r="BK393" s="8"/>
    </row>
    <row r="394" spans="1:63">
      <c r="A394" s="49"/>
      <c r="B394" s="7" t="s">
        <v>86</v>
      </c>
      <c r="C394" s="17">
        <v>1.5</v>
      </c>
      <c r="D394" s="7">
        <v>24</v>
      </c>
      <c r="E394" s="1">
        <v>1.45837191358024</v>
      </c>
      <c r="F394" s="1">
        <v>39.708002036005702</v>
      </c>
      <c r="G394" s="1">
        <v>0.99247680265973903</v>
      </c>
      <c r="H394" s="1">
        <v>21.235975460949401</v>
      </c>
      <c r="I394" s="1">
        <v>42.851416820416503</v>
      </c>
      <c r="J394" s="1">
        <v>0.99615202967938399</v>
      </c>
      <c r="K394" s="8">
        <v>24.147682863334001</v>
      </c>
      <c r="L394" s="7">
        <v>22</v>
      </c>
      <c r="M394" s="1">
        <v>1.34630015432098</v>
      </c>
      <c r="N394" s="1">
        <v>40.068447291472403</v>
      </c>
      <c r="O394" s="1">
        <v>0.99287373004855195</v>
      </c>
      <c r="P394" s="1">
        <v>21.471377300900301</v>
      </c>
      <c r="Q394" s="1">
        <v>43.2461167159721</v>
      </c>
      <c r="R394" s="1">
        <v>0.99627302215972902</v>
      </c>
      <c r="S394" s="1">
        <v>24.286431894508201</v>
      </c>
      <c r="T394" s="13">
        <f>bdrate(E394:E397,F394:F397,M394:M397,N394:N397)</f>
        <v>-0.14875409577814647</v>
      </c>
      <c r="U394" s="12">
        <f>bdrate(E394:E397,H394:H397,M394:M397,P394:P397)</f>
        <v>-0.12723043826097469</v>
      </c>
      <c r="V394" s="12">
        <f>bdrate(E394:E397,I394:I397,M394:M397,Q394:Q397)</f>
        <v>-0.15829530927422819</v>
      </c>
      <c r="W394" s="14">
        <f>bdrate(E394:E397,K394:K397,M394:M397,S394:S397)</f>
        <v>-9.7089410618359295E-2</v>
      </c>
      <c r="X394" s="13">
        <f>bdrate(E396:E399,F396:F399,M396:M399,N396:N399)</f>
        <v>-0.1676949334990262</v>
      </c>
      <c r="Y394" s="12">
        <f>bdrate(E396:E399,H396:H399,M396:M399,P396:P399)</f>
        <v>-0.13470496533463272</v>
      </c>
      <c r="Z394" s="12">
        <f>bdrate(E396:E399,I396:I399,M396:M399,Q396:Q399)</f>
        <v>-0.19901456102155579</v>
      </c>
      <c r="AA394" s="14">
        <f>bdrate(E396:E399,K396:K399,M396:M399,S396:S399)</f>
        <v>-0.11634601236903752</v>
      </c>
      <c r="AB394" s="7"/>
      <c r="AC394" s="1"/>
      <c r="AD394" s="1"/>
      <c r="AE394" s="1"/>
      <c r="AF394" s="1"/>
      <c r="AG394" s="1"/>
      <c r="AH394" s="1"/>
      <c r="AI394" s="1"/>
      <c r="AJ394" s="1"/>
      <c r="AK394" s="1"/>
      <c r="AL394" s="13" t="e">
        <f>bdrate(E394:E397,F394:F397,AC394:AC397,AD394:AD397)</f>
        <v>#VALUE!</v>
      </c>
      <c r="AM394" s="12" t="e">
        <f>bdrate(E394:E397,H394:H397,AC394:AC397,AF394:AF397)</f>
        <v>#VALUE!</v>
      </c>
      <c r="AN394" s="12" t="e">
        <f>bdrate(E394:E397,I394:I397,AC394:AC397,AG394:AG397)</f>
        <v>#VALUE!</v>
      </c>
      <c r="AO394" s="14" t="e">
        <f>bdrate(E394:E397,K394:K397,AC394:AC397,AI394:AI397)</f>
        <v>#VALUE!</v>
      </c>
      <c r="AP394" s="12">
        <f>bdrate(E396:E399,F396:F399,AC396:AC399,AD396:AD399)</f>
        <v>-8.3432669934320081E-2</v>
      </c>
      <c r="AQ394" s="12">
        <f>bdrate(E396:E399,H396:H399,AC396:AC399,AF396:AF399)</f>
        <v>-8.8250267720721753E-2</v>
      </c>
      <c r="AR394" s="12">
        <f>bdrate(E396:E399,I396:I399,AC396:AC399,AG396:AG399)</f>
        <v>-0.13530859132596551</v>
      </c>
      <c r="AS394" s="14">
        <f>bdrate(E396:E399,K396:K399,AC396:AC399,AI396:AI399)</f>
        <v>-5.4086546909169919E-2</v>
      </c>
      <c r="AT394" s="7"/>
      <c r="AU394" s="1"/>
      <c r="AV394" s="1"/>
      <c r="AW394" s="1"/>
      <c r="AX394" s="1"/>
      <c r="AY394" s="1"/>
      <c r="AZ394" s="1"/>
      <c r="BA394" s="1"/>
      <c r="BB394" s="1"/>
      <c r="BC394" s="1"/>
      <c r="BD394" s="13" t="e">
        <f>bdrate(E394:E397,F394:F397,AU394:AU397,AV394:AV397)</f>
        <v>#VALUE!</v>
      </c>
      <c r="BE394" s="12" t="e">
        <f>bdrate(E394:E397,H394:H397,AU394:AU397,AX394:AX397)</f>
        <v>#VALUE!</v>
      </c>
      <c r="BF394" s="12" t="e">
        <f>bdrate(E394:E397,I394:I397,AU394:AU397,AY394:AY397)</f>
        <v>#VALUE!</v>
      </c>
      <c r="BG394" s="14" t="e">
        <f>bdrate(E394:E397,K394:K397,AU394:AU397,BA394:BA397)</f>
        <v>#VALUE!</v>
      </c>
      <c r="BH394" s="12">
        <f>bdrate(E396:E399,F396:F399,AU396:AU399,AV396:AV399)</f>
        <v>0.20232654604109523</v>
      </c>
      <c r="BI394" s="12">
        <f>bdrate(E396:E399,H396:H399,AU396:AU399,AX396:AX399)</f>
        <v>-0.35177632988704466</v>
      </c>
      <c r="BJ394" s="12">
        <f>bdrate(E396:E399,I396:I399,AU396:AU399,AY396:AY399)</f>
        <v>0.23300705285536449</v>
      </c>
      <c r="BK394" s="14">
        <f>bdrate(E396:E399,K396:K399,AU396:AU399,BA396:BA399)</f>
        <v>-0.28386435117557507</v>
      </c>
    </row>
    <row r="395" spans="1:63">
      <c r="A395" s="49"/>
      <c r="B395" s="7" t="s">
        <v>18</v>
      </c>
      <c r="C395" s="17">
        <v>1</v>
      </c>
      <c r="D395" s="7">
        <v>27</v>
      </c>
      <c r="E395" s="1">
        <v>0.99448688271604901</v>
      </c>
      <c r="F395" s="1">
        <v>37.662175390572202</v>
      </c>
      <c r="G395" s="1">
        <v>0.98766710401916002</v>
      </c>
      <c r="H395" s="1">
        <v>19.08934931448</v>
      </c>
      <c r="I395" s="1">
        <v>40.706030794961897</v>
      </c>
      <c r="J395" s="1">
        <v>0.99280032122707695</v>
      </c>
      <c r="K395" s="8">
        <v>21.426868799936301</v>
      </c>
      <c r="L395" s="7">
        <v>25</v>
      </c>
      <c r="M395" s="1">
        <v>0.93192129629629605</v>
      </c>
      <c r="N395" s="1">
        <v>38.110932268089499</v>
      </c>
      <c r="O395" s="1">
        <v>0.98861879698240596</v>
      </c>
      <c r="P395" s="1">
        <v>19.438118296554698</v>
      </c>
      <c r="Q395" s="1">
        <v>41.183368853057502</v>
      </c>
      <c r="R395" s="1">
        <v>0.99310996928126305</v>
      </c>
      <c r="S395" s="1">
        <v>21.617788418154401</v>
      </c>
      <c r="T395" s="7"/>
      <c r="U395" s="1"/>
      <c r="V395" s="1"/>
      <c r="W395" s="8"/>
      <c r="X395" s="7"/>
      <c r="Y395" s="1"/>
      <c r="Z395" s="1"/>
      <c r="AA395" s="8"/>
      <c r="AB395" s="7">
        <v>64</v>
      </c>
      <c r="AC395" s="1">
        <v>0.74490354938271597</v>
      </c>
      <c r="AD395" s="1">
        <v>36.891593681708997</v>
      </c>
      <c r="AE395" s="1">
        <v>0.98505917638477802</v>
      </c>
      <c r="AF395" s="1">
        <v>18.256254613099902</v>
      </c>
      <c r="AG395" s="1">
        <v>39.956117121229603</v>
      </c>
      <c r="AH395" s="1">
        <v>0.99055044924249602</v>
      </c>
      <c r="AI395" s="1">
        <v>20.245888378584599</v>
      </c>
      <c r="AJ395" s="1">
        <v>72.347013235092106</v>
      </c>
      <c r="AK395" s="1">
        <v>34.553364276885901</v>
      </c>
      <c r="AL395" s="7"/>
      <c r="AM395" s="1"/>
      <c r="AN395" s="1"/>
      <c r="AO395" s="8"/>
      <c r="AP395" s="1"/>
      <c r="AQ395" s="1"/>
      <c r="AR395" s="1"/>
      <c r="AS395" s="8"/>
      <c r="AT395" s="7">
        <v>0.64</v>
      </c>
      <c r="AU395" s="1">
        <v>0.65697145061728301</v>
      </c>
      <c r="AV395" s="1">
        <v>34.627882720598002</v>
      </c>
      <c r="AW395" s="1">
        <v>0.98960751599027896</v>
      </c>
      <c r="AX395" s="1">
        <v>19.832806350435799</v>
      </c>
      <c r="AY395" s="1">
        <v>37.776953987716297</v>
      </c>
      <c r="AZ395" s="1">
        <v>0.99214198106662999</v>
      </c>
      <c r="BA395" s="1">
        <v>21.046869291195001</v>
      </c>
      <c r="BB395" s="1">
        <v>38.207932472228997</v>
      </c>
      <c r="BC395" s="1">
        <v>26.010187625884999</v>
      </c>
      <c r="BD395" s="7"/>
      <c r="BE395" s="1"/>
      <c r="BF395" s="1"/>
      <c r="BG395" s="8"/>
      <c r="BH395" s="1"/>
      <c r="BI395" s="1"/>
      <c r="BJ395" s="1"/>
      <c r="BK395" s="8"/>
    </row>
    <row r="396" spans="1:63">
      <c r="A396" s="49"/>
      <c r="B396" s="7" t="s">
        <v>18</v>
      </c>
      <c r="C396" s="17">
        <v>0.5</v>
      </c>
      <c r="D396" s="7">
        <v>32</v>
      </c>
      <c r="E396" s="1">
        <v>0.48162422839506103</v>
      </c>
      <c r="F396" s="1">
        <v>34.492235951602296</v>
      </c>
      <c r="G396" s="1">
        <v>0.97316064600508501</v>
      </c>
      <c r="H396" s="1">
        <v>15.712279415514899</v>
      </c>
      <c r="I396" s="1">
        <v>37.579769113817498</v>
      </c>
      <c r="J396" s="1">
        <v>0.98065702127772403</v>
      </c>
      <c r="K396" s="8">
        <v>17.134766459182099</v>
      </c>
      <c r="L396" s="7">
        <v>30</v>
      </c>
      <c r="M396" s="1">
        <v>0.46485339506172801</v>
      </c>
      <c r="N396" s="1">
        <v>34.998661304691502</v>
      </c>
      <c r="O396" s="1">
        <v>0.97573862543510204</v>
      </c>
      <c r="P396" s="1">
        <v>16.150845971611599</v>
      </c>
      <c r="Q396" s="1">
        <v>38.128740479292901</v>
      </c>
      <c r="R396" s="1">
        <v>0.98223414553842203</v>
      </c>
      <c r="S396" s="1">
        <v>17.5041389996615</v>
      </c>
      <c r="T396" s="7"/>
      <c r="U396" s="1"/>
      <c r="V396" s="1"/>
      <c r="W396" s="8"/>
      <c r="X396" s="7"/>
      <c r="Y396" s="1"/>
      <c r="Z396" s="1"/>
      <c r="AA396" s="8"/>
      <c r="AB396" s="7">
        <v>32</v>
      </c>
      <c r="AC396" s="1">
        <v>0.48253472222222199</v>
      </c>
      <c r="AD396" s="1">
        <v>34.969548413746402</v>
      </c>
      <c r="AE396" s="1">
        <v>0.97662708112931096</v>
      </c>
      <c r="AF396" s="1">
        <v>16.312870484004002</v>
      </c>
      <c r="AG396" s="1">
        <v>38.108575663576097</v>
      </c>
      <c r="AH396" s="1">
        <v>0.98309400393066004</v>
      </c>
      <c r="AI396" s="1">
        <v>17.7195923633424</v>
      </c>
      <c r="AJ396" s="1">
        <v>53.510818243026698</v>
      </c>
      <c r="AK396" s="1">
        <v>33.210356950759802</v>
      </c>
      <c r="AL396" s="7"/>
      <c r="AM396" s="1"/>
      <c r="AN396" s="1"/>
      <c r="AO396" s="8"/>
      <c r="AP396" s="1"/>
      <c r="AQ396" s="1"/>
      <c r="AR396" s="1"/>
      <c r="AS396" s="8"/>
      <c r="AT396" s="7">
        <v>0.32</v>
      </c>
      <c r="AU396" s="1">
        <v>0.50846836419753005</v>
      </c>
      <c r="AV396" s="1">
        <v>33.9019983394085</v>
      </c>
      <c r="AW396" s="1">
        <v>0.98580660821773802</v>
      </c>
      <c r="AX396" s="1">
        <v>18.479138091724401</v>
      </c>
      <c r="AY396" s="1">
        <v>37.076404971385998</v>
      </c>
      <c r="AZ396" s="1">
        <v>0.98875807300556195</v>
      </c>
      <c r="BA396" s="1">
        <v>19.4915923936117</v>
      </c>
      <c r="BB396" s="1">
        <v>47.330170392990098</v>
      </c>
      <c r="BC396" s="1">
        <v>29.565536260604802</v>
      </c>
      <c r="BD396" s="7"/>
      <c r="BE396" s="1"/>
      <c r="BF396" s="1"/>
      <c r="BG396" s="8"/>
      <c r="BH396" s="1"/>
      <c r="BI396" s="1"/>
      <c r="BJ396" s="1"/>
      <c r="BK396" s="8"/>
    </row>
    <row r="397" spans="1:63">
      <c r="A397" s="49"/>
      <c r="B397" s="7" t="s">
        <v>18</v>
      </c>
      <c r="C397" s="17">
        <v>0.25</v>
      </c>
      <c r="D397" s="7">
        <v>36</v>
      </c>
      <c r="E397" s="1">
        <v>0.24840663580246899</v>
      </c>
      <c r="F397" s="1">
        <v>32.251467100120998</v>
      </c>
      <c r="G397" s="1">
        <v>0.95161098742327499</v>
      </c>
      <c r="H397" s="1">
        <v>13.152532399879799</v>
      </c>
      <c r="I397" s="1">
        <v>35.478190855420699</v>
      </c>
      <c r="J397" s="1">
        <v>0.96063846216579796</v>
      </c>
      <c r="K397" s="8">
        <v>14.049279422564201</v>
      </c>
      <c r="L397" s="7">
        <v>34</v>
      </c>
      <c r="M397" s="1">
        <v>0.24228780864197499</v>
      </c>
      <c r="N397" s="1">
        <v>32.722131872067898</v>
      </c>
      <c r="O397" s="1">
        <v>0.95643877131949495</v>
      </c>
      <c r="P397" s="1">
        <v>13.608998791082399</v>
      </c>
      <c r="Q397" s="1">
        <v>36.007425800085997</v>
      </c>
      <c r="R397" s="1">
        <v>0.96426685566305603</v>
      </c>
      <c r="S397" s="1">
        <v>14.469287663864</v>
      </c>
      <c r="T397" s="7"/>
      <c r="U397" s="1"/>
      <c r="V397" s="1"/>
      <c r="W397" s="8"/>
      <c r="X397" s="7"/>
      <c r="Y397" s="1"/>
      <c r="Z397" s="1"/>
      <c r="AA397" s="8"/>
      <c r="AB397" s="7">
        <v>16</v>
      </c>
      <c r="AC397" s="1">
        <v>0.29089891975308602</v>
      </c>
      <c r="AD397" s="1">
        <v>33.083534099139698</v>
      </c>
      <c r="AE397" s="1">
        <v>0.96178424959129305</v>
      </c>
      <c r="AF397" s="1">
        <v>14.1775760814074</v>
      </c>
      <c r="AG397" s="1">
        <v>36.367427552178</v>
      </c>
      <c r="AH397" s="1">
        <v>0.96914059362393601</v>
      </c>
      <c r="AI397" s="1">
        <v>15.106124324556101</v>
      </c>
      <c r="AJ397" s="1">
        <v>36.998374700546201</v>
      </c>
      <c r="AK397" s="1">
        <v>25.0961287021636</v>
      </c>
      <c r="AL397" s="7"/>
      <c r="AM397" s="1"/>
      <c r="AN397" s="1"/>
      <c r="AO397" s="8"/>
      <c r="AP397" s="1"/>
      <c r="AQ397" s="1"/>
      <c r="AR397" s="1"/>
      <c r="AS397" s="8"/>
      <c r="AT397" s="7">
        <v>0.16</v>
      </c>
      <c r="AU397" s="1">
        <v>0.35961805555555498</v>
      </c>
      <c r="AV397" s="1">
        <v>32.835934140373702</v>
      </c>
      <c r="AW397" s="1">
        <v>0.97825511937781295</v>
      </c>
      <c r="AX397" s="1">
        <v>16.626429722372201</v>
      </c>
      <c r="AY397" s="1">
        <v>36.017050225138199</v>
      </c>
      <c r="AZ397" s="1">
        <v>0.98210801416397697</v>
      </c>
      <c r="BA397" s="1">
        <v>17.473414543032899</v>
      </c>
      <c r="BB397" s="1">
        <v>44.490459680557201</v>
      </c>
      <c r="BC397" s="1">
        <v>30.832359313964801</v>
      </c>
      <c r="BD397" s="7"/>
      <c r="BE397" s="1"/>
      <c r="BF397" s="1"/>
      <c r="BG397" s="8"/>
      <c r="BH397" s="1"/>
      <c r="BI397" s="1"/>
      <c r="BJ397" s="1"/>
      <c r="BK397" s="8"/>
    </row>
    <row r="398" spans="1:63">
      <c r="A398" s="49"/>
      <c r="B398" s="7" t="s">
        <v>18</v>
      </c>
      <c r="C398" s="17">
        <v>0.12</v>
      </c>
      <c r="D398" s="7">
        <v>40</v>
      </c>
      <c r="E398" s="1">
        <v>0.118545524691358</v>
      </c>
      <c r="F398" s="1">
        <v>30.278232910441801</v>
      </c>
      <c r="G398" s="1">
        <v>0.91535774028055095</v>
      </c>
      <c r="H398" s="1">
        <v>10.724127506658499</v>
      </c>
      <c r="I398" s="1">
        <v>33.6481386356025</v>
      </c>
      <c r="J398" s="1">
        <v>0.92560551175780004</v>
      </c>
      <c r="K398" s="8">
        <v>11.284592393824701</v>
      </c>
      <c r="L398" s="7">
        <v>38</v>
      </c>
      <c r="M398" s="1">
        <v>0.117592592592592</v>
      </c>
      <c r="N398" s="1">
        <v>30.710315044935601</v>
      </c>
      <c r="O398" s="1">
        <v>0.92280406309666696</v>
      </c>
      <c r="P398" s="1">
        <v>11.1240555752565</v>
      </c>
      <c r="Q398" s="1">
        <v>34.147740240659303</v>
      </c>
      <c r="R398" s="1">
        <v>0.93204554497055203</v>
      </c>
      <c r="S398" s="1">
        <v>11.6778206606492</v>
      </c>
      <c r="T398" s="7"/>
      <c r="U398" s="1"/>
      <c r="V398" s="1"/>
      <c r="W398" s="8"/>
      <c r="X398" s="7"/>
      <c r="Y398" s="1"/>
      <c r="Z398" s="1"/>
      <c r="AA398" s="8"/>
      <c r="AB398" s="7">
        <v>8</v>
      </c>
      <c r="AC398" s="1">
        <v>0.17054398148148101</v>
      </c>
      <c r="AD398" s="1">
        <v>31.376058401559799</v>
      </c>
      <c r="AE398" s="1">
        <v>0.93903741289868403</v>
      </c>
      <c r="AF398" s="1">
        <v>12.149366108944299</v>
      </c>
      <c r="AG398" s="1">
        <v>34.854081499758998</v>
      </c>
      <c r="AH398" s="1">
        <v>0.94643246346927301</v>
      </c>
      <c r="AI398" s="1">
        <v>12.7109832554634</v>
      </c>
      <c r="AJ398" s="1">
        <v>35.309727191924999</v>
      </c>
      <c r="AK398" s="1">
        <v>23.8017625808715</v>
      </c>
      <c r="AL398" s="7"/>
      <c r="AM398" s="1"/>
      <c r="AN398" s="1"/>
      <c r="AO398" s="8"/>
      <c r="AP398" s="1"/>
      <c r="AQ398" s="1"/>
      <c r="AR398" s="1"/>
      <c r="AS398" s="8"/>
      <c r="AT398" s="7">
        <v>0.08</v>
      </c>
      <c r="AU398" s="1">
        <v>0.24163966049382701</v>
      </c>
      <c r="AV398" s="1">
        <v>31.677141606314802</v>
      </c>
      <c r="AW398" s="1">
        <v>0.96634753613472402</v>
      </c>
      <c r="AX398" s="1">
        <v>14.7298313340372</v>
      </c>
      <c r="AY398" s="1">
        <v>34.836629790237403</v>
      </c>
      <c r="AZ398" s="1">
        <v>0.97118485931566001</v>
      </c>
      <c r="BA398" s="1">
        <v>15.403792557188099</v>
      </c>
      <c r="BB398" s="1">
        <v>32.742253303527797</v>
      </c>
      <c r="BC398" s="1">
        <v>22.177067041396999</v>
      </c>
      <c r="BD398" s="7"/>
      <c r="BE398" s="1"/>
      <c r="BF398" s="1"/>
      <c r="BG398" s="8"/>
      <c r="BH398" s="1"/>
      <c r="BI398" s="1"/>
      <c r="BJ398" s="1"/>
      <c r="BK398" s="8"/>
    </row>
    <row r="399" spans="1:63">
      <c r="A399" s="49"/>
      <c r="B399" s="7" t="s">
        <v>18</v>
      </c>
      <c r="C399" s="17">
        <v>0.06</v>
      </c>
      <c r="D399" s="7">
        <v>44</v>
      </c>
      <c r="E399" s="1">
        <v>5.2291666666666597E-2</v>
      </c>
      <c r="F399" s="1">
        <v>28.6030503556794</v>
      </c>
      <c r="G399" s="1">
        <v>0.85867116914121899</v>
      </c>
      <c r="H399" s="1">
        <v>8.4976923372363196</v>
      </c>
      <c r="I399" s="1">
        <v>32.0849505981761</v>
      </c>
      <c r="J399" s="1">
        <v>0.86971207294463404</v>
      </c>
      <c r="K399" s="8">
        <v>8.8509582570072993</v>
      </c>
      <c r="L399" s="7">
        <v>42</v>
      </c>
      <c r="M399" s="1">
        <v>5.3460648148148097E-2</v>
      </c>
      <c r="N399" s="1">
        <v>29.028801403733802</v>
      </c>
      <c r="O399" s="1">
        <v>0.87158917757137</v>
      </c>
      <c r="P399" s="1">
        <v>8.9139837250574399</v>
      </c>
      <c r="Q399" s="1">
        <v>32.605709172576901</v>
      </c>
      <c r="R399" s="1">
        <v>0.882066707443243</v>
      </c>
      <c r="S399" s="1">
        <v>9.2836357630745194</v>
      </c>
      <c r="T399" s="7"/>
      <c r="U399" s="1"/>
      <c r="V399" s="1"/>
      <c r="W399" s="8"/>
      <c r="X399" s="7"/>
      <c r="Y399" s="1"/>
      <c r="Z399" s="1"/>
      <c r="AA399" s="8"/>
      <c r="AB399" s="7">
        <v>4</v>
      </c>
      <c r="AC399" s="1">
        <v>9.7357253086419696E-2</v>
      </c>
      <c r="AD399" s="1">
        <v>29.9210228464704</v>
      </c>
      <c r="AE399" s="1">
        <v>0.90366488963017</v>
      </c>
      <c r="AF399" s="1">
        <v>10.162154007171599</v>
      </c>
      <c r="AG399" s="1">
        <v>33.5549565139886</v>
      </c>
      <c r="AH399" s="1">
        <v>0.91172507924950696</v>
      </c>
      <c r="AI399" s="1">
        <v>10.541626636559901</v>
      </c>
      <c r="AJ399" s="1">
        <v>34.2177219390869</v>
      </c>
      <c r="AK399" s="1">
        <v>24.907940626144399</v>
      </c>
      <c r="AL399" s="7"/>
      <c r="AM399" s="1"/>
      <c r="AN399" s="1"/>
      <c r="AO399" s="8"/>
      <c r="AP399" s="1"/>
      <c r="AQ399" s="1"/>
      <c r="AR399" s="1"/>
      <c r="AS399" s="8"/>
      <c r="AT399" s="7">
        <v>0.04</v>
      </c>
      <c r="AU399" s="1">
        <v>0.161292438271604</v>
      </c>
      <c r="AV399" s="1">
        <v>30.495501779550601</v>
      </c>
      <c r="AW399" s="1">
        <v>0.94952334515372805</v>
      </c>
      <c r="AX399" s="1">
        <v>12.9690943407183</v>
      </c>
      <c r="AY399" s="1">
        <v>33.676517436997898</v>
      </c>
      <c r="AZ399" s="1">
        <v>0.95549029739549796</v>
      </c>
      <c r="BA399" s="1">
        <v>13.5154530748461</v>
      </c>
      <c r="BB399" s="1">
        <v>38.086078405380199</v>
      </c>
      <c r="BC399" s="1">
        <v>26.8684802055358</v>
      </c>
      <c r="BD399" s="7"/>
      <c r="BE399" s="1"/>
      <c r="BF399" s="1"/>
      <c r="BG399" s="8"/>
      <c r="BH399" s="1"/>
      <c r="BI399" s="1"/>
      <c r="BJ399" s="1"/>
      <c r="BK399" s="8"/>
    </row>
    <row r="400" spans="1:63">
      <c r="A400" s="49"/>
      <c r="B400" s="7" t="s">
        <v>87</v>
      </c>
      <c r="C400" s="17">
        <v>1.5</v>
      </c>
      <c r="D400" s="7">
        <v>17</v>
      </c>
      <c r="E400" s="1">
        <v>1.3062255668491001</v>
      </c>
      <c r="F400" s="1">
        <v>45.3090502177022</v>
      </c>
      <c r="G400" s="1">
        <v>0.99762374573789803</v>
      </c>
      <c r="H400" s="1">
        <v>26.241070911658099</v>
      </c>
      <c r="I400" s="1">
        <v>48.705638058609402</v>
      </c>
      <c r="J400" s="1">
        <v>0.998794984327946</v>
      </c>
      <c r="K400" s="8">
        <v>29.190073047554002</v>
      </c>
      <c r="L400" s="7">
        <v>14</v>
      </c>
      <c r="M400" s="1">
        <v>1.3982896794370601</v>
      </c>
      <c r="N400" s="1">
        <v>45.9511539866268</v>
      </c>
      <c r="O400" s="1">
        <v>0.99796418041367796</v>
      </c>
      <c r="P400" s="1">
        <v>26.912607116676099</v>
      </c>
      <c r="Q400" s="1">
        <v>49.493595821316497</v>
      </c>
      <c r="R400" s="1">
        <v>0.99900014275807902</v>
      </c>
      <c r="S400" s="1">
        <v>30.000620034719098</v>
      </c>
      <c r="T400" s="13">
        <f>bdrate(E400:E403,F400:F403,M400:M403,N400:N403)</f>
        <v>-0.25880573818966313</v>
      </c>
      <c r="U400" s="12">
        <f>bdrate(E400:E403,H400:H403,M400:M403,P400:P403)</f>
        <v>-0.24546572235342767</v>
      </c>
      <c r="V400" s="12">
        <f>bdrate(E400:E403,I400:I403,M400:M403,Q400:Q403)</f>
        <v>-0.26171068279715815</v>
      </c>
      <c r="W400" s="14">
        <f>bdrate(E400:E403,K400:K403,M400:M403,S400:S403)</f>
        <v>-0.21708367608741697</v>
      </c>
      <c r="X400" s="13">
        <f>bdrate(E402:E405,F402:F405,M402:M405,N402:N405)</f>
        <v>-0.32830457710550343</v>
      </c>
      <c r="Y400" s="12">
        <f>bdrate(E402:E405,H402:H405,M402:M405,P402:P405)</f>
        <v>-0.29923787278932024</v>
      </c>
      <c r="Z400" s="12">
        <f>bdrate(E402:E405,I402:I405,M402:M405,Q402:Q405)</f>
        <v>-0.3261806616207843</v>
      </c>
      <c r="AA400" s="14">
        <f>bdrate(E402:E405,K402:K405,M402:M405,S402:S405)</f>
        <v>-0.2605418050468411</v>
      </c>
      <c r="AB400" s="7"/>
      <c r="AC400" s="1"/>
      <c r="AD400" s="1"/>
      <c r="AE400" s="1"/>
      <c r="AF400" s="1"/>
      <c r="AG400" s="1"/>
      <c r="AH400" s="1"/>
      <c r="AI400" s="1"/>
      <c r="AJ400" s="1"/>
      <c r="AK400" s="1"/>
      <c r="AL400" s="13" t="e">
        <f>bdrate(E400:E403,F400:F403,AC400:AC403,AD400:AD403)</f>
        <v>#VALUE!</v>
      </c>
      <c r="AM400" s="12" t="e">
        <f>bdrate(E400:E403,H400:H403,AC400:AC403,AF400:AF403)</f>
        <v>#VALUE!</v>
      </c>
      <c r="AN400" s="12" t="e">
        <f>bdrate(E400:E403,I400:I403,AC400:AC403,AG400:AG403)</f>
        <v>#VALUE!</v>
      </c>
      <c r="AO400" s="14" t="e">
        <f>bdrate(E400:E403,K400:K403,AC400:AC403,AI400:AI403)</f>
        <v>#VALUE!</v>
      </c>
      <c r="AP400" s="12">
        <f>bdrate(E402:E405,F402:F405,AC402:AC405,AD402:AD405)</f>
        <v>-0.1226861458245101</v>
      </c>
      <c r="AQ400" s="12">
        <f>bdrate(E402:E405,H402:H405,AC402:AC405,AF402:AF405)</f>
        <v>-0.1569871816952314</v>
      </c>
      <c r="AR400" s="12">
        <f>bdrate(E402:E405,I402:I405,AC402:AC405,AG402:AG405)</f>
        <v>-0.11933683825011887</v>
      </c>
      <c r="AS400" s="14">
        <f>bdrate(E402:E405,K402:K405,AC402:AC405,AI402:AI405)</f>
        <v>-7.0832245752940448E-2</v>
      </c>
      <c r="AT400" s="7"/>
      <c r="AU400" s="1"/>
      <c r="AV400" s="1"/>
      <c r="AW400" s="1"/>
      <c r="AX400" s="1"/>
      <c r="AY400" s="1"/>
      <c r="AZ400" s="1"/>
      <c r="BA400" s="1"/>
      <c r="BB400" s="1"/>
      <c r="BC400" s="1"/>
      <c r="BD400" s="13" t="e">
        <f>bdrate(E400:E403,F400:F403,AU400:AU403,AV400:AV403)</f>
        <v>#VALUE!</v>
      </c>
      <c r="BE400" s="12" t="e">
        <f>bdrate(E400:E403,H400:H403,AU400:AU403,AX400:AX403)</f>
        <v>#VALUE!</v>
      </c>
      <c r="BF400" s="12" t="e">
        <f>bdrate(E400:E403,I400:I403,AU400:AU403,AY400:AY403)</f>
        <v>#VALUE!</v>
      </c>
      <c r="BG400" s="14" t="e">
        <f>bdrate(E400:E403,K400:K403,AU400:AU403,BA400:BA403)</f>
        <v>#VALUE!</v>
      </c>
      <c r="BH400" s="12">
        <f>bdrate(E402:E405,F402:F405,AU402:AU405,AV402:AV405)</f>
        <v>0.31564956911180686</v>
      </c>
      <c r="BI400" s="12">
        <f>bdrate(E402:E405,H402:H405,AU402:AU405,AX402:AX405)</f>
        <v>-0.35770276247733068</v>
      </c>
      <c r="BJ400" s="12">
        <f>bdrate(E402:E405,I402:I405,AU402:AU405,AY402:AY405)</f>
        <v>0.35313887985808501</v>
      </c>
      <c r="BK400" s="14">
        <f>bdrate(E402:E405,K402:K405,AU402:AU405,BA402:BA405)</f>
        <v>-0.30436985190514598</v>
      </c>
    </row>
    <row r="401" spans="1:63">
      <c r="A401" s="49"/>
      <c r="B401" s="7" t="s">
        <v>18</v>
      </c>
      <c r="C401" s="17">
        <v>1</v>
      </c>
      <c r="D401" s="7">
        <v>19</v>
      </c>
      <c r="E401" s="1">
        <v>0.99403505342715603</v>
      </c>
      <c r="F401" s="1">
        <v>44.372312359126902</v>
      </c>
      <c r="G401" s="1">
        <v>0.997070494942638</v>
      </c>
      <c r="H401" s="1">
        <v>25.332057479099099</v>
      </c>
      <c r="I401" s="1">
        <v>47.722292794630299</v>
      </c>
      <c r="J401" s="1">
        <v>0.99846692423934202</v>
      </c>
      <c r="K401" s="8">
        <v>28.144363829000099</v>
      </c>
      <c r="L401" s="7">
        <v>17</v>
      </c>
      <c r="M401" s="1">
        <v>0.88176309616888104</v>
      </c>
      <c r="N401" s="1">
        <v>44.6468147901669</v>
      </c>
      <c r="O401" s="1">
        <v>0.99725841919323799</v>
      </c>
      <c r="P401" s="1">
        <v>25.6199894897311</v>
      </c>
      <c r="Q401" s="1">
        <v>48.035017271005302</v>
      </c>
      <c r="R401" s="1">
        <v>0.99852597227912199</v>
      </c>
      <c r="S401" s="1">
        <v>28.314943489661001</v>
      </c>
      <c r="T401" s="7"/>
      <c r="U401" s="1"/>
      <c r="V401" s="1"/>
      <c r="W401" s="8"/>
      <c r="X401" s="7"/>
      <c r="Y401" s="1"/>
      <c r="Z401" s="1"/>
      <c r="AA401" s="8"/>
      <c r="AB401" s="7">
        <v>64</v>
      </c>
      <c r="AC401" s="1">
        <v>0.30161258795934298</v>
      </c>
      <c r="AD401" s="1">
        <v>40.571767100539098</v>
      </c>
      <c r="AE401" s="1">
        <v>0.99372942928524499</v>
      </c>
      <c r="AF401" s="1">
        <v>22.0269293014391</v>
      </c>
      <c r="AG401" s="1">
        <v>43.690386352776798</v>
      </c>
      <c r="AH401" s="1">
        <v>0.99594035058338504</v>
      </c>
      <c r="AI401" s="1">
        <v>23.9151146962576</v>
      </c>
      <c r="AJ401" s="1">
        <v>78.515080213546696</v>
      </c>
      <c r="AK401" s="1">
        <v>38.115102052688599</v>
      </c>
      <c r="AL401" s="7"/>
      <c r="AM401" s="1"/>
      <c r="AN401" s="1"/>
      <c r="AO401" s="8"/>
      <c r="AP401" s="1"/>
      <c r="AQ401" s="1"/>
      <c r="AR401" s="1"/>
      <c r="AS401" s="8"/>
      <c r="AT401" s="7">
        <v>0.64</v>
      </c>
      <c r="AU401" s="1">
        <v>0.29645230648944398</v>
      </c>
      <c r="AV401" s="1">
        <v>38.311455858833803</v>
      </c>
      <c r="AW401" s="1">
        <v>0.99521054341792903</v>
      </c>
      <c r="AX401" s="1">
        <v>23.197137594030099</v>
      </c>
      <c r="AY401" s="1">
        <v>41.1228265335765</v>
      </c>
      <c r="AZ401" s="1">
        <v>0.99677825841906498</v>
      </c>
      <c r="BA401" s="1">
        <v>24.919092977079799</v>
      </c>
      <c r="BB401" s="1">
        <v>43.987817287444997</v>
      </c>
      <c r="BC401" s="1">
        <v>29.2243473529815</v>
      </c>
      <c r="BD401" s="7"/>
      <c r="BE401" s="1"/>
      <c r="BF401" s="1"/>
      <c r="BG401" s="8"/>
      <c r="BH401" s="1"/>
      <c r="BI401" s="1"/>
      <c r="BJ401" s="1"/>
      <c r="BK401" s="8"/>
    </row>
    <row r="402" spans="1:63">
      <c r="A402" s="49"/>
      <c r="B402" s="7" t="s">
        <v>18</v>
      </c>
      <c r="C402" s="17">
        <v>0.5</v>
      </c>
      <c r="D402" s="7">
        <v>25</v>
      </c>
      <c r="E402" s="1">
        <v>0.47409434454000499</v>
      </c>
      <c r="F402" s="1">
        <v>41.730807169673703</v>
      </c>
      <c r="G402" s="1">
        <v>0.99483848874806402</v>
      </c>
      <c r="H402" s="1">
        <v>22.872231215737798</v>
      </c>
      <c r="I402" s="1">
        <v>44.928496744840501</v>
      </c>
      <c r="J402" s="1">
        <v>0.99697738735665498</v>
      </c>
      <c r="K402" s="8">
        <v>25.196175053649299</v>
      </c>
      <c r="L402" s="7">
        <v>22</v>
      </c>
      <c r="M402" s="1">
        <v>0.45024107375553801</v>
      </c>
      <c r="N402" s="1">
        <v>42.734532807084598</v>
      </c>
      <c r="O402" s="1">
        <v>0.99576586186063998</v>
      </c>
      <c r="P402" s="1">
        <v>23.732349771661401</v>
      </c>
      <c r="Q402" s="1">
        <v>46.007007076599599</v>
      </c>
      <c r="R402" s="1">
        <v>0.99755545766096299</v>
      </c>
      <c r="S402" s="1">
        <v>26.118024364321499</v>
      </c>
      <c r="T402" s="7"/>
      <c r="U402" s="1"/>
      <c r="V402" s="1"/>
      <c r="W402" s="8"/>
      <c r="X402" s="7"/>
      <c r="Y402" s="1"/>
      <c r="Z402" s="1"/>
      <c r="AA402" s="8"/>
      <c r="AB402" s="7">
        <v>32</v>
      </c>
      <c r="AC402" s="1">
        <v>0.22535509512640001</v>
      </c>
      <c r="AD402" s="1">
        <v>39.166653427089798</v>
      </c>
      <c r="AE402" s="1">
        <v>0.99160771277631199</v>
      </c>
      <c r="AF402" s="1">
        <v>20.761196609527101</v>
      </c>
      <c r="AG402" s="1">
        <v>42.198642832752498</v>
      </c>
      <c r="AH402" s="1">
        <v>0.99402388958126697</v>
      </c>
      <c r="AI402" s="1">
        <v>22.235813867945499</v>
      </c>
      <c r="AJ402" s="1">
        <v>62.873022079467702</v>
      </c>
      <c r="AK402" s="1">
        <v>38.121146678924497</v>
      </c>
      <c r="AL402" s="7"/>
      <c r="AM402" s="1"/>
      <c r="AN402" s="1"/>
      <c r="AO402" s="8"/>
      <c r="AP402" s="1"/>
      <c r="AQ402" s="1"/>
      <c r="AR402" s="1"/>
      <c r="AS402" s="8"/>
      <c r="AT402" s="7">
        <v>0.32</v>
      </c>
      <c r="AU402" s="1">
        <v>0.21178980974719799</v>
      </c>
      <c r="AV402" s="1">
        <v>36.891836238250001</v>
      </c>
      <c r="AW402" s="1">
        <v>0.99324138356425895</v>
      </c>
      <c r="AX402" s="1">
        <v>21.701421998900202</v>
      </c>
      <c r="AY402" s="1">
        <v>39.699190312609197</v>
      </c>
      <c r="AZ402" s="1">
        <v>0.99518775828369999</v>
      </c>
      <c r="BA402" s="1">
        <v>23.176525664072699</v>
      </c>
      <c r="BB402" s="1">
        <v>53.694872140884399</v>
      </c>
      <c r="BC402" s="1">
        <v>32.934302330016997</v>
      </c>
      <c r="BD402" s="7"/>
      <c r="BE402" s="1"/>
      <c r="BF402" s="1"/>
      <c r="BG402" s="8"/>
      <c r="BH402" s="1"/>
      <c r="BI402" s="1"/>
      <c r="BJ402" s="1"/>
      <c r="BK402" s="8"/>
    </row>
    <row r="403" spans="1:63">
      <c r="A403" s="49"/>
      <c r="B403" s="7" t="s">
        <v>18</v>
      </c>
      <c r="C403" s="17">
        <v>0.25</v>
      </c>
      <c r="D403" s="7">
        <v>31</v>
      </c>
      <c r="E403" s="1">
        <v>0.24056228824602499</v>
      </c>
      <c r="F403" s="1">
        <v>38.7701226009927</v>
      </c>
      <c r="G403" s="1">
        <v>0.99016358360971701</v>
      </c>
      <c r="H403" s="1">
        <v>20.071630952063501</v>
      </c>
      <c r="I403" s="1">
        <v>41.805936184526601</v>
      </c>
      <c r="J403" s="1">
        <v>0.99338869711915301</v>
      </c>
      <c r="K403" s="8">
        <v>21.797129462323099</v>
      </c>
      <c r="L403" s="7">
        <v>28</v>
      </c>
      <c r="M403" s="1">
        <v>0.22526713578316299</v>
      </c>
      <c r="N403" s="1">
        <v>40.239644435590897</v>
      </c>
      <c r="O403" s="1">
        <v>0.99255694093521996</v>
      </c>
      <c r="P403" s="1">
        <v>21.282485346281899</v>
      </c>
      <c r="Q403" s="1">
        <v>43.3195321502361</v>
      </c>
      <c r="R403" s="1">
        <v>0.99499664192952397</v>
      </c>
      <c r="S403" s="1">
        <v>23.0073841527228</v>
      </c>
      <c r="T403" s="7"/>
      <c r="U403" s="1"/>
      <c r="V403" s="1"/>
      <c r="W403" s="8"/>
      <c r="X403" s="7"/>
      <c r="Y403" s="1"/>
      <c r="Z403" s="1"/>
      <c r="AA403" s="8"/>
      <c r="AB403" s="7">
        <v>16</v>
      </c>
      <c r="AC403" s="1">
        <v>0.16304078707323399</v>
      </c>
      <c r="AD403" s="1">
        <v>37.640841710275602</v>
      </c>
      <c r="AE403" s="1">
        <v>0.98785276392408805</v>
      </c>
      <c r="AF403" s="1">
        <v>19.1552252811762</v>
      </c>
      <c r="AG403" s="1">
        <v>40.576680463920098</v>
      </c>
      <c r="AH403" s="1">
        <v>0.99049580939652704</v>
      </c>
      <c r="AI403" s="1">
        <v>20.220848626399999</v>
      </c>
      <c r="AJ403" s="1">
        <v>42.633472681045497</v>
      </c>
      <c r="AK403" s="1">
        <v>28.387864112854</v>
      </c>
      <c r="AL403" s="7"/>
      <c r="AM403" s="1"/>
      <c r="AN403" s="1"/>
      <c r="AO403" s="8"/>
      <c r="AP403" s="1"/>
      <c r="AQ403" s="1"/>
      <c r="AR403" s="1"/>
      <c r="AS403" s="8"/>
      <c r="AT403" s="7">
        <v>0.16</v>
      </c>
      <c r="AU403" s="1">
        <v>0.15192533229085201</v>
      </c>
      <c r="AV403" s="1">
        <v>35.258949598302202</v>
      </c>
      <c r="AW403" s="1">
        <v>0.99014569938032604</v>
      </c>
      <c r="AX403" s="1">
        <v>20.063741930785799</v>
      </c>
      <c r="AY403" s="1">
        <v>38.0707809134394</v>
      </c>
      <c r="AZ403" s="1">
        <v>0.99264983550146002</v>
      </c>
      <c r="BA403" s="1">
        <v>21.337029411867402</v>
      </c>
      <c r="BB403" s="1">
        <v>39.442998409271198</v>
      </c>
      <c r="BC403" s="1">
        <v>24.807966232299801</v>
      </c>
      <c r="BD403" s="7"/>
      <c r="BE403" s="1"/>
      <c r="BF403" s="1"/>
      <c r="BG403" s="8"/>
      <c r="BH403" s="1"/>
      <c r="BI403" s="1"/>
      <c r="BJ403" s="1"/>
      <c r="BK403" s="8"/>
    </row>
    <row r="404" spans="1:63">
      <c r="A404" s="49"/>
      <c r="B404" s="7" t="s">
        <v>18</v>
      </c>
      <c r="C404" s="17">
        <v>0.12</v>
      </c>
      <c r="D404" s="7">
        <v>38</v>
      </c>
      <c r="E404" s="1">
        <v>0.10946377378159999</v>
      </c>
      <c r="F404" s="1">
        <v>34.956251504646097</v>
      </c>
      <c r="G404" s="1">
        <v>0.97732963123746797</v>
      </c>
      <c r="H404" s="1">
        <v>16.4454141546104</v>
      </c>
      <c r="I404" s="1">
        <v>37.900003554561998</v>
      </c>
      <c r="J404" s="1">
        <v>0.98279236940716597</v>
      </c>
      <c r="K404" s="8">
        <v>17.642789257967799</v>
      </c>
      <c r="L404" s="7">
        <v>34</v>
      </c>
      <c r="M404" s="1">
        <v>0.11826948136565001</v>
      </c>
      <c r="N404" s="1">
        <v>37.337612162763698</v>
      </c>
      <c r="O404" s="1">
        <v>0.985849770979358</v>
      </c>
      <c r="P404" s="1">
        <v>18.492365310516298</v>
      </c>
      <c r="Q404" s="1">
        <v>40.300427720822199</v>
      </c>
      <c r="R404" s="1">
        <v>0.98917578773663195</v>
      </c>
      <c r="S404" s="1">
        <v>19.6560369978945</v>
      </c>
      <c r="T404" s="7"/>
      <c r="U404" s="1"/>
      <c r="V404" s="1"/>
      <c r="W404" s="8"/>
      <c r="X404" s="7"/>
      <c r="Y404" s="1"/>
      <c r="Z404" s="1"/>
      <c r="AA404" s="8"/>
      <c r="AB404" s="7">
        <v>8</v>
      </c>
      <c r="AC404" s="1">
        <v>0.12185626791764299</v>
      </c>
      <c r="AD404" s="1">
        <v>36.086706038333197</v>
      </c>
      <c r="AE404" s="1">
        <v>0.98305354869825401</v>
      </c>
      <c r="AF404" s="1">
        <v>17.709212320582498</v>
      </c>
      <c r="AG404" s="1">
        <v>39.030232900663599</v>
      </c>
      <c r="AH404" s="1">
        <v>0.98589462455397503</v>
      </c>
      <c r="AI404" s="1">
        <v>18.5061534963857</v>
      </c>
      <c r="AJ404" s="1">
        <v>41.337474584579397</v>
      </c>
      <c r="AK404" s="1">
        <v>29.653846740722599</v>
      </c>
      <c r="AL404" s="7"/>
      <c r="AM404" s="1"/>
      <c r="AN404" s="1"/>
      <c r="AO404" s="8"/>
      <c r="AP404" s="1"/>
      <c r="AQ404" s="1"/>
      <c r="AR404" s="1"/>
      <c r="AS404" s="8"/>
      <c r="AT404" s="7">
        <v>0.08</v>
      </c>
      <c r="AU404" s="1">
        <v>0.11169859265050799</v>
      </c>
      <c r="AV404" s="1">
        <v>33.687461676216301</v>
      </c>
      <c r="AW404" s="1">
        <v>0.98594529778977602</v>
      </c>
      <c r="AX404" s="1">
        <v>18.521783517517701</v>
      </c>
      <c r="AY404" s="1">
        <v>36.487713086129702</v>
      </c>
      <c r="AZ404" s="1">
        <v>0.98908266812914603</v>
      </c>
      <c r="BA404" s="1">
        <v>19.6188348757908</v>
      </c>
      <c r="BB404" s="1">
        <v>36.720217704772899</v>
      </c>
      <c r="BC404" s="1">
        <v>26.561439037322899</v>
      </c>
      <c r="BD404" s="7"/>
      <c r="BE404" s="1"/>
      <c r="BF404" s="1"/>
      <c r="BG404" s="8"/>
      <c r="BH404" s="1"/>
      <c r="BI404" s="1"/>
      <c r="BJ404" s="1"/>
      <c r="BK404" s="8"/>
    </row>
    <row r="405" spans="1:63">
      <c r="A405" s="49"/>
      <c r="B405" s="7" t="s">
        <v>18</v>
      </c>
      <c r="C405" s="17">
        <v>0.06</v>
      </c>
      <c r="D405" s="7">
        <v>44</v>
      </c>
      <c r="E405" s="1">
        <v>5.3847406828251197E-2</v>
      </c>
      <c r="F405" s="1">
        <v>31.490550227736598</v>
      </c>
      <c r="G405" s="1">
        <v>0.95239469487767403</v>
      </c>
      <c r="H405" s="1">
        <v>13.22344646923</v>
      </c>
      <c r="I405" s="1">
        <v>34.443768691312798</v>
      </c>
      <c r="J405" s="1">
        <v>0.96028067437076803</v>
      </c>
      <c r="K405" s="8">
        <v>14.0099813374135</v>
      </c>
      <c r="L405" s="7">
        <v>41</v>
      </c>
      <c r="M405" s="1">
        <v>5.4264399270263199E-2</v>
      </c>
      <c r="N405" s="1">
        <v>33.377602471020097</v>
      </c>
      <c r="O405" s="1">
        <v>0.96722184807424905</v>
      </c>
      <c r="P405" s="1">
        <v>14.844155361552099</v>
      </c>
      <c r="Q405" s="1">
        <v>36.355601361167302</v>
      </c>
      <c r="R405" s="1">
        <v>0.97245776189330602</v>
      </c>
      <c r="S405" s="1">
        <v>15.6000077149038</v>
      </c>
      <c r="T405" s="7"/>
      <c r="U405" s="1"/>
      <c r="V405" s="1"/>
      <c r="W405" s="8"/>
      <c r="X405" s="7"/>
      <c r="Y405" s="1"/>
      <c r="Z405" s="1"/>
      <c r="AA405" s="8"/>
      <c r="AB405" s="7">
        <v>4</v>
      </c>
      <c r="AC405" s="1">
        <v>8.9930284076101097E-2</v>
      </c>
      <c r="AD405" s="1">
        <v>34.413453603733899</v>
      </c>
      <c r="AE405" s="1">
        <v>0.97494306528891495</v>
      </c>
      <c r="AF405" s="1">
        <v>16.010720586205998</v>
      </c>
      <c r="AG405" s="1">
        <v>37.416139007693701</v>
      </c>
      <c r="AH405" s="1">
        <v>0.97810907432431604</v>
      </c>
      <c r="AI405" s="1">
        <v>16.597358735466599</v>
      </c>
      <c r="AJ405" s="1">
        <v>40.7946453094482</v>
      </c>
      <c r="AK405" s="1">
        <v>29.220223426818801</v>
      </c>
      <c r="AL405" s="7"/>
      <c r="AM405" s="1"/>
      <c r="AN405" s="1"/>
      <c r="AO405" s="8"/>
      <c r="AP405" s="1"/>
      <c r="AQ405" s="1"/>
      <c r="AR405" s="1"/>
      <c r="AS405" s="8"/>
      <c r="AT405" s="7">
        <v>0.04</v>
      </c>
      <c r="AU405" s="1">
        <v>8.1297237425071597E-2</v>
      </c>
      <c r="AV405" s="1">
        <v>32.093553905500897</v>
      </c>
      <c r="AW405" s="1">
        <v>0.97923209256300703</v>
      </c>
      <c r="AX405" s="1">
        <v>16.8260726053519</v>
      </c>
      <c r="AY405" s="1">
        <v>34.914658543575001</v>
      </c>
      <c r="AZ405" s="1">
        <v>0.98344457996007195</v>
      </c>
      <c r="BA405" s="1">
        <v>17.8105979596243</v>
      </c>
      <c r="BB405" s="1">
        <v>41.882069826126099</v>
      </c>
      <c r="BC405" s="1">
        <v>32.451222181320098</v>
      </c>
      <c r="BD405" s="7"/>
      <c r="BE405" s="1"/>
      <c r="BF405" s="1"/>
      <c r="BG405" s="8"/>
      <c r="BH405" s="1"/>
      <c r="BI405" s="1"/>
      <c r="BJ405" s="1"/>
      <c r="BK405" s="8"/>
    </row>
    <row r="406" spans="1:63">
      <c r="A406" s="49"/>
      <c r="B406" s="7" t="s">
        <v>88</v>
      </c>
      <c r="C406" s="17">
        <v>1.5</v>
      </c>
      <c r="D406" s="7">
        <v>21</v>
      </c>
      <c r="E406" s="1">
        <v>1.4435351562500001</v>
      </c>
      <c r="F406" s="1">
        <v>43.4661783611121</v>
      </c>
      <c r="G406" s="1">
        <v>0.99557548494164205</v>
      </c>
      <c r="H406" s="1">
        <v>23.541343224848902</v>
      </c>
      <c r="I406" s="1">
        <v>47.173162331557798</v>
      </c>
      <c r="J406" s="1">
        <v>0.99802661871901799</v>
      </c>
      <c r="K406" s="8">
        <v>27.047889957267401</v>
      </c>
      <c r="L406" s="7">
        <v>17</v>
      </c>
      <c r="M406" s="1">
        <v>1.4552669270833301</v>
      </c>
      <c r="N406" s="1">
        <v>44.941338351025401</v>
      </c>
      <c r="O406" s="1">
        <v>0.99672053942201699</v>
      </c>
      <c r="P406" s="1">
        <v>24.841975853344199</v>
      </c>
      <c r="Q406" s="1">
        <v>48.661782367408001</v>
      </c>
      <c r="R406" s="1">
        <v>0.99847171080944497</v>
      </c>
      <c r="S406" s="1">
        <v>28.157944586016601</v>
      </c>
      <c r="T406" s="13">
        <f>bdrate(E406:E409,F406:F409,M406:M409,N406:N409)</f>
        <v>-0.27345885542144477</v>
      </c>
      <c r="U406" s="12">
        <f>bdrate(E406:E409,H406:H409,M406:M409,P406:P409)</f>
        <v>-0.31032475398353898</v>
      </c>
      <c r="V406" s="12">
        <f>bdrate(E406:E409,I406:I409,M406:M409,Q406:Q409)</f>
        <v>-0.24621183300916238</v>
      </c>
      <c r="W406" s="14">
        <f>bdrate(E406:E409,K406:K409,M406:M409,S406:S409)</f>
        <v>-0.20698672153238939</v>
      </c>
      <c r="X406" s="13">
        <f>bdrate(E408:E411,F408:F411,M408:M411,N408:N411)</f>
        <v>-0.25476059869437684</v>
      </c>
      <c r="Y406" s="12">
        <f>bdrate(E408:E411,H408:H411,M408:M411,P408:P411)</f>
        <v>-0.27379326081370448</v>
      </c>
      <c r="Z406" s="12">
        <f>bdrate(E408:E411,I408:I411,M408:M411,Q408:Q411)</f>
        <v>-0.26485876442184964</v>
      </c>
      <c r="AA406" s="14">
        <f>bdrate(E408:E411,K408:K411,M408:M411,S408:S411)</f>
        <v>-0.18665238411770657</v>
      </c>
      <c r="AB406" s="7"/>
      <c r="AC406" s="1"/>
      <c r="AD406" s="1"/>
      <c r="AE406" s="1"/>
      <c r="AF406" s="1"/>
      <c r="AG406" s="1"/>
      <c r="AH406" s="1"/>
      <c r="AI406" s="1"/>
      <c r="AJ406" s="1"/>
      <c r="AK406" s="1"/>
      <c r="AL406" s="13" t="e">
        <f>bdrate(E406:E409,F406:F409,AC406:AC409,AD406:AD409)</f>
        <v>#VALUE!</v>
      </c>
      <c r="AM406" s="12" t="e">
        <f>bdrate(E406:E409,H406:H409,AC406:AC409,AF406:AF409)</f>
        <v>#VALUE!</v>
      </c>
      <c r="AN406" s="12" t="e">
        <f>bdrate(E406:E409,I406:I409,AC406:AC409,AG406:AG409)</f>
        <v>#VALUE!</v>
      </c>
      <c r="AO406" s="14" t="e">
        <f>bdrate(E406:E409,K406:K409,AC406:AC409,AI406:AI409)</f>
        <v>#VALUE!</v>
      </c>
      <c r="AP406" s="12">
        <f>bdrate(E408:E411,F408:F411,AC408:AC411,AD408:AD411)</f>
        <v>-0.22580481040382794</v>
      </c>
      <c r="AQ406" s="12">
        <f>bdrate(E408:E411,H408:H411,AC408:AC411,AF408:AF411)</f>
        <v>-0.37767361414195821</v>
      </c>
      <c r="AR406" s="12">
        <f>bdrate(E408:E411,I408:I411,AC408:AC411,AG408:AG411)</f>
        <v>-0.24050539187447262</v>
      </c>
      <c r="AS406" s="14">
        <f>bdrate(E408:E411,K408:K411,AC408:AC411,AI408:AI411)</f>
        <v>-0.25650655298117619</v>
      </c>
      <c r="AT406" s="7"/>
      <c r="AU406" s="1"/>
      <c r="AV406" s="1"/>
      <c r="AW406" s="1"/>
      <c r="AX406" s="1"/>
      <c r="AY406" s="1"/>
      <c r="AZ406" s="1"/>
      <c r="BA406" s="1"/>
      <c r="BB406" s="1"/>
      <c r="BC406" s="1"/>
      <c r="BD406" s="13" t="e">
        <f>bdrate(E406:E409,F406:F409,AU406:AU409,AV406:AV409)</f>
        <v>#VALUE!</v>
      </c>
      <c r="BE406" s="12" t="e">
        <f>bdrate(E406:E409,H406:H409,AU406:AU409,AX406:AX409)</f>
        <v>#VALUE!</v>
      </c>
      <c r="BF406" s="12" t="e">
        <f>bdrate(E406:E409,I406:I409,AU406:AU409,AY406:AY409)</f>
        <v>#VALUE!</v>
      </c>
      <c r="BG406" s="14" t="e">
        <f>bdrate(E406:E409,K406:K409,AU406:AU409,BA406:BA409)</f>
        <v>#VALUE!</v>
      </c>
      <c r="BH406" s="12">
        <f>bdrate(E408:E411,F408:F411,AU408:AU411,AV408:AV411)</f>
        <v>0.33034542512795717</v>
      </c>
      <c r="BI406" s="12">
        <f>bdrate(E408:E411,H408:H411,AU408:AU411,AX408:AX411)</f>
        <v>-0.62535019380611612</v>
      </c>
      <c r="BJ406" s="12">
        <f>bdrate(E408:E411,I408:I411,AU408:AU411,AY408:AY411)</f>
        <v>0.38697088359074372</v>
      </c>
      <c r="BK406" s="14">
        <f>bdrate(E408:E411,K408:K411,AU408:AU411,BA408:BA411)</f>
        <v>-0.54327769517076141</v>
      </c>
    </row>
    <row r="407" spans="1:63">
      <c r="A407" s="49"/>
      <c r="B407" s="7" t="s">
        <v>18</v>
      </c>
      <c r="C407" s="17">
        <v>1</v>
      </c>
      <c r="D407" s="7">
        <v>25</v>
      </c>
      <c r="E407" s="1">
        <v>0.94330078125000005</v>
      </c>
      <c r="F407" s="1">
        <v>40.9511231838651</v>
      </c>
      <c r="G407" s="1">
        <v>0.99290790157962405</v>
      </c>
      <c r="H407" s="1">
        <v>21.492252461211098</v>
      </c>
      <c r="I407" s="1">
        <v>44.317843673163601</v>
      </c>
      <c r="J407" s="1">
        <v>0.99644926355233598</v>
      </c>
      <c r="K407" s="8">
        <v>24.4968156187836</v>
      </c>
      <c r="L407" s="7">
        <v>21</v>
      </c>
      <c r="M407" s="1">
        <v>0.963619791666666</v>
      </c>
      <c r="N407" s="1">
        <v>42.8265645368351</v>
      </c>
      <c r="O407" s="1">
        <v>0.99527772119299296</v>
      </c>
      <c r="P407" s="1">
        <v>23.258483754169799</v>
      </c>
      <c r="Q407" s="1">
        <v>46.210892474512598</v>
      </c>
      <c r="R407" s="1">
        <v>0.99754948876493399</v>
      </c>
      <c r="S407" s="1">
        <v>26.107433020001999</v>
      </c>
      <c r="T407" s="7"/>
      <c r="U407" s="1"/>
      <c r="V407" s="1"/>
      <c r="W407" s="8"/>
      <c r="X407" s="7"/>
      <c r="Y407" s="1"/>
      <c r="Z407" s="1"/>
      <c r="AA407" s="8"/>
      <c r="AB407" s="7">
        <v>64</v>
      </c>
      <c r="AC407" s="1">
        <v>0.50463216145833301</v>
      </c>
      <c r="AD407" s="1">
        <v>39.108498094913202</v>
      </c>
      <c r="AE407" s="1">
        <v>0.99217671682836905</v>
      </c>
      <c r="AF407" s="1">
        <v>21.0661094974237</v>
      </c>
      <c r="AG407" s="1">
        <v>41.962093199117</v>
      </c>
      <c r="AH407" s="1">
        <v>0.99482655510234497</v>
      </c>
      <c r="AI407" s="1">
        <v>22.862201722214799</v>
      </c>
      <c r="AJ407" s="1">
        <v>75.223250865936194</v>
      </c>
      <c r="AK407" s="1">
        <v>39.787914514541598</v>
      </c>
      <c r="AL407" s="7"/>
      <c r="AM407" s="1"/>
      <c r="AN407" s="1"/>
      <c r="AO407" s="8"/>
      <c r="AP407" s="1"/>
      <c r="AQ407" s="1"/>
      <c r="AR407" s="1"/>
      <c r="AS407" s="8"/>
      <c r="AT407" s="7">
        <v>0.64</v>
      </c>
      <c r="AU407" s="1">
        <v>0.37515950520833302</v>
      </c>
      <c r="AV407" s="1">
        <v>34.499874611066801</v>
      </c>
      <c r="AW407" s="1">
        <v>0.99386981593405299</v>
      </c>
      <c r="AX407" s="1">
        <v>22.125264850859899</v>
      </c>
      <c r="AY407" s="1">
        <v>37.150349592648404</v>
      </c>
      <c r="AZ407" s="1">
        <v>0.99549928937780197</v>
      </c>
      <c r="BA407" s="1">
        <v>23.467189095727299</v>
      </c>
      <c r="BB407" s="1">
        <v>43.553366661071699</v>
      </c>
      <c r="BC407" s="1">
        <v>29.426390171051001</v>
      </c>
      <c r="BD407" s="7"/>
      <c r="BE407" s="1"/>
      <c r="BF407" s="1"/>
      <c r="BG407" s="8"/>
      <c r="BH407" s="1"/>
      <c r="BI407" s="1"/>
      <c r="BJ407" s="1"/>
      <c r="BK407" s="8"/>
    </row>
    <row r="408" spans="1:63">
      <c r="A408" s="49"/>
      <c r="B408" s="7" t="s">
        <v>18</v>
      </c>
      <c r="C408" s="17">
        <v>0.5</v>
      </c>
      <c r="D408" s="7">
        <v>31</v>
      </c>
      <c r="E408" s="1">
        <v>0.46175781249999998</v>
      </c>
      <c r="F408" s="1">
        <v>37.177262233556597</v>
      </c>
      <c r="G408" s="1">
        <v>0.98456846128917597</v>
      </c>
      <c r="H408" s="1">
        <v>18.1159076737157</v>
      </c>
      <c r="I408" s="1">
        <v>40.024963787160097</v>
      </c>
      <c r="J408" s="1">
        <v>0.99042892961220697</v>
      </c>
      <c r="K408" s="8">
        <v>20.190394898598399</v>
      </c>
      <c r="L408" s="7">
        <v>28</v>
      </c>
      <c r="M408" s="1">
        <v>0.459166666666666</v>
      </c>
      <c r="N408" s="1">
        <v>38.799311621306501</v>
      </c>
      <c r="O408" s="1">
        <v>0.98960033144145199</v>
      </c>
      <c r="P408" s="1">
        <v>19.829805016134799</v>
      </c>
      <c r="Q408" s="1">
        <v>41.602646501306999</v>
      </c>
      <c r="R408" s="1">
        <v>0.99285480235358603</v>
      </c>
      <c r="S408" s="1">
        <v>21.459857534986501</v>
      </c>
      <c r="T408" s="7"/>
      <c r="U408" s="1"/>
      <c r="V408" s="1"/>
      <c r="W408" s="8"/>
      <c r="X408" s="7"/>
      <c r="Y408" s="1"/>
      <c r="Z408" s="1"/>
      <c r="AA408" s="8"/>
      <c r="AB408" s="7">
        <v>32</v>
      </c>
      <c r="AC408" s="1">
        <v>0.36632486979166601</v>
      </c>
      <c r="AD408" s="1">
        <v>37.457926020190399</v>
      </c>
      <c r="AE408" s="1">
        <v>0.98877923943239798</v>
      </c>
      <c r="AF408" s="1">
        <v>19.4997770465583</v>
      </c>
      <c r="AG408" s="1">
        <v>40.1928879394208</v>
      </c>
      <c r="AH408" s="1">
        <v>0.991549034090492</v>
      </c>
      <c r="AI408" s="1">
        <v>20.730936501988001</v>
      </c>
      <c r="AJ408" s="1">
        <v>60.175278186798003</v>
      </c>
      <c r="AK408" s="1">
        <v>38.726502656936603</v>
      </c>
      <c r="AL408" s="7"/>
      <c r="AM408" s="1"/>
      <c r="AN408" s="1"/>
      <c r="AO408" s="8"/>
      <c r="AP408" s="1"/>
      <c r="AQ408" s="1"/>
      <c r="AR408" s="1"/>
      <c r="AS408" s="8"/>
      <c r="AT408" s="7">
        <v>0.32</v>
      </c>
      <c r="AU408" s="1">
        <v>0.28597981770833297</v>
      </c>
      <c r="AV408" s="1">
        <v>33.814176649062297</v>
      </c>
      <c r="AW408" s="1">
        <v>0.99156459175850298</v>
      </c>
      <c r="AX408" s="1">
        <v>20.738938943743001</v>
      </c>
      <c r="AY408" s="1">
        <v>36.4148702432134</v>
      </c>
      <c r="AZ408" s="1">
        <v>0.993510799171335</v>
      </c>
      <c r="BA408" s="1">
        <v>21.878087850289301</v>
      </c>
      <c r="BB408" s="1">
        <v>52.762135982513399</v>
      </c>
      <c r="BC408" s="1">
        <v>33.228192806243896</v>
      </c>
      <c r="BD408" s="7"/>
      <c r="BE408" s="1"/>
      <c r="BF408" s="1"/>
      <c r="BG408" s="8"/>
      <c r="BH408" s="1"/>
      <c r="BI408" s="1"/>
      <c r="BJ408" s="1"/>
      <c r="BK408" s="8"/>
    </row>
    <row r="409" spans="1:63">
      <c r="A409" s="49"/>
      <c r="B409" s="7" t="s">
        <v>18</v>
      </c>
      <c r="C409" s="17">
        <v>0.25</v>
      </c>
      <c r="D409" s="7">
        <v>36</v>
      </c>
      <c r="E409" s="1">
        <v>0.22643229166666601</v>
      </c>
      <c r="F409" s="1">
        <v>34.108615626625202</v>
      </c>
      <c r="G409" s="1">
        <v>0.97032839408196003</v>
      </c>
      <c r="H409" s="1">
        <v>15.2765894770173</v>
      </c>
      <c r="I409" s="1">
        <v>36.757682682788499</v>
      </c>
      <c r="J409" s="1">
        <v>0.97763029843802496</v>
      </c>
      <c r="K409" s="8">
        <v>16.503398098618899</v>
      </c>
      <c r="L409" s="7">
        <v>33</v>
      </c>
      <c r="M409" s="1">
        <v>0.24418294270833299</v>
      </c>
      <c r="N409" s="1">
        <v>35.684803928897402</v>
      </c>
      <c r="O409" s="1">
        <v>0.979975316680053</v>
      </c>
      <c r="P409" s="1">
        <v>16.984343433329698</v>
      </c>
      <c r="Q409" s="1">
        <v>38.3687123003577</v>
      </c>
      <c r="R409" s="1">
        <v>0.98390630001899704</v>
      </c>
      <c r="S409" s="1">
        <v>17.933440990578799</v>
      </c>
      <c r="T409" s="7"/>
      <c r="U409" s="1"/>
      <c r="V409" s="1"/>
      <c r="W409" s="8"/>
      <c r="X409" s="7"/>
      <c r="Y409" s="1"/>
      <c r="Z409" s="1"/>
      <c r="AA409" s="8"/>
      <c r="AB409" s="7">
        <v>16</v>
      </c>
      <c r="AC409" s="1">
        <v>0.24497070312499999</v>
      </c>
      <c r="AD409" s="1">
        <v>35.550146381639998</v>
      </c>
      <c r="AE409" s="1">
        <v>0.98247781341912399</v>
      </c>
      <c r="AF409" s="1">
        <v>17.564116994947199</v>
      </c>
      <c r="AG409" s="1">
        <v>38.2618490456559</v>
      </c>
      <c r="AH409" s="1">
        <v>0.98544191567274697</v>
      </c>
      <c r="AI409" s="1">
        <v>18.368957693114002</v>
      </c>
      <c r="AJ409" s="1">
        <v>40.361373901367102</v>
      </c>
      <c r="AK409" s="1">
        <v>30.248591184616</v>
      </c>
      <c r="AL409" s="7"/>
      <c r="AM409" s="1"/>
      <c r="AN409" s="1"/>
      <c r="AO409" s="8"/>
      <c r="AP409" s="1"/>
      <c r="AQ409" s="1"/>
      <c r="AR409" s="1"/>
      <c r="AS409" s="8"/>
      <c r="AT409" s="7">
        <v>0.16</v>
      </c>
      <c r="AU409" s="1">
        <v>0.20381835937500001</v>
      </c>
      <c r="AV409" s="1">
        <v>32.741949874727702</v>
      </c>
      <c r="AW409" s="1">
        <v>0.98744896748373501</v>
      </c>
      <c r="AX409" s="1">
        <v>19.0132054528484</v>
      </c>
      <c r="AY409" s="1">
        <v>35.264790194553001</v>
      </c>
      <c r="AZ409" s="1">
        <v>0.98984933814178</v>
      </c>
      <c r="BA409" s="1">
        <v>19.9350563932698</v>
      </c>
      <c r="BB409" s="1">
        <v>36.9484732151031</v>
      </c>
      <c r="BC409" s="1">
        <v>26.375883817672701</v>
      </c>
      <c r="BD409" s="7"/>
      <c r="BE409" s="1"/>
      <c r="BF409" s="1"/>
      <c r="BG409" s="8"/>
      <c r="BH409" s="1"/>
      <c r="BI409" s="1"/>
      <c r="BJ409" s="1"/>
      <c r="BK409" s="8"/>
    </row>
    <row r="410" spans="1:63">
      <c r="A410" s="49"/>
      <c r="B410" s="7" t="s">
        <v>18</v>
      </c>
      <c r="C410" s="17">
        <v>0.12</v>
      </c>
      <c r="D410" s="7">
        <v>40</v>
      </c>
      <c r="E410" s="1">
        <v>0.116956380208333</v>
      </c>
      <c r="F410" s="1">
        <v>31.864465939640201</v>
      </c>
      <c r="G410" s="1">
        <v>0.95193235722875502</v>
      </c>
      <c r="H410" s="1">
        <v>13.1814717507423</v>
      </c>
      <c r="I410" s="1">
        <v>34.521480185188203</v>
      </c>
      <c r="J410" s="1">
        <v>0.95902281085738095</v>
      </c>
      <c r="K410" s="8">
        <v>13.874578356302299</v>
      </c>
      <c r="L410" s="7">
        <v>38</v>
      </c>
      <c r="M410" s="1">
        <v>0.111012369791666</v>
      </c>
      <c r="N410" s="1">
        <v>32.5576325777851</v>
      </c>
      <c r="O410" s="1">
        <v>0.95861450276270299</v>
      </c>
      <c r="P410" s="1">
        <v>13.8315182248478</v>
      </c>
      <c r="Q410" s="1">
        <v>35.293506369748201</v>
      </c>
      <c r="R410" s="1">
        <v>0.96307694674630695</v>
      </c>
      <c r="S410" s="1">
        <v>14.32702393334</v>
      </c>
      <c r="T410" s="7"/>
      <c r="U410" s="1"/>
      <c r="V410" s="1"/>
      <c r="W410" s="8"/>
      <c r="X410" s="7"/>
      <c r="Y410" s="1"/>
      <c r="Z410" s="1"/>
      <c r="AA410" s="8"/>
      <c r="AB410" s="7">
        <v>8</v>
      </c>
      <c r="AC410" s="1">
        <v>0.157255859375</v>
      </c>
      <c r="AD410" s="1">
        <v>33.6465036769346</v>
      </c>
      <c r="AE410" s="1">
        <v>0.97311579629766698</v>
      </c>
      <c r="AF410" s="1">
        <v>15.705028225978401</v>
      </c>
      <c r="AG410" s="1">
        <v>36.415720153861102</v>
      </c>
      <c r="AH410" s="1">
        <v>0.97607816009910897</v>
      </c>
      <c r="AI410" s="1">
        <v>16.212054204999099</v>
      </c>
      <c r="AJ410" s="1">
        <v>41.267249107360797</v>
      </c>
      <c r="AK410" s="1">
        <v>28.303562164306602</v>
      </c>
      <c r="AL410" s="7"/>
      <c r="AM410" s="1"/>
      <c r="AN410" s="1"/>
      <c r="AO410" s="8"/>
      <c r="AP410" s="1"/>
      <c r="AQ410" s="1"/>
      <c r="AR410" s="1"/>
      <c r="AS410" s="8"/>
      <c r="AT410" s="7">
        <v>0.08</v>
      </c>
      <c r="AU410" s="1">
        <v>0.139430338541666</v>
      </c>
      <c r="AV410" s="1">
        <v>31.567225840668399</v>
      </c>
      <c r="AW410" s="1">
        <v>0.98107562028499296</v>
      </c>
      <c r="AX410" s="1">
        <v>17.229783464785999</v>
      </c>
      <c r="AY410" s="1">
        <v>34.111902910594999</v>
      </c>
      <c r="AZ410" s="1">
        <v>0.98393830911109104</v>
      </c>
      <c r="BA410" s="1">
        <v>17.942087364504001</v>
      </c>
      <c r="BB410" s="1">
        <v>37.446281194686797</v>
      </c>
      <c r="BC410" s="1">
        <v>27.658542633056602</v>
      </c>
      <c r="BD410" s="7"/>
      <c r="BE410" s="1"/>
      <c r="BF410" s="1"/>
      <c r="BG410" s="8"/>
      <c r="BH410" s="1"/>
      <c r="BI410" s="1"/>
      <c r="BJ410" s="1"/>
      <c r="BK410" s="8"/>
    </row>
    <row r="411" spans="1:63">
      <c r="A411" s="49"/>
      <c r="B411" s="7" t="s">
        <v>18</v>
      </c>
      <c r="C411" s="17">
        <v>0.06</v>
      </c>
      <c r="D411" s="7">
        <v>44</v>
      </c>
      <c r="E411" s="1">
        <v>5.4840494791666597E-2</v>
      </c>
      <c r="F411" s="1">
        <v>29.8291683814812</v>
      </c>
      <c r="G411" s="1">
        <v>0.92541436835199997</v>
      </c>
      <c r="H411" s="1">
        <v>11.2734482798313</v>
      </c>
      <c r="I411" s="1">
        <v>32.569945595021302</v>
      </c>
      <c r="J411" s="1">
        <v>0.93184347473295404</v>
      </c>
      <c r="K411" s="8">
        <v>11.664925587315899</v>
      </c>
      <c r="L411" s="7">
        <v>42</v>
      </c>
      <c r="M411" s="1">
        <v>5.3645833333333302E-2</v>
      </c>
      <c r="N411" s="1">
        <v>30.487945863274</v>
      </c>
      <c r="O411" s="1">
        <v>0.93526978973862696</v>
      </c>
      <c r="P411" s="1">
        <v>11.8889298227288</v>
      </c>
      <c r="Q411" s="1">
        <v>33.315806031070103</v>
      </c>
      <c r="R411" s="1">
        <v>0.93920397801348199</v>
      </c>
      <c r="S411" s="1">
        <v>12.161248366125299</v>
      </c>
      <c r="T411" s="7"/>
      <c r="U411" s="1"/>
      <c r="V411" s="1"/>
      <c r="W411" s="8"/>
      <c r="X411" s="7"/>
      <c r="Y411" s="1"/>
      <c r="Z411" s="1"/>
      <c r="AA411" s="8"/>
      <c r="AB411" s="7">
        <v>4</v>
      </c>
      <c r="AC411" s="1">
        <v>9.6956380208333304E-2</v>
      </c>
      <c r="AD411" s="1">
        <v>31.895892198902899</v>
      </c>
      <c r="AE411" s="1">
        <v>0.95764735753716301</v>
      </c>
      <c r="AF411" s="1">
        <v>13.7311948801976</v>
      </c>
      <c r="AG411" s="1">
        <v>34.7396724819654</v>
      </c>
      <c r="AH411" s="1">
        <v>0.96035018324097299</v>
      </c>
      <c r="AI411" s="1">
        <v>14.0175881542651</v>
      </c>
      <c r="AJ411" s="1">
        <v>40.333927869796703</v>
      </c>
      <c r="AK411" s="1">
        <v>29.707863807678201</v>
      </c>
      <c r="AL411" s="7"/>
      <c r="AM411" s="1"/>
      <c r="AN411" s="1"/>
      <c r="AO411" s="8"/>
      <c r="AP411" s="1"/>
      <c r="AQ411" s="1"/>
      <c r="AR411" s="1"/>
      <c r="AS411" s="8"/>
      <c r="AT411" s="7">
        <v>0.04</v>
      </c>
      <c r="AU411" s="1">
        <v>9.3277994791666596E-2</v>
      </c>
      <c r="AV411" s="1">
        <v>30.383382534137301</v>
      </c>
      <c r="AW411" s="1">
        <v>0.971594950197333</v>
      </c>
      <c r="AX411" s="1">
        <v>15.4660444493611</v>
      </c>
      <c r="AY411" s="1">
        <v>32.905151326227497</v>
      </c>
      <c r="AZ411" s="1">
        <v>0.97486144748436199</v>
      </c>
      <c r="BA411" s="1">
        <v>15.9965973271885</v>
      </c>
      <c r="BB411" s="1">
        <v>40.360170602798398</v>
      </c>
      <c r="BC411" s="1">
        <v>31.003288984298699</v>
      </c>
      <c r="BD411" s="7"/>
      <c r="BE411" s="1"/>
      <c r="BF411" s="1"/>
      <c r="BG411" s="8"/>
      <c r="BH411" s="1"/>
      <c r="BI411" s="1"/>
      <c r="BJ411" s="1"/>
      <c r="BK411" s="8"/>
    </row>
    <row r="412" spans="1:63">
      <c r="A412" s="49"/>
      <c r="B412" s="7" t="s">
        <v>89</v>
      </c>
      <c r="C412" s="17">
        <v>1.5</v>
      </c>
      <c r="D412" s="7">
        <v>12</v>
      </c>
      <c r="E412" s="1">
        <v>1.25851236979166</v>
      </c>
      <c r="F412" s="1">
        <v>48.620767112703497</v>
      </c>
      <c r="G412" s="1">
        <v>0.99782944911256899</v>
      </c>
      <c r="H412" s="1">
        <v>26.634300278988601</v>
      </c>
      <c r="I412" s="1">
        <v>52.287326477919002</v>
      </c>
      <c r="J412" s="1">
        <v>0.99910094183569598</v>
      </c>
      <c r="K412" s="8">
        <v>30.462122108042902</v>
      </c>
      <c r="L412" s="7">
        <v>10</v>
      </c>
      <c r="M412" s="1">
        <v>1.22806640625</v>
      </c>
      <c r="N412" s="1">
        <v>48.353987255737202</v>
      </c>
      <c r="O412" s="1">
        <v>0.99808240391249703</v>
      </c>
      <c r="P412" s="1">
        <v>27.172428650705001</v>
      </c>
      <c r="Q412" s="1">
        <v>52.202086620411499</v>
      </c>
      <c r="R412" s="1">
        <v>0.99913077351736901</v>
      </c>
      <c r="S412" s="1">
        <v>30.608670505463898</v>
      </c>
      <c r="T412" s="13">
        <f>bdrate(E412:E415,F412:F415,M412:M415,N412:N415)</f>
        <v>-7.9279790519182325E-2</v>
      </c>
      <c r="U412" s="12">
        <f>bdrate(E412:E415,H412:H415,M412:M415,P412:P415)</f>
        <v>-0.29574165909077355</v>
      </c>
      <c r="V412" s="12">
        <f>bdrate(E412:E415,I412:I415,M412:M415,Q412:Q415)</f>
        <v>-0.12757812994005968</v>
      </c>
      <c r="W412" s="14">
        <f>bdrate(E412:E415,K412:K415,M412:M415,S412:S415)</f>
        <v>-0.15783168892970534</v>
      </c>
      <c r="X412" s="13">
        <f>bdrate(E414:E417,F414:F417,M414:M417,N414:N417)</f>
        <v>-0.24676960511423351</v>
      </c>
      <c r="Y412" s="12">
        <f>bdrate(E414:E417,H414:H417,M414:M417,P414:P417)</f>
        <v>-0.32748712069574737</v>
      </c>
      <c r="Z412" s="12">
        <f>bdrate(E414:E417,I414:I417,M414:M417,Q414:Q417)</f>
        <v>-0.25530954554110408</v>
      </c>
      <c r="AA412" s="14">
        <f>bdrate(E414:E417,K414:K417,M414:M417,S414:S417)</f>
        <v>-0.25353413869516972</v>
      </c>
      <c r="AB412" s="7"/>
      <c r="AC412" s="1"/>
      <c r="AD412" s="1"/>
      <c r="AE412" s="1"/>
      <c r="AF412" s="1"/>
      <c r="AG412" s="1"/>
      <c r="AH412" s="1"/>
      <c r="AI412" s="1"/>
      <c r="AJ412" s="1"/>
      <c r="AK412" s="1"/>
      <c r="AL412" s="13" t="e">
        <f>bdrate(E412:E415,F412:F415,AC412:AC415,AD412:AD415)</f>
        <v>#VALUE!</v>
      </c>
      <c r="AM412" s="12" t="e">
        <f>bdrate(E412:E415,H412:H415,AC412:AC415,AF412:AF415)</f>
        <v>#VALUE!</v>
      </c>
      <c r="AN412" s="12" t="e">
        <f>bdrate(E412:E415,I412:I415,AC412:AC415,AG412:AG415)</f>
        <v>#VALUE!</v>
      </c>
      <c r="AO412" s="14" t="e">
        <f>bdrate(E412:E415,K412:K415,AC412:AC415,AI412:AI415)</f>
        <v>#VALUE!</v>
      </c>
      <c r="AP412" s="12">
        <f>bdrate(E414:E417,F414:F417,AC414:AC417,AD414:AD417)</f>
        <v>-0.2079390966882898</v>
      </c>
      <c r="AQ412" s="12">
        <f>bdrate(E414:E417,H414:H417,AC414:AC417,AF414:AF417)</f>
        <v>-0.27201218753045775</v>
      </c>
      <c r="AR412" s="12">
        <f>bdrate(E414:E417,I414:I417,AC414:AC417,AG414:AG417)</f>
        <v>-0.20659564315321011</v>
      </c>
      <c r="AS412" s="14">
        <f>bdrate(E414:E417,K414:K417,AC414:AC417,AI414:AI417)</f>
        <v>-0.17074057540987164</v>
      </c>
      <c r="AT412" s="7"/>
      <c r="AU412" s="1"/>
      <c r="AV412" s="1"/>
      <c r="AW412" s="1"/>
      <c r="AX412" s="1"/>
      <c r="AY412" s="1"/>
      <c r="AZ412" s="1"/>
      <c r="BA412" s="1"/>
      <c r="BB412" s="1"/>
      <c r="BC412" s="1"/>
      <c r="BD412" s="13" t="e">
        <f>bdrate(E412:E415,F412:F415,AU412:AU415,AV412:AV415)</f>
        <v>#VALUE!</v>
      </c>
      <c r="BE412" s="12" t="e">
        <f>bdrate(E412:E415,H412:H415,AU412:AU415,AX412:AX415)</f>
        <v>#VALUE!</v>
      </c>
      <c r="BF412" s="12" t="e">
        <f>bdrate(E412:E415,I412:I415,AU412:AU415,AY412:AY415)</f>
        <v>#VALUE!</v>
      </c>
      <c r="BG412" s="14" t="e">
        <f>bdrate(E412:E415,K412:K415,AU412:AU415,BA412:BA415)</f>
        <v>#VALUE!</v>
      </c>
      <c r="BH412" s="12">
        <f>bdrate(E414:E417,F414:F417,AU414:AU417,AV414:AV417)</f>
        <v>4.9580508842954396E-2</v>
      </c>
      <c r="BI412" s="12">
        <f>bdrate(E414:E417,H414:H417,AU414:AU417,AX414:AX417)</f>
        <v>-0.4552342420342238</v>
      </c>
      <c r="BJ412" s="12">
        <f>bdrate(E414:E417,I414:I417,AU414:AU417,AY414:AY417)</f>
        <v>9.6192182335489651E-2</v>
      </c>
      <c r="BK412" s="14">
        <f>bdrate(E414:E417,K414:K417,AU414:AU417,BA414:BA417)</f>
        <v>-0.35882612898814092</v>
      </c>
    </row>
    <row r="413" spans="1:63">
      <c r="A413" s="49"/>
      <c r="B413" s="7" t="s">
        <v>18</v>
      </c>
      <c r="C413" s="17">
        <v>1</v>
      </c>
      <c r="D413" s="7">
        <v>14</v>
      </c>
      <c r="E413" s="1">
        <v>0.89091145833333296</v>
      </c>
      <c r="F413" s="1">
        <v>47.967946900205803</v>
      </c>
      <c r="G413" s="1">
        <v>0.99746202143457097</v>
      </c>
      <c r="H413" s="1">
        <v>25.955120500724</v>
      </c>
      <c r="I413" s="1">
        <v>51.530369924395799</v>
      </c>
      <c r="J413" s="1">
        <v>0.99889369106789105</v>
      </c>
      <c r="K413" s="8">
        <v>29.561235811910301</v>
      </c>
      <c r="L413" s="7">
        <v>12</v>
      </c>
      <c r="M413" s="1">
        <v>0.83418945312500004</v>
      </c>
      <c r="N413" s="1">
        <v>47.764848950943303</v>
      </c>
      <c r="O413" s="1">
        <v>0.99773591294765296</v>
      </c>
      <c r="P413" s="1">
        <v>26.451068788853298</v>
      </c>
      <c r="Q413" s="1">
        <v>51.467893947441198</v>
      </c>
      <c r="R413" s="1">
        <v>0.99891365269521004</v>
      </c>
      <c r="S413" s="1">
        <v>29.640313087796802</v>
      </c>
      <c r="T413" s="7"/>
      <c r="U413" s="1"/>
      <c r="V413" s="1"/>
      <c r="W413" s="8"/>
      <c r="X413" s="7"/>
      <c r="Y413" s="1"/>
      <c r="Z413" s="1"/>
      <c r="AA413" s="8"/>
      <c r="AB413" s="7">
        <v>64</v>
      </c>
      <c r="AC413" s="1">
        <v>0.112333984375</v>
      </c>
      <c r="AD413" s="1">
        <v>43.665278618688198</v>
      </c>
      <c r="AE413" s="1">
        <v>0.99393766207534096</v>
      </c>
      <c r="AF413" s="1">
        <v>22.1735985900694</v>
      </c>
      <c r="AG413" s="1">
        <v>46.688583928547303</v>
      </c>
      <c r="AH413" s="1">
        <v>0.99596736895128701</v>
      </c>
      <c r="AI413" s="1">
        <v>23.9441151040946</v>
      </c>
      <c r="AJ413" s="1">
        <v>74.161257266998206</v>
      </c>
      <c r="AK413" s="1">
        <v>37.782506704330402</v>
      </c>
      <c r="AL413" s="7"/>
      <c r="AM413" s="1"/>
      <c r="AN413" s="1"/>
      <c r="AO413" s="8"/>
      <c r="AP413" s="1"/>
      <c r="AQ413" s="1"/>
      <c r="AR413" s="1"/>
      <c r="AS413" s="8"/>
      <c r="AT413" s="7">
        <v>0.64</v>
      </c>
      <c r="AU413" s="1">
        <v>0.16844726562500001</v>
      </c>
      <c r="AV413" s="1">
        <v>44.351865457182598</v>
      </c>
      <c r="AW413" s="1">
        <v>0.99639951488234801</v>
      </c>
      <c r="AX413" s="1">
        <v>24.436389798646299</v>
      </c>
      <c r="AY413" s="1">
        <v>47.083641410093598</v>
      </c>
      <c r="AZ413" s="1">
        <v>0.99769666888404296</v>
      </c>
      <c r="BA413" s="1">
        <v>26.376436254329501</v>
      </c>
      <c r="BB413" s="1">
        <v>41.730475425720201</v>
      </c>
      <c r="BC413" s="1">
        <v>28.956766605377101</v>
      </c>
      <c r="BD413" s="7"/>
      <c r="BE413" s="1"/>
      <c r="BF413" s="1"/>
      <c r="BG413" s="8"/>
      <c r="BH413" s="1"/>
      <c r="BI413" s="1"/>
      <c r="BJ413" s="1"/>
      <c r="BK413" s="8"/>
    </row>
    <row r="414" spans="1:63">
      <c r="A414" s="49"/>
      <c r="B414" s="7" t="s">
        <v>18</v>
      </c>
      <c r="C414" s="17">
        <v>0.5</v>
      </c>
      <c r="D414" s="7">
        <v>19</v>
      </c>
      <c r="E414" s="1">
        <v>0.45338216145833299</v>
      </c>
      <c r="F414" s="1">
        <v>46.447868234823602</v>
      </c>
      <c r="G414" s="1">
        <v>0.99652401879913999</v>
      </c>
      <c r="H414" s="1">
        <v>24.5892258101076</v>
      </c>
      <c r="I414" s="1">
        <v>49.828888918198501</v>
      </c>
      <c r="J414" s="1">
        <v>0.99835680233687696</v>
      </c>
      <c r="K414" s="8">
        <v>27.843101913792101</v>
      </c>
      <c r="L414" s="7">
        <v>16</v>
      </c>
      <c r="M414" s="1">
        <v>0.45755208333333303</v>
      </c>
      <c r="N414" s="1">
        <v>46.727381641412002</v>
      </c>
      <c r="O414" s="1">
        <v>0.99707906748362496</v>
      </c>
      <c r="P414" s="1">
        <v>25.344784766124899</v>
      </c>
      <c r="Q414" s="1">
        <v>50.283056397047197</v>
      </c>
      <c r="R414" s="1">
        <v>0.99854796804919399</v>
      </c>
      <c r="S414" s="1">
        <v>28.380238272268802</v>
      </c>
      <c r="T414" s="7"/>
      <c r="U414" s="1"/>
      <c r="V414" s="1"/>
      <c r="W414" s="8"/>
      <c r="X414" s="7"/>
      <c r="Y414" s="1"/>
      <c r="Z414" s="1"/>
      <c r="AA414" s="8"/>
      <c r="AB414" s="7">
        <v>32</v>
      </c>
      <c r="AC414" s="1">
        <v>8.3544921874999997E-2</v>
      </c>
      <c r="AD414" s="1">
        <v>42.307194324277297</v>
      </c>
      <c r="AE414" s="1">
        <v>0.99207272359946597</v>
      </c>
      <c r="AF414" s="1">
        <v>21.008759989866601</v>
      </c>
      <c r="AG414" s="1">
        <v>45.430302168214297</v>
      </c>
      <c r="AH414" s="1">
        <v>0.99430253106176802</v>
      </c>
      <c r="AI414" s="1">
        <v>22.443180338512001</v>
      </c>
      <c r="AJ414" s="1">
        <v>62.536562204360898</v>
      </c>
      <c r="AK414" s="1">
        <v>38.4979598522186</v>
      </c>
      <c r="AL414" s="7"/>
      <c r="AM414" s="1"/>
      <c r="AN414" s="1"/>
      <c r="AO414" s="8"/>
      <c r="AP414" s="1"/>
      <c r="AQ414" s="1"/>
      <c r="AR414" s="1"/>
      <c r="AS414" s="8"/>
      <c r="AT414" s="7">
        <v>0.32</v>
      </c>
      <c r="AU414" s="1">
        <v>0.115511067708333</v>
      </c>
      <c r="AV414" s="1">
        <v>42.937451600437498</v>
      </c>
      <c r="AW414" s="1">
        <v>0.99507706925093997</v>
      </c>
      <c r="AX414" s="1">
        <v>23.077762734112302</v>
      </c>
      <c r="AY414" s="1">
        <v>45.733449088795297</v>
      </c>
      <c r="AZ414" s="1">
        <v>0.99667153402126096</v>
      </c>
      <c r="BA414" s="1">
        <v>24.777558777454399</v>
      </c>
      <c r="BB414" s="1">
        <v>50.381275892257598</v>
      </c>
      <c r="BC414" s="1">
        <v>31.5750637054443</v>
      </c>
      <c r="BD414" s="7"/>
      <c r="BE414" s="1"/>
      <c r="BF414" s="1"/>
      <c r="BG414" s="8"/>
      <c r="BH414" s="1"/>
      <c r="BI414" s="1"/>
      <c r="BJ414" s="1"/>
      <c r="BK414" s="8"/>
    </row>
    <row r="415" spans="1:63">
      <c r="A415" s="49"/>
      <c r="B415" s="7" t="s">
        <v>18</v>
      </c>
      <c r="C415" s="17">
        <v>0.25</v>
      </c>
      <c r="D415" s="7">
        <v>24</v>
      </c>
      <c r="E415" s="1">
        <v>0.23595377604166601</v>
      </c>
      <c r="F415" s="1">
        <v>44.721274185223699</v>
      </c>
      <c r="G415" s="1">
        <v>0.99493135246526099</v>
      </c>
      <c r="H415" s="1">
        <v>22.9510790783762</v>
      </c>
      <c r="I415" s="1">
        <v>47.914205020553403</v>
      </c>
      <c r="J415" s="1">
        <v>0.99724510525591503</v>
      </c>
      <c r="K415" s="8">
        <v>25.598949895295899</v>
      </c>
      <c r="L415" s="7">
        <v>21</v>
      </c>
      <c r="M415" s="1">
        <v>0.22637369791666601</v>
      </c>
      <c r="N415" s="1">
        <v>45.263875785751999</v>
      </c>
      <c r="O415" s="1">
        <v>0.99587647948355396</v>
      </c>
      <c r="P415" s="1">
        <v>23.8473184027701</v>
      </c>
      <c r="Q415" s="1">
        <v>48.569930509278301</v>
      </c>
      <c r="R415" s="1">
        <v>0.99772682215113895</v>
      </c>
      <c r="S415" s="1">
        <v>26.433665846194</v>
      </c>
      <c r="T415" s="7"/>
      <c r="U415" s="1"/>
      <c r="V415" s="1"/>
      <c r="W415" s="8"/>
      <c r="X415" s="7"/>
      <c r="Y415" s="1"/>
      <c r="Z415" s="1"/>
      <c r="AA415" s="8"/>
      <c r="AB415" s="7">
        <v>16</v>
      </c>
      <c r="AC415" s="1">
        <v>5.9534505208333303E-2</v>
      </c>
      <c r="AD415" s="1">
        <v>41.242886938181798</v>
      </c>
      <c r="AE415" s="1">
        <v>0.98884585345786002</v>
      </c>
      <c r="AF415" s="1">
        <v>19.525636540864699</v>
      </c>
      <c r="AG415" s="1">
        <v>44.227302214366503</v>
      </c>
      <c r="AH415" s="1">
        <v>0.99131995042926302</v>
      </c>
      <c r="AI415" s="1">
        <v>20.614777946119901</v>
      </c>
      <c r="AJ415" s="1">
        <v>40.498003482818604</v>
      </c>
      <c r="AK415" s="1">
        <v>28.592033147811801</v>
      </c>
      <c r="AL415" s="7"/>
      <c r="AM415" s="1"/>
      <c r="AN415" s="1"/>
      <c r="AO415" s="8"/>
      <c r="AP415" s="1"/>
      <c r="AQ415" s="1"/>
      <c r="AR415" s="1"/>
      <c r="AS415" s="8"/>
      <c r="AT415" s="7">
        <v>0.16</v>
      </c>
      <c r="AU415" s="1">
        <v>7.8746744791666601E-2</v>
      </c>
      <c r="AV415" s="1">
        <v>40.940693274591197</v>
      </c>
      <c r="AW415" s="1">
        <v>0.99305864751361195</v>
      </c>
      <c r="AX415" s="1">
        <v>21.5855590128178</v>
      </c>
      <c r="AY415" s="1">
        <v>43.882893498968897</v>
      </c>
      <c r="AZ415" s="1">
        <v>0.99504685863626097</v>
      </c>
      <c r="BA415" s="1">
        <v>23.051192769810701</v>
      </c>
      <c r="BB415" s="1">
        <v>37.607929944992001</v>
      </c>
      <c r="BC415" s="1">
        <v>25.7000958919525</v>
      </c>
      <c r="BD415" s="7"/>
      <c r="BE415" s="1"/>
      <c r="BF415" s="1"/>
      <c r="BG415" s="8"/>
      <c r="BH415" s="1"/>
      <c r="BI415" s="1"/>
      <c r="BJ415" s="1"/>
      <c r="BK415" s="8"/>
    </row>
    <row r="416" spans="1:63">
      <c r="A416" s="49"/>
      <c r="B416" s="7" t="s">
        <v>18</v>
      </c>
      <c r="C416" s="17">
        <v>0.12</v>
      </c>
      <c r="D416" s="7">
        <v>30</v>
      </c>
      <c r="E416" s="1">
        <v>0.108154296875</v>
      </c>
      <c r="F416" s="1">
        <v>42.366993274318403</v>
      </c>
      <c r="G416" s="1">
        <v>0.99109715437079904</v>
      </c>
      <c r="H416" s="1">
        <v>20.5047115700321</v>
      </c>
      <c r="I416" s="1">
        <v>45.426383234100697</v>
      </c>
      <c r="J416" s="1">
        <v>0.99428927376659404</v>
      </c>
      <c r="K416" s="8">
        <v>22.433086589861801</v>
      </c>
      <c r="L416" s="7">
        <v>26</v>
      </c>
      <c r="M416" s="1">
        <v>0.11727213541666601</v>
      </c>
      <c r="N416" s="1">
        <v>43.587039315581002</v>
      </c>
      <c r="O416" s="1">
        <v>0.99379572626498902</v>
      </c>
      <c r="P416" s="1">
        <v>22.073090491914598</v>
      </c>
      <c r="Q416" s="1">
        <v>46.712321262772697</v>
      </c>
      <c r="R416" s="1">
        <v>0.99606665744657197</v>
      </c>
      <c r="S416" s="1">
        <v>24.052382293886101</v>
      </c>
      <c r="T416" s="7"/>
      <c r="U416" s="1"/>
      <c r="V416" s="1"/>
      <c r="W416" s="8"/>
      <c r="X416" s="7"/>
      <c r="Y416" s="1"/>
      <c r="Z416" s="1"/>
      <c r="AA416" s="8"/>
      <c r="AB416" s="7">
        <v>8</v>
      </c>
      <c r="AC416" s="1">
        <v>4.48665364583333E-2</v>
      </c>
      <c r="AD416" s="1">
        <v>40.043838361296899</v>
      </c>
      <c r="AE416" s="1">
        <v>0.98505318098851002</v>
      </c>
      <c r="AF416" s="1">
        <v>18.254512242459501</v>
      </c>
      <c r="AG416" s="1">
        <v>43.023484610571103</v>
      </c>
      <c r="AH416" s="1">
        <v>0.98762785855519197</v>
      </c>
      <c r="AI416" s="1">
        <v>19.075551235582601</v>
      </c>
      <c r="AJ416" s="1">
        <v>39.765786170959402</v>
      </c>
      <c r="AK416" s="1">
        <v>28.615972518920898</v>
      </c>
      <c r="AL416" s="7"/>
      <c r="AM416" s="1"/>
      <c r="AN416" s="1"/>
      <c r="AO416" s="8"/>
      <c r="AP416" s="1"/>
      <c r="AQ416" s="1"/>
      <c r="AR416" s="1"/>
      <c r="AS416" s="8"/>
      <c r="AT416" s="7">
        <v>0.08</v>
      </c>
      <c r="AU416" s="1">
        <v>5.6038411458333298E-2</v>
      </c>
      <c r="AV416" s="1">
        <v>39.5296626672218</v>
      </c>
      <c r="AW416" s="1">
        <v>0.990486105412683</v>
      </c>
      <c r="AX416" s="1">
        <v>20.2164166481442</v>
      </c>
      <c r="AY416" s="1">
        <v>42.548544980125897</v>
      </c>
      <c r="AZ416" s="1">
        <v>0.99292436759518699</v>
      </c>
      <c r="BA416" s="1">
        <v>21.5023473776182</v>
      </c>
      <c r="BB416" s="1">
        <v>37.7192573547363</v>
      </c>
      <c r="BC416" s="1">
        <v>26.773542881011899</v>
      </c>
      <c r="BD416" s="7"/>
      <c r="BE416" s="1"/>
      <c r="BF416" s="1"/>
      <c r="BG416" s="8"/>
      <c r="BH416" s="1"/>
      <c r="BI416" s="1"/>
      <c r="BJ416" s="1"/>
      <c r="BK416" s="8"/>
    </row>
    <row r="417" spans="1:63">
      <c r="A417" s="49"/>
      <c r="B417" s="7" t="s">
        <v>18</v>
      </c>
      <c r="C417" s="17">
        <v>0.06</v>
      </c>
      <c r="D417" s="7">
        <v>35</v>
      </c>
      <c r="E417" s="1">
        <v>5.7688802083333303E-2</v>
      </c>
      <c r="F417" s="1">
        <v>40.346756055405201</v>
      </c>
      <c r="G417" s="1">
        <v>0.98537173714647497</v>
      </c>
      <c r="H417" s="1">
        <v>18.348072444776999</v>
      </c>
      <c r="I417" s="1">
        <v>43.3491078657961</v>
      </c>
      <c r="J417" s="1">
        <v>0.98956995874068698</v>
      </c>
      <c r="K417" s="8">
        <v>19.817139735815001</v>
      </c>
      <c r="L417" s="7">
        <v>32</v>
      </c>
      <c r="M417" s="1">
        <v>5.6129557291666597E-2</v>
      </c>
      <c r="N417" s="1">
        <v>41.362826094932103</v>
      </c>
      <c r="O417" s="1">
        <v>0.98904611583952695</v>
      </c>
      <c r="P417" s="1">
        <v>19.604318561344002</v>
      </c>
      <c r="Q417" s="1">
        <v>44.405578321431797</v>
      </c>
      <c r="R417" s="1">
        <v>0.99198938117073598</v>
      </c>
      <c r="S417" s="1">
        <v>20.963339328853799</v>
      </c>
      <c r="T417" s="7"/>
      <c r="U417" s="1"/>
      <c r="V417" s="1"/>
      <c r="W417" s="8"/>
      <c r="X417" s="7"/>
      <c r="Y417" s="1"/>
      <c r="Z417" s="1"/>
      <c r="AA417" s="8"/>
      <c r="AB417" s="7">
        <v>4</v>
      </c>
      <c r="AC417" s="1">
        <v>3.2418619791666603E-2</v>
      </c>
      <c r="AD417" s="1">
        <v>38.553276262162903</v>
      </c>
      <c r="AE417" s="1">
        <v>0.97865770402804897</v>
      </c>
      <c r="AF417" s="1">
        <v>16.707588616541901</v>
      </c>
      <c r="AG417" s="1">
        <v>41.562873116793803</v>
      </c>
      <c r="AH417" s="1">
        <v>0.98148395422122703</v>
      </c>
      <c r="AI417" s="1">
        <v>17.324517541452298</v>
      </c>
      <c r="AJ417" s="1">
        <v>39.576161384582498</v>
      </c>
      <c r="AK417" s="1">
        <v>29.583627462387</v>
      </c>
      <c r="AL417" s="7"/>
      <c r="AM417" s="1"/>
      <c r="AN417" s="1"/>
      <c r="AO417" s="8"/>
      <c r="AP417" s="1"/>
      <c r="AQ417" s="1"/>
      <c r="AR417" s="1"/>
      <c r="AS417" s="8"/>
      <c r="AT417" s="7">
        <v>0.04</v>
      </c>
      <c r="AU417" s="1">
        <v>3.9873046874999998E-2</v>
      </c>
      <c r="AV417" s="1">
        <v>37.528053653753602</v>
      </c>
      <c r="AW417" s="1">
        <v>0.98644384416210396</v>
      </c>
      <c r="AX417" s="1">
        <v>18.678634472742299</v>
      </c>
      <c r="AY417" s="1">
        <v>40.756026818089701</v>
      </c>
      <c r="AZ417" s="1">
        <v>0.98946303231711796</v>
      </c>
      <c r="BA417" s="1">
        <v>19.772843519379101</v>
      </c>
      <c r="BB417" s="1">
        <v>40.139933586120598</v>
      </c>
      <c r="BC417" s="1">
        <v>32.677402257919297</v>
      </c>
      <c r="BD417" s="7"/>
      <c r="BE417" s="1"/>
      <c r="BF417" s="1"/>
      <c r="BG417" s="8"/>
      <c r="BH417" s="1"/>
      <c r="BI417" s="1"/>
      <c r="BJ417" s="1"/>
      <c r="BK417" s="8"/>
    </row>
    <row r="418" spans="1:63">
      <c r="A418" s="49"/>
      <c r="B418" s="7" t="s">
        <v>90</v>
      </c>
      <c r="C418" s="17">
        <v>1.5</v>
      </c>
      <c r="D418" s="7">
        <v>22</v>
      </c>
      <c r="E418" s="1">
        <v>1.3421061197916599</v>
      </c>
      <c r="F418" s="1">
        <v>41.408495200874597</v>
      </c>
      <c r="G418" s="1">
        <v>0.99292883822945699</v>
      </c>
      <c r="H418" s="1">
        <v>21.5050922706791</v>
      </c>
      <c r="I418" s="1">
        <v>44.543339223243301</v>
      </c>
      <c r="J418" s="1">
        <v>0.99549788062563305</v>
      </c>
      <c r="K418" s="8">
        <v>23.465829937998802</v>
      </c>
      <c r="L418" s="7">
        <v>19</v>
      </c>
      <c r="M418" s="1">
        <v>1.4104947916666599</v>
      </c>
      <c r="N418" s="1">
        <v>42.232518498203902</v>
      </c>
      <c r="O418" s="1">
        <v>0.99449233109202595</v>
      </c>
      <c r="P418" s="1">
        <v>22.590321751257001</v>
      </c>
      <c r="Q418" s="1">
        <v>45.3907745636172</v>
      </c>
      <c r="R418" s="1">
        <v>0.99627135023520896</v>
      </c>
      <c r="S418" s="1">
        <v>24.2844840836893</v>
      </c>
      <c r="T418" s="13">
        <f>bdrate(E418:E421,F418:F421,M418:M421,N418:N421)</f>
        <v>-0.18940473261939195</v>
      </c>
      <c r="U418" s="12">
        <f>bdrate(E418:E421,H418:H421,M418:M421,P418:P421)</f>
        <v>-0.23419577086944876</v>
      </c>
      <c r="V418" s="12">
        <f>bdrate(E418:E421,I418:I421,M418:M421,Q418:Q421)</f>
        <v>-0.18167815129686471</v>
      </c>
      <c r="W418" s="14">
        <f>bdrate(E418:E421,K418:K421,M418:M421,S418:S421)</f>
        <v>-0.1518402663406897</v>
      </c>
      <c r="X418" s="13">
        <f>bdrate(E420:E423,F420:F423,M420:M423,N420:N423)</f>
        <v>-0.24813771086302783</v>
      </c>
      <c r="Y418" s="12">
        <f>bdrate(E420:E423,H420:H423,M420:M423,P420:P423)</f>
        <v>-0.24278867743320431</v>
      </c>
      <c r="Z418" s="12">
        <f>bdrate(E420:E423,I420:I423,M420:M423,Q420:Q423)</f>
        <v>-0.25614563868203066</v>
      </c>
      <c r="AA418" s="14">
        <f>bdrate(E420:E423,K420:K423,M420:M423,S420:S423)</f>
        <v>-0.18119924215893013</v>
      </c>
      <c r="AB418" s="7"/>
      <c r="AC418" s="1"/>
      <c r="AD418" s="1"/>
      <c r="AE418" s="1"/>
      <c r="AF418" s="1"/>
      <c r="AG418" s="1"/>
      <c r="AH418" s="1"/>
      <c r="AI418" s="1"/>
      <c r="AJ418" s="1"/>
      <c r="AK418" s="1"/>
      <c r="AL418" s="13" t="e">
        <f>bdrate(E418:E421,F418:F421,AC418:AC421,AD418:AD421)</f>
        <v>#VALUE!</v>
      </c>
      <c r="AM418" s="12" t="e">
        <f>bdrate(E418:E421,H418:H421,AC418:AC421,AF418:AF421)</f>
        <v>#VALUE!</v>
      </c>
      <c r="AN418" s="12" t="e">
        <f>bdrate(E418:E421,I418:I421,AC418:AC421,AG418:AG421)</f>
        <v>#VALUE!</v>
      </c>
      <c r="AO418" s="14" t="e">
        <f>bdrate(E418:E421,K418:K421,AC418:AC421,AI418:AI421)</f>
        <v>#VALUE!</v>
      </c>
      <c r="AP418" s="12">
        <f>bdrate(E420:E423,F420:F423,AC420:AC423,AD420:AD423)</f>
        <v>-0.20329529608535679</v>
      </c>
      <c r="AQ418" s="12">
        <f>bdrate(E420:E423,H420:H423,AC420:AC423,AF420:AF423)</f>
        <v>-0.28862925187784949</v>
      </c>
      <c r="AR418" s="12">
        <f>bdrate(E420:E423,I420:I423,AC420:AC423,AG420:AG423)</f>
        <v>-0.21711206320159626</v>
      </c>
      <c r="AS418" s="14">
        <f>bdrate(E420:E423,K420:K423,AC420:AC423,AI420:AI423)</f>
        <v>-0.20325963328313135</v>
      </c>
      <c r="AT418" s="7"/>
      <c r="AU418" s="1"/>
      <c r="AV418" s="1"/>
      <c r="AW418" s="1"/>
      <c r="AX418" s="1"/>
      <c r="AY418" s="1"/>
      <c r="AZ418" s="1"/>
      <c r="BA418" s="1"/>
      <c r="BB418" s="1"/>
      <c r="BC418" s="1"/>
      <c r="BD418" s="13" t="e">
        <f>bdrate(E418:E421,F418:F421,AU418:AU421,AV418:AV421)</f>
        <v>#VALUE!</v>
      </c>
      <c r="BE418" s="12" t="e">
        <f>bdrate(E418:E421,H418:H421,AU418:AU421,AX418:AX421)</f>
        <v>#VALUE!</v>
      </c>
      <c r="BF418" s="12" t="e">
        <f>bdrate(E418:E421,I418:I421,AU418:AU421,AY418:AY421)</f>
        <v>#VALUE!</v>
      </c>
      <c r="BG418" s="14" t="e">
        <f>bdrate(E418:E421,K418:K421,AU418:AU421,BA418:BA421)</f>
        <v>#VALUE!</v>
      </c>
      <c r="BH418" s="12">
        <f>bdrate(E420:E423,F420:F423,AU420:AU423,AV420:AV423)</f>
        <v>0.2202904891608346</v>
      </c>
      <c r="BI418" s="12">
        <f>bdrate(E420:E423,H420:H423,AU420:AU423,AX420:AX423)</f>
        <v>-0.5251041946245798</v>
      </c>
      <c r="BJ418" s="12">
        <f>bdrate(E420:E423,I420:I423,AU420:AU423,AY420:AY423)</f>
        <v>0.28208913598994445</v>
      </c>
      <c r="BK418" s="14">
        <f>bdrate(E420:E423,K420:K423,AU420:AU423,BA420:BA423)</f>
        <v>-0.47337952089000934</v>
      </c>
    </row>
    <row r="419" spans="1:63">
      <c r="A419" s="49"/>
      <c r="B419" s="7" t="s">
        <v>18</v>
      </c>
      <c r="C419" s="17">
        <v>1</v>
      </c>
      <c r="D419" s="7">
        <v>25</v>
      </c>
      <c r="E419" s="1">
        <v>0.93277343749999997</v>
      </c>
      <c r="F419" s="1">
        <v>39.739109665077599</v>
      </c>
      <c r="G419" s="1">
        <v>0.99049860947448198</v>
      </c>
      <c r="H419" s="1">
        <v>20.222128311988602</v>
      </c>
      <c r="I419" s="1">
        <v>42.847582372609899</v>
      </c>
      <c r="J419" s="1">
        <v>0.99369523546129501</v>
      </c>
      <c r="K419" s="8">
        <v>22.003311281949198</v>
      </c>
      <c r="L419" s="7">
        <v>22</v>
      </c>
      <c r="M419" s="1">
        <v>0.96298502604166603</v>
      </c>
      <c r="N419" s="1">
        <v>40.595329444439997</v>
      </c>
      <c r="O419" s="1">
        <v>0.99235989133550295</v>
      </c>
      <c r="P419" s="1">
        <v>21.169004644536599</v>
      </c>
      <c r="Q419" s="1">
        <v>43.679606012316</v>
      </c>
      <c r="R419" s="1">
        <v>0.99452147776875399</v>
      </c>
      <c r="S419" s="1">
        <v>22.613365716917599</v>
      </c>
      <c r="T419" s="7"/>
      <c r="U419" s="1"/>
      <c r="V419" s="1"/>
      <c r="W419" s="8"/>
      <c r="X419" s="7"/>
      <c r="Y419" s="1"/>
      <c r="Z419" s="1"/>
      <c r="AA419" s="8"/>
      <c r="AB419" s="7">
        <v>64</v>
      </c>
      <c r="AC419" s="1">
        <v>0.49109700520833299</v>
      </c>
      <c r="AD419" s="1">
        <v>37.753020095244203</v>
      </c>
      <c r="AE419" s="1">
        <v>0.98838935198549405</v>
      </c>
      <c r="AF419" s="1">
        <v>19.351435407032501</v>
      </c>
      <c r="AG419" s="1">
        <v>40.817957898150901</v>
      </c>
      <c r="AH419" s="1">
        <v>0.99168965291322397</v>
      </c>
      <c r="AI419" s="1">
        <v>20.803808372600098</v>
      </c>
      <c r="AJ419" s="1">
        <v>74.875418663024902</v>
      </c>
      <c r="AK419" s="1">
        <v>38.091587543487499</v>
      </c>
      <c r="AL419" s="7"/>
      <c r="AM419" s="1"/>
      <c r="AN419" s="1"/>
      <c r="AO419" s="8"/>
      <c r="AP419" s="1"/>
      <c r="AQ419" s="1"/>
      <c r="AR419" s="1"/>
      <c r="AS419" s="8"/>
      <c r="AT419" s="7">
        <v>0.64</v>
      </c>
      <c r="AU419" s="1">
        <v>0.39504882812499997</v>
      </c>
      <c r="AV419" s="1">
        <v>34.470012073722799</v>
      </c>
      <c r="AW419" s="1">
        <v>0.99125852786440405</v>
      </c>
      <c r="AX419" s="1">
        <v>20.584154224539599</v>
      </c>
      <c r="AY419" s="1">
        <v>37.567592531436198</v>
      </c>
      <c r="AZ419" s="1">
        <v>0.99336546403566695</v>
      </c>
      <c r="BA419" s="1">
        <v>21.7818944735528</v>
      </c>
      <c r="BB419" s="1">
        <v>42.672493457794097</v>
      </c>
      <c r="BC419" s="1">
        <v>28.419154405593801</v>
      </c>
      <c r="BD419" s="7"/>
      <c r="BE419" s="1"/>
      <c r="BF419" s="1"/>
      <c r="BG419" s="8"/>
      <c r="BH419" s="1"/>
      <c r="BI419" s="1"/>
      <c r="BJ419" s="1"/>
      <c r="BK419" s="8"/>
    </row>
    <row r="420" spans="1:63">
      <c r="A420" s="49"/>
      <c r="B420" s="7" t="s">
        <v>18</v>
      </c>
      <c r="C420" s="17">
        <v>0.5</v>
      </c>
      <c r="D420" s="7">
        <v>30</v>
      </c>
      <c r="E420" s="1">
        <v>0.49522786458333301</v>
      </c>
      <c r="F420" s="1">
        <v>36.8896008096063</v>
      </c>
      <c r="G420" s="1">
        <v>0.98542191044149896</v>
      </c>
      <c r="H420" s="1">
        <v>18.3629938607043</v>
      </c>
      <c r="I420" s="1">
        <v>39.983095982553003</v>
      </c>
      <c r="J420" s="1">
        <v>0.98974805350675399</v>
      </c>
      <c r="K420" s="8">
        <v>19.891936691429699</v>
      </c>
      <c r="L420" s="7">
        <v>28</v>
      </c>
      <c r="M420" s="1">
        <v>0.448606770833333</v>
      </c>
      <c r="N420" s="1">
        <v>37.4483659629201</v>
      </c>
      <c r="O420" s="1">
        <v>0.98697608368117795</v>
      </c>
      <c r="P420" s="1">
        <v>18.852584028718599</v>
      </c>
      <c r="Q420" s="1">
        <v>40.4970052941365</v>
      </c>
      <c r="R420" s="1">
        <v>0.99035174817406901</v>
      </c>
      <c r="S420" s="1">
        <v>20.155513696748301</v>
      </c>
      <c r="T420" s="7"/>
      <c r="U420" s="1"/>
      <c r="V420" s="1"/>
      <c r="W420" s="8"/>
      <c r="X420" s="7"/>
      <c r="Y420" s="1"/>
      <c r="Z420" s="1"/>
      <c r="AA420" s="8"/>
      <c r="AB420" s="7">
        <v>32</v>
      </c>
      <c r="AC420" s="1">
        <v>0.34013346354166601</v>
      </c>
      <c r="AD420" s="1">
        <v>36.202747310287499</v>
      </c>
      <c r="AE420" s="1">
        <v>0.98536120729917498</v>
      </c>
      <c r="AF420" s="1">
        <v>18.344947391922702</v>
      </c>
      <c r="AG420" s="1">
        <v>39.272782707696201</v>
      </c>
      <c r="AH420" s="1">
        <v>0.98900387589294503</v>
      </c>
      <c r="AI420" s="1">
        <v>19.587603671638899</v>
      </c>
      <c r="AJ420" s="1">
        <v>61.276170253753598</v>
      </c>
      <c r="AK420" s="1">
        <v>36.813894510269101</v>
      </c>
      <c r="AL420" s="7"/>
      <c r="AM420" s="1"/>
      <c r="AN420" s="1"/>
      <c r="AO420" s="8"/>
      <c r="AP420" s="1"/>
      <c r="AQ420" s="1"/>
      <c r="AR420" s="1"/>
      <c r="AS420" s="8"/>
      <c r="AT420" s="7">
        <v>0.32</v>
      </c>
      <c r="AU420" s="1">
        <v>0.26635091145833301</v>
      </c>
      <c r="AV420" s="1">
        <v>33.664046087315803</v>
      </c>
      <c r="AW420" s="1">
        <v>0.98800393333076497</v>
      </c>
      <c r="AX420" s="1">
        <v>19.209611292745901</v>
      </c>
      <c r="AY420" s="1">
        <v>36.799125693396199</v>
      </c>
      <c r="AZ420" s="1">
        <v>0.99076551457251605</v>
      </c>
      <c r="BA420" s="1">
        <v>20.345872997072899</v>
      </c>
      <c r="BB420" s="1">
        <v>51.842255830764699</v>
      </c>
      <c r="BC420" s="1">
        <v>30.7710056304931</v>
      </c>
      <c r="BD420" s="7"/>
      <c r="BE420" s="1"/>
      <c r="BF420" s="1"/>
      <c r="BG420" s="8"/>
      <c r="BH420" s="1"/>
      <c r="BI420" s="1"/>
      <c r="BJ420" s="1"/>
      <c r="BK420" s="8"/>
    </row>
    <row r="421" spans="1:63">
      <c r="A421" s="49"/>
      <c r="B421" s="7" t="s">
        <v>18</v>
      </c>
      <c r="C421" s="17">
        <v>0.25</v>
      </c>
      <c r="D421" s="7">
        <v>35</v>
      </c>
      <c r="E421" s="1">
        <v>0.24235026041666599</v>
      </c>
      <c r="F421" s="1">
        <v>34.0606688154149</v>
      </c>
      <c r="G421" s="1">
        <v>0.97718744299652205</v>
      </c>
      <c r="H421" s="1">
        <v>16.418260329933101</v>
      </c>
      <c r="I421" s="1">
        <v>37.176801908545102</v>
      </c>
      <c r="J421" s="1">
        <v>0.98290008428020004</v>
      </c>
      <c r="K421" s="8">
        <v>17.670060301058601</v>
      </c>
      <c r="L421" s="7">
        <v>33</v>
      </c>
      <c r="M421" s="1">
        <v>0.22344401041666601</v>
      </c>
      <c r="N421" s="1">
        <v>34.780190329603002</v>
      </c>
      <c r="O421" s="1">
        <v>0.97982377972331303</v>
      </c>
      <c r="P421" s="1">
        <v>16.951601892747998</v>
      </c>
      <c r="Q421" s="1">
        <v>37.877274788000697</v>
      </c>
      <c r="R421" s="1">
        <v>0.98425347585991096</v>
      </c>
      <c r="S421" s="1">
        <v>18.028152966918</v>
      </c>
      <c r="T421" s="7"/>
      <c r="U421" s="1"/>
      <c r="V421" s="1"/>
      <c r="W421" s="8"/>
      <c r="X421" s="7"/>
      <c r="Y421" s="1"/>
      <c r="Z421" s="1"/>
      <c r="AA421" s="8"/>
      <c r="AB421" s="7">
        <v>16</v>
      </c>
      <c r="AC421" s="1">
        <v>0.21684570312500001</v>
      </c>
      <c r="AD421" s="1">
        <v>34.514243812387498</v>
      </c>
      <c r="AE421" s="1">
        <v>0.98048970509000999</v>
      </c>
      <c r="AF421" s="1">
        <v>17.097361659302901</v>
      </c>
      <c r="AG421" s="1">
        <v>37.637299597560897</v>
      </c>
      <c r="AH421" s="1">
        <v>0.98441200709072396</v>
      </c>
      <c r="AI421" s="1">
        <v>18.072098004328002</v>
      </c>
      <c r="AJ421" s="1">
        <v>39.998354911804199</v>
      </c>
      <c r="AK421" s="1">
        <v>27.7191932201385</v>
      </c>
      <c r="AL421" s="7"/>
      <c r="AM421" s="1"/>
      <c r="AN421" s="1"/>
      <c r="AO421" s="8"/>
      <c r="AP421" s="1"/>
      <c r="AQ421" s="1"/>
      <c r="AR421" s="1"/>
      <c r="AS421" s="8"/>
      <c r="AT421" s="7">
        <v>0.16</v>
      </c>
      <c r="AU421" s="1">
        <v>0.17783528645833299</v>
      </c>
      <c r="AV421" s="1">
        <v>32.510824441064997</v>
      </c>
      <c r="AW421" s="1">
        <v>0.98342132551441896</v>
      </c>
      <c r="AX421" s="1">
        <v>17.804501955354599</v>
      </c>
      <c r="AY421" s="1">
        <v>35.636670201624298</v>
      </c>
      <c r="AZ421" s="1">
        <v>0.98696728113313803</v>
      </c>
      <c r="BA421" s="1">
        <v>18.849649729521001</v>
      </c>
      <c r="BB421" s="1">
        <v>36.959772109985302</v>
      </c>
      <c r="BC421" s="1">
        <v>26.644721269607501</v>
      </c>
      <c r="BD421" s="7"/>
      <c r="BE421" s="1"/>
      <c r="BF421" s="1"/>
      <c r="BG421" s="8"/>
      <c r="BH421" s="1"/>
      <c r="BI421" s="1"/>
      <c r="BJ421" s="1"/>
      <c r="BK421" s="8"/>
    </row>
    <row r="422" spans="1:63">
      <c r="A422" s="49"/>
      <c r="B422" s="7" t="s">
        <v>18</v>
      </c>
      <c r="C422" s="17">
        <v>0.12</v>
      </c>
      <c r="D422" s="7">
        <v>40</v>
      </c>
      <c r="E422" s="1">
        <v>0.11353190104166599</v>
      </c>
      <c r="F422" s="1">
        <v>31.475242103553601</v>
      </c>
      <c r="G422" s="1">
        <v>0.96290588686221501</v>
      </c>
      <c r="H422" s="1">
        <v>14.306950077605499</v>
      </c>
      <c r="I422" s="1">
        <v>34.681927043829802</v>
      </c>
      <c r="J422" s="1">
        <v>0.96975766177421696</v>
      </c>
      <c r="K422" s="8">
        <v>15.1938463382898</v>
      </c>
      <c r="L422" s="7">
        <v>38</v>
      </c>
      <c r="M422" s="1">
        <v>0.10395182291666601</v>
      </c>
      <c r="N422" s="1">
        <v>32.159879632188201</v>
      </c>
      <c r="O422" s="1">
        <v>0.96715859033866902</v>
      </c>
      <c r="P422" s="1">
        <v>14.8357820980479</v>
      </c>
      <c r="Q422" s="1">
        <v>35.411185484546699</v>
      </c>
      <c r="R422" s="1">
        <v>0.97228943192179895</v>
      </c>
      <c r="S422" s="1">
        <v>15.5735457090853</v>
      </c>
      <c r="T422" s="7"/>
      <c r="U422" s="1"/>
      <c r="V422" s="1"/>
      <c r="W422" s="8"/>
      <c r="X422" s="7"/>
      <c r="Y422" s="1"/>
      <c r="Z422" s="1"/>
      <c r="AA422" s="8"/>
      <c r="AB422" s="7">
        <v>8</v>
      </c>
      <c r="AC422" s="1">
        <v>0.138642578125</v>
      </c>
      <c r="AD422" s="1">
        <v>32.896352604238501</v>
      </c>
      <c r="AE422" s="1">
        <v>0.973739862331096</v>
      </c>
      <c r="AF422" s="1">
        <v>15.8070300144956</v>
      </c>
      <c r="AG422" s="1">
        <v>36.148067008644503</v>
      </c>
      <c r="AH422" s="1">
        <v>0.97785368423256203</v>
      </c>
      <c r="AI422" s="1">
        <v>16.546985121025202</v>
      </c>
      <c r="AJ422" s="1">
        <v>40.034635305404599</v>
      </c>
      <c r="AK422" s="1">
        <v>28.912547111511198</v>
      </c>
      <c r="AL422" s="7"/>
      <c r="AM422" s="1"/>
      <c r="AN422" s="1"/>
      <c r="AO422" s="8"/>
      <c r="AP422" s="1"/>
      <c r="AQ422" s="1"/>
      <c r="AR422" s="1"/>
      <c r="AS422" s="8"/>
      <c r="AT422" s="7">
        <v>0.08</v>
      </c>
      <c r="AU422" s="1">
        <v>0.118531901041666</v>
      </c>
      <c r="AV422" s="1">
        <v>30.962892693956601</v>
      </c>
      <c r="AW422" s="1">
        <v>0.97716356733965604</v>
      </c>
      <c r="AX422" s="1">
        <v>16.413717374196001</v>
      </c>
      <c r="AY422" s="1">
        <v>33.852143336126503</v>
      </c>
      <c r="AZ422" s="1">
        <v>0.98153314085052301</v>
      </c>
      <c r="BA422" s="1">
        <v>17.336069632518701</v>
      </c>
      <c r="BB422" s="1">
        <v>38.893458366394</v>
      </c>
      <c r="BC422" s="1">
        <v>27.8394501209259</v>
      </c>
      <c r="BD422" s="7"/>
      <c r="BE422" s="1"/>
      <c r="BF422" s="1"/>
      <c r="BG422" s="8"/>
      <c r="BH422" s="1"/>
      <c r="BI422" s="1"/>
      <c r="BJ422" s="1"/>
      <c r="BK422" s="8"/>
    </row>
    <row r="423" spans="1:63">
      <c r="A423" s="49"/>
      <c r="B423" s="7" t="s">
        <v>18</v>
      </c>
      <c r="C423" s="17">
        <v>0.06</v>
      </c>
      <c r="D423" s="7">
        <v>44</v>
      </c>
      <c r="E423" s="1">
        <v>5.8805338541666599E-2</v>
      </c>
      <c r="F423" s="1">
        <v>29.552470010190302</v>
      </c>
      <c r="G423" s="1">
        <v>0.94389751658229204</v>
      </c>
      <c r="H423" s="1">
        <v>12.5101791395355</v>
      </c>
      <c r="I423" s="1">
        <v>32.854299329052303</v>
      </c>
      <c r="J423" s="1">
        <v>0.95230305694037198</v>
      </c>
      <c r="K423" s="8">
        <v>13.2150945439548</v>
      </c>
      <c r="L423" s="7">
        <v>42</v>
      </c>
      <c r="M423" s="1">
        <v>5.4768880208333301E-2</v>
      </c>
      <c r="N423" s="1">
        <v>30.260855854208401</v>
      </c>
      <c r="O423" s="1">
        <v>0.95089395658310105</v>
      </c>
      <c r="P423" s="1">
        <v>13.088650565308001</v>
      </c>
      <c r="Q423" s="1">
        <v>33.667022461368603</v>
      </c>
      <c r="R423" s="1">
        <v>0.95651399877237897</v>
      </c>
      <c r="S423" s="1">
        <v>13.616505262188401</v>
      </c>
      <c r="T423" s="7"/>
      <c r="U423" s="1"/>
      <c r="V423" s="1"/>
      <c r="W423" s="8"/>
      <c r="X423" s="7"/>
      <c r="Y423" s="1"/>
      <c r="Z423" s="1"/>
      <c r="AA423" s="8"/>
      <c r="AB423" s="7">
        <v>4</v>
      </c>
      <c r="AC423" s="1">
        <v>8.9267578124999997E-2</v>
      </c>
      <c r="AD423" s="1">
        <v>31.379315536456001</v>
      </c>
      <c r="AE423" s="1">
        <v>0.96367053112384304</v>
      </c>
      <c r="AF423" s="1">
        <v>14.397409513208901</v>
      </c>
      <c r="AG423" s="1">
        <v>34.742999304406297</v>
      </c>
      <c r="AH423" s="1">
        <v>0.96837129038464298</v>
      </c>
      <c r="AI423" s="1">
        <v>14.999185260217301</v>
      </c>
      <c r="AJ423" s="1">
        <v>39.149509906768799</v>
      </c>
      <c r="AK423" s="1">
        <v>29.4070177078247</v>
      </c>
      <c r="AL423" s="7"/>
      <c r="AM423" s="1"/>
      <c r="AN423" s="1"/>
      <c r="AO423" s="8"/>
      <c r="AP423" s="1"/>
      <c r="AQ423" s="1"/>
      <c r="AR423" s="1"/>
      <c r="AS423" s="8"/>
      <c r="AT423" s="7">
        <v>0.04</v>
      </c>
      <c r="AU423" s="1">
        <v>7.89095052083333E-2</v>
      </c>
      <c r="AV423" s="1">
        <v>29.289326690598202</v>
      </c>
      <c r="AW423" s="1">
        <v>0.969308068458276</v>
      </c>
      <c r="AX423" s="1">
        <v>15.1297577916297</v>
      </c>
      <c r="AY423" s="1">
        <v>31.956772592468202</v>
      </c>
      <c r="AZ423" s="1">
        <v>0.97386519119593395</v>
      </c>
      <c r="BA423" s="1">
        <v>15.827806727479</v>
      </c>
      <c r="BB423" s="1">
        <v>41.032717227935699</v>
      </c>
      <c r="BC423" s="1">
        <v>32.2535719871521</v>
      </c>
      <c r="BD423" s="7"/>
      <c r="BE423" s="1"/>
      <c r="BF423" s="1"/>
      <c r="BG423" s="8"/>
      <c r="BH423" s="1"/>
      <c r="BI423" s="1"/>
      <c r="BJ423" s="1"/>
      <c r="BK423" s="8"/>
    </row>
    <row r="424" spans="1:63">
      <c r="A424" s="49"/>
      <c r="B424" s="7" t="s">
        <v>91</v>
      </c>
      <c r="C424" s="17">
        <v>1.5</v>
      </c>
      <c r="D424" s="7">
        <v>22</v>
      </c>
      <c r="E424" s="1">
        <v>1.4137239583333301</v>
      </c>
      <c r="F424" s="1">
        <v>42.277149936332201</v>
      </c>
      <c r="G424" s="1">
        <v>0.99636763998302202</v>
      </c>
      <c r="H424" s="1">
        <v>24.398111134444701</v>
      </c>
      <c r="I424" s="1">
        <v>45.889493159473297</v>
      </c>
      <c r="J424" s="1">
        <v>0.99793198374484005</v>
      </c>
      <c r="K424" s="8">
        <v>26.8444605189427</v>
      </c>
      <c r="L424" s="7">
        <v>18</v>
      </c>
      <c r="M424" s="1">
        <v>1.45464518229166</v>
      </c>
      <c r="N424" s="1">
        <v>43.802296779283203</v>
      </c>
      <c r="O424" s="1">
        <v>0.997387941007576</v>
      </c>
      <c r="P424" s="1">
        <v>25.8301701889967</v>
      </c>
      <c r="Q424" s="1">
        <v>47.540668538167502</v>
      </c>
      <c r="R424" s="1">
        <v>0.99856677126825399</v>
      </c>
      <c r="S424" s="1">
        <v>28.436844941749001</v>
      </c>
      <c r="T424" s="13">
        <f>bdrate(E424:E427,F424:F427,M424:M427,N424:N427)</f>
        <v>-0.32265521933870611</v>
      </c>
      <c r="U424" s="12">
        <f>bdrate(E424:E427,H424:H427,M424:M427,P424:P427)</f>
        <v>-0.3127473951447951</v>
      </c>
      <c r="V424" s="12">
        <f>bdrate(E424:E427,I424:I427,M424:M427,Q424:Q427)</f>
        <v>-0.31115170446250695</v>
      </c>
      <c r="W424" s="14">
        <f>bdrate(E424:E427,K424:K427,M424:M427,S424:S427)</f>
        <v>-0.27920543065180714</v>
      </c>
      <c r="X424" s="13">
        <f>bdrate(E426:E429,F426:F429,M426:M429,N426:N429)</f>
        <v>-0.37464854397618341</v>
      </c>
      <c r="Y424" s="12">
        <f>bdrate(E426:E429,H426:H429,M426:M429,P426:P429)</f>
        <v>-0.35047564882660109</v>
      </c>
      <c r="Z424" s="12">
        <f>bdrate(E426:E429,I426:I429,M426:M429,Q426:Q429)</f>
        <v>-0.36162866840975971</v>
      </c>
      <c r="AA424" s="14">
        <f>bdrate(E426:E429,K426:K429,M426:M429,S426:S429)</f>
        <v>-0.29774827952396721</v>
      </c>
      <c r="AB424" s="7"/>
      <c r="AC424" s="1"/>
      <c r="AD424" s="1"/>
      <c r="AE424" s="1"/>
      <c r="AF424" s="1"/>
      <c r="AG424" s="1"/>
      <c r="AH424" s="1"/>
      <c r="AI424" s="1"/>
      <c r="AJ424" s="1"/>
      <c r="AK424" s="1"/>
      <c r="AL424" s="13" t="e">
        <f>bdrate(E424:E427,F424:F427,AC424:AC427,AD424:AD427)</f>
        <v>#VALUE!</v>
      </c>
      <c r="AM424" s="12" t="e">
        <f>bdrate(E424:E427,H424:H427,AC424:AC427,AF424:AF427)</f>
        <v>#VALUE!</v>
      </c>
      <c r="AN424" s="12" t="e">
        <f>bdrate(E424:E427,I424:I427,AC424:AC427,AG424:AG427)</f>
        <v>#VALUE!</v>
      </c>
      <c r="AO424" s="14" t="e">
        <f>bdrate(E424:E427,K424:K427,AC424:AC427,AI424:AI427)</f>
        <v>#VALUE!</v>
      </c>
      <c r="AP424" s="12">
        <f>bdrate(E426:E429,F426:F429,AC426:AC429,AD426:AD429)</f>
        <v>-0.26065683947437535</v>
      </c>
      <c r="AQ424" s="12">
        <f>bdrate(E426:E429,H426:H429,AC426:AC429,AF426:AF429)</f>
        <v>-0.31262692226469535</v>
      </c>
      <c r="AR424" s="12">
        <f>bdrate(E426:E429,I426:I429,AC426:AC429,AG426:AG429)</f>
        <v>-0.2288537799064595</v>
      </c>
      <c r="AS424" s="14">
        <f>bdrate(E426:E429,K426:K429,AC426:AC429,AI426:AI429)</f>
        <v>-0.23705182825534876</v>
      </c>
      <c r="AT424" s="7"/>
      <c r="AU424" s="1"/>
      <c r="AV424" s="1"/>
      <c r="AW424" s="1"/>
      <c r="AX424" s="1"/>
      <c r="AY424" s="1"/>
      <c r="AZ424" s="1"/>
      <c r="BA424" s="1"/>
      <c r="BB424" s="1"/>
      <c r="BC424" s="1"/>
      <c r="BD424" s="13" t="e">
        <f>bdrate(E424:E427,F424:F427,AU424:AU427,AV424:AV427)</f>
        <v>#VALUE!</v>
      </c>
      <c r="BE424" s="12" t="e">
        <f>bdrate(E424:E427,H424:H427,AU424:AU427,AX424:AX427)</f>
        <v>#VALUE!</v>
      </c>
      <c r="BF424" s="12" t="e">
        <f>bdrate(E424:E427,I424:I427,AU424:AU427,AY424:AY427)</f>
        <v>#VALUE!</v>
      </c>
      <c r="BG424" s="14" t="e">
        <f>bdrate(E424:E427,K424:K427,AU424:AU427,BA424:BA427)</f>
        <v>#VALUE!</v>
      </c>
      <c r="BH424" s="12">
        <f>bdrate(E426:E429,F426:F429,AU426:AU429,AV426:AV429)</f>
        <v>0.17445717102945291</v>
      </c>
      <c r="BI424" s="12">
        <f>bdrate(E426:E429,H426:H429,AU426:AU429,AX426:AX429)</f>
        <v>-0.53267973734241592</v>
      </c>
      <c r="BJ424" s="12">
        <f>bdrate(E426:E429,I426:I429,AU426:AU429,AY426:AY429)</f>
        <v>0.27321149660300326</v>
      </c>
      <c r="BK424" s="14">
        <f>bdrate(E426:E429,K426:K429,AU426:AU429,BA426:BA429)</f>
        <v>-0.47532649301430108</v>
      </c>
    </row>
    <row r="425" spans="1:63">
      <c r="A425" s="49"/>
      <c r="B425" s="7" t="s">
        <v>18</v>
      </c>
      <c r="C425" s="17">
        <v>1</v>
      </c>
      <c r="D425" s="7">
        <v>26</v>
      </c>
      <c r="E425" s="1">
        <v>0.94393554687500003</v>
      </c>
      <c r="F425" s="1">
        <v>39.762876140024098</v>
      </c>
      <c r="G425" s="1">
        <v>0.99417814659303305</v>
      </c>
      <c r="H425" s="1">
        <v>22.3493873420244</v>
      </c>
      <c r="I425" s="1">
        <v>43.266353389188403</v>
      </c>
      <c r="J425" s="1">
        <v>0.99633159987491604</v>
      </c>
      <c r="K425" s="8">
        <v>24.355233004179201</v>
      </c>
      <c r="L425" s="7">
        <v>22</v>
      </c>
      <c r="M425" s="1">
        <v>0.93915690104166605</v>
      </c>
      <c r="N425" s="1">
        <v>41.566184931887598</v>
      </c>
      <c r="O425" s="1">
        <v>0.995878785711653</v>
      </c>
      <c r="P425" s="1">
        <v>23.849748031345399</v>
      </c>
      <c r="Q425" s="1">
        <v>45.139714757271797</v>
      </c>
      <c r="R425" s="1">
        <v>0.99747888873281398</v>
      </c>
      <c r="S425" s="1">
        <v>25.9840798666851</v>
      </c>
      <c r="T425" s="7"/>
      <c r="U425" s="1"/>
      <c r="V425" s="1"/>
      <c r="W425" s="8"/>
      <c r="X425" s="7"/>
      <c r="Y425" s="1"/>
      <c r="Z425" s="1"/>
      <c r="AA425" s="8"/>
      <c r="AB425" s="7">
        <v>64</v>
      </c>
      <c r="AC425" s="1">
        <v>0.58029622395833302</v>
      </c>
      <c r="AD425" s="1">
        <v>38.065737353971301</v>
      </c>
      <c r="AE425" s="1">
        <v>0.99304790611372296</v>
      </c>
      <c r="AF425" s="1">
        <v>21.578843714822401</v>
      </c>
      <c r="AG425" s="1">
        <v>41.498673754217101</v>
      </c>
      <c r="AH425" s="1">
        <v>0.99558451985085805</v>
      </c>
      <c r="AI425" s="1">
        <v>23.5502206336966</v>
      </c>
      <c r="AJ425" s="1">
        <v>81.8584787845611</v>
      </c>
      <c r="AK425" s="1">
        <v>38.446858644485403</v>
      </c>
      <c r="AL425" s="7"/>
      <c r="AM425" s="1"/>
      <c r="AN425" s="1"/>
      <c r="AO425" s="8"/>
      <c r="AP425" s="1"/>
      <c r="AQ425" s="1"/>
      <c r="AR425" s="1"/>
      <c r="AS425" s="8"/>
      <c r="AT425" s="7">
        <v>0.64</v>
      </c>
      <c r="AU425" s="1">
        <v>0.40177408854166602</v>
      </c>
      <c r="AV425" s="1">
        <v>32.519373614028197</v>
      </c>
      <c r="AW425" s="1">
        <v>0.99398995782586397</v>
      </c>
      <c r="AX425" s="1">
        <v>22.211224804215298</v>
      </c>
      <c r="AY425" s="1">
        <v>35.153033321857102</v>
      </c>
      <c r="AZ425" s="1">
        <v>0.99588903510706295</v>
      </c>
      <c r="BA425" s="1">
        <v>23.860562320177699</v>
      </c>
      <c r="BB425" s="1">
        <v>44.437996864318798</v>
      </c>
      <c r="BC425" s="1">
        <v>29.148670434951701</v>
      </c>
      <c r="BD425" s="7"/>
      <c r="BE425" s="1"/>
      <c r="BF425" s="1"/>
      <c r="BG425" s="8"/>
      <c r="BH425" s="1"/>
      <c r="BI425" s="1"/>
      <c r="BJ425" s="1"/>
      <c r="BK425" s="8"/>
    </row>
    <row r="426" spans="1:63">
      <c r="A426" s="49"/>
      <c r="B426" s="7" t="s">
        <v>18</v>
      </c>
      <c r="C426" s="17">
        <v>0.5</v>
      </c>
      <c r="D426" s="7">
        <v>32</v>
      </c>
      <c r="E426" s="1">
        <v>0.49568684895833298</v>
      </c>
      <c r="F426" s="1">
        <v>35.8571790208903</v>
      </c>
      <c r="G426" s="1">
        <v>0.98846972379319398</v>
      </c>
      <c r="H426" s="1">
        <v>19.381602890925699</v>
      </c>
      <c r="I426" s="1">
        <v>39.217109624246497</v>
      </c>
      <c r="J426" s="1">
        <v>0.99234644067333899</v>
      </c>
      <c r="K426" s="8">
        <v>21.1613654701213</v>
      </c>
      <c r="L426" s="7">
        <v>28</v>
      </c>
      <c r="M426" s="1">
        <v>0.49890625</v>
      </c>
      <c r="N426" s="1">
        <v>38.254954353532099</v>
      </c>
      <c r="O426" s="1">
        <v>0.99226334692186002</v>
      </c>
      <c r="P426" s="1">
        <v>21.114468770505798</v>
      </c>
      <c r="Q426" s="1">
        <v>41.593498111417098</v>
      </c>
      <c r="R426" s="1">
        <v>0.99473712233349099</v>
      </c>
      <c r="S426" s="1">
        <v>22.787767248672999</v>
      </c>
      <c r="T426" s="7"/>
      <c r="U426" s="1"/>
      <c r="V426" s="1"/>
      <c r="W426" s="8"/>
      <c r="X426" s="7"/>
      <c r="Y426" s="1"/>
      <c r="Z426" s="1"/>
      <c r="AA426" s="8"/>
      <c r="AB426" s="7">
        <v>32</v>
      </c>
      <c r="AC426" s="1">
        <v>0.43314778645833302</v>
      </c>
      <c r="AD426" s="1">
        <v>36.5755942616913</v>
      </c>
      <c r="AE426" s="1">
        <v>0.99083135374268605</v>
      </c>
      <c r="AF426" s="1">
        <v>20.376947828010401</v>
      </c>
      <c r="AG426" s="1">
        <v>39.814587018751403</v>
      </c>
      <c r="AH426" s="1">
        <v>0.993732631464464</v>
      </c>
      <c r="AI426" s="1">
        <v>22.029147670450602</v>
      </c>
      <c r="AJ426" s="1">
        <v>63.623935937881399</v>
      </c>
      <c r="AK426" s="1">
        <v>40.691848516464198</v>
      </c>
      <c r="AL426" s="7"/>
      <c r="AM426" s="1"/>
      <c r="AN426" s="1"/>
      <c r="AO426" s="8"/>
      <c r="AP426" s="1"/>
      <c r="AQ426" s="1"/>
      <c r="AR426" s="1"/>
      <c r="AS426" s="8"/>
      <c r="AT426" s="7">
        <v>0.32</v>
      </c>
      <c r="AU426" s="1">
        <v>0.29000325520833298</v>
      </c>
      <c r="AV426" s="1">
        <v>31.453353922072001</v>
      </c>
      <c r="AW426" s="1">
        <v>0.99156560584541598</v>
      </c>
      <c r="AX426" s="1">
        <v>20.739461074756498</v>
      </c>
      <c r="AY426" s="1">
        <v>34.088749477912501</v>
      </c>
      <c r="AZ426" s="1">
        <v>0.99397149801276496</v>
      </c>
      <c r="BA426" s="1">
        <v>22.197905915915001</v>
      </c>
      <c r="BB426" s="1">
        <v>50.875323534011798</v>
      </c>
      <c r="BC426" s="1">
        <v>31.325427055358801</v>
      </c>
      <c r="BD426" s="7"/>
      <c r="BE426" s="1"/>
      <c r="BF426" s="1"/>
      <c r="BG426" s="8"/>
      <c r="BH426" s="1"/>
      <c r="BI426" s="1"/>
      <c r="BJ426" s="1"/>
      <c r="BK426" s="8"/>
    </row>
    <row r="427" spans="1:63">
      <c r="A427" s="49"/>
      <c r="B427" s="7" t="s">
        <v>18</v>
      </c>
      <c r="C427" s="17">
        <v>0.25</v>
      </c>
      <c r="D427" s="7">
        <v>38</v>
      </c>
      <c r="E427" s="1">
        <v>0.24675130208333301</v>
      </c>
      <c r="F427" s="1">
        <v>32.044897533590401</v>
      </c>
      <c r="G427" s="1">
        <v>0.97790653785674497</v>
      </c>
      <c r="H427" s="1">
        <v>16.5573622292914</v>
      </c>
      <c r="I427" s="1">
        <v>35.196896346887797</v>
      </c>
      <c r="J427" s="1">
        <v>0.98491677508138198</v>
      </c>
      <c r="K427" s="8">
        <v>18.2150579277505</v>
      </c>
      <c r="L427" s="7">
        <v>35</v>
      </c>
      <c r="M427" s="1">
        <v>0.230465494791666</v>
      </c>
      <c r="N427" s="1">
        <v>34.281967648362802</v>
      </c>
      <c r="O427" s="1">
        <v>0.98444408817372697</v>
      </c>
      <c r="P427" s="1">
        <v>18.0810452717744</v>
      </c>
      <c r="Q427" s="1">
        <v>37.377734756863902</v>
      </c>
      <c r="R427" s="1">
        <v>0.98868520096167101</v>
      </c>
      <c r="S427" s="1">
        <v>19.4635315512684</v>
      </c>
      <c r="T427" s="7"/>
      <c r="U427" s="1"/>
      <c r="V427" s="1"/>
      <c r="W427" s="8"/>
      <c r="X427" s="7"/>
      <c r="Y427" s="1"/>
      <c r="Z427" s="1"/>
      <c r="AA427" s="8"/>
      <c r="AB427" s="7">
        <v>16</v>
      </c>
      <c r="AC427" s="1">
        <v>0.31421549479166599</v>
      </c>
      <c r="AD427" s="1">
        <v>34.9588524835006</v>
      </c>
      <c r="AE427" s="1">
        <v>0.98743084928052705</v>
      </c>
      <c r="AF427" s="1">
        <v>19.006940660138898</v>
      </c>
      <c r="AG427" s="1">
        <v>38.025058772044702</v>
      </c>
      <c r="AH427" s="1">
        <v>0.99093195937451295</v>
      </c>
      <c r="AI427" s="1">
        <v>20.4248654287005</v>
      </c>
      <c r="AJ427" s="1">
        <v>41.225102186203003</v>
      </c>
      <c r="AK427" s="1">
        <v>27.6631598472595</v>
      </c>
      <c r="AL427" s="7"/>
      <c r="AM427" s="1"/>
      <c r="AN427" s="1"/>
      <c r="AO427" s="8"/>
      <c r="AP427" s="1"/>
      <c r="AQ427" s="1"/>
      <c r="AR427" s="1"/>
      <c r="AS427" s="8"/>
      <c r="AT427" s="7">
        <v>0.16</v>
      </c>
      <c r="AU427" s="1">
        <v>0.20405924479166601</v>
      </c>
      <c r="AV427" s="1">
        <v>30.200300174645999</v>
      </c>
      <c r="AW427" s="1">
        <v>0.98762677713729996</v>
      </c>
      <c r="AX427" s="1">
        <v>19.0751716462442</v>
      </c>
      <c r="AY427" s="1">
        <v>32.825917748948399</v>
      </c>
      <c r="AZ427" s="1">
        <v>0.99074237241965901</v>
      </c>
      <c r="BA427" s="1">
        <v>20.335002941792698</v>
      </c>
      <c r="BB427" s="1">
        <v>37.678655624389599</v>
      </c>
      <c r="BC427" s="1">
        <v>26.8871376514434</v>
      </c>
      <c r="BD427" s="7"/>
      <c r="BE427" s="1"/>
      <c r="BF427" s="1"/>
      <c r="BG427" s="8"/>
      <c r="BH427" s="1"/>
      <c r="BI427" s="1"/>
      <c r="BJ427" s="1"/>
      <c r="BK427" s="8"/>
    </row>
    <row r="428" spans="1:63">
      <c r="A428" s="49"/>
      <c r="B428" s="7" t="s">
        <v>18</v>
      </c>
      <c r="C428" s="17">
        <v>0.12</v>
      </c>
      <c r="D428" s="7">
        <v>44</v>
      </c>
      <c r="E428" s="1">
        <v>0.11211588541666601</v>
      </c>
      <c r="F428" s="1">
        <v>28.3215732315658</v>
      </c>
      <c r="G428" s="1">
        <v>0.95490044754860703</v>
      </c>
      <c r="H428" s="1">
        <v>13.4582776785274</v>
      </c>
      <c r="I428" s="1">
        <v>31.2848942530042</v>
      </c>
      <c r="J428" s="1">
        <v>0.96705482463334203</v>
      </c>
      <c r="K428" s="8">
        <v>14.822081763675</v>
      </c>
      <c r="L428" s="7">
        <v>41</v>
      </c>
      <c r="M428" s="1">
        <v>0.11376953125</v>
      </c>
      <c r="N428" s="1">
        <v>30.465385881483101</v>
      </c>
      <c r="O428" s="1">
        <v>0.96949598903232503</v>
      </c>
      <c r="P428" s="1">
        <v>15.1564305158437</v>
      </c>
      <c r="Q428" s="1">
        <v>33.450615056966399</v>
      </c>
      <c r="R428" s="1">
        <v>0.97690481842651999</v>
      </c>
      <c r="S428" s="1">
        <v>16.3647861899655</v>
      </c>
      <c r="T428" s="7"/>
      <c r="U428" s="1"/>
      <c r="V428" s="1"/>
      <c r="W428" s="8"/>
      <c r="X428" s="7"/>
      <c r="Y428" s="1"/>
      <c r="Z428" s="1"/>
      <c r="AA428" s="8"/>
      <c r="AB428" s="7">
        <v>8</v>
      </c>
      <c r="AC428" s="1">
        <v>0.23081705729166599</v>
      </c>
      <c r="AD428" s="1">
        <v>33.303206413979197</v>
      </c>
      <c r="AE428" s="1">
        <v>0.98353092901810601</v>
      </c>
      <c r="AF428" s="1">
        <v>17.8333089863333</v>
      </c>
      <c r="AG428" s="1">
        <v>36.27595415567</v>
      </c>
      <c r="AH428" s="1">
        <v>0.98764426123293103</v>
      </c>
      <c r="AI428" s="1">
        <v>19.081312824051999</v>
      </c>
      <c r="AJ428" s="1">
        <v>41.6638023853302</v>
      </c>
      <c r="AK428" s="1">
        <v>28.426128387451101</v>
      </c>
      <c r="AL428" s="7"/>
      <c r="AM428" s="1"/>
      <c r="AN428" s="1"/>
      <c r="AO428" s="8"/>
      <c r="AP428" s="1"/>
      <c r="AQ428" s="1"/>
      <c r="AR428" s="1"/>
      <c r="AS428" s="8"/>
      <c r="AT428" s="7">
        <v>0.08</v>
      </c>
      <c r="AU428" s="1">
        <v>0.14319986979166599</v>
      </c>
      <c r="AV428" s="1">
        <v>28.8382994468618</v>
      </c>
      <c r="AW428" s="1">
        <v>0.98182734516728998</v>
      </c>
      <c r="AX428" s="1">
        <v>17.405816222256298</v>
      </c>
      <c r="AY428" s="1">
        <v>31.486537332933999</v>
      </c>
      <c r="AZ428" s="1">
        <v>0.98607578602666601</v>
      </c>
      <c r="BA428" s="1">
        <v>18.562293115351299</v>
      </c>
      <c r="BB428" s="1">
        <v>37.753519535064697</v>
      </c>
      <c r="BC428" s="1">
        <v>28.5500485897064</v>
      </c>
      <c r="BD428" s="7"/>
      <c r="BE428" s="1"/>
      <c r="BF428" s="1"/>
      <c r="BG428" s="8"/>
      <c r="BH428" s="1"/>
      <c r="BI428" s="1"/>
      <c r="BJ428" s="1"/>
      <c r="BK428" s="8"/>
    </row>
    <row r="429" spans="1:63">
      <c r="A429" s="49"/>
      <c r="B429" s="7" t="s">
        <v>18</v>
      </c>
      <c r="C429" s="17">
        <v>0.06</v>
      </c>
      <c r="D429" s="7">
        <v>49</v>
      </c>
      <c r="E429" s="1">
        <v>5.1832682291666599E-2</v>
      </c>
      <c r="F429" s="1">
        <v>25.416892919440102</v>
      </c>
      <c r="G429" s="1">
        <v>0.91698852167723699</v>
      </c>
      <c r="H429" s="1">
        <v>10.808618518699999</v>
      </c>
      <c r="I429" s="1">
        <v>28.311276084606401</v>
      </c>
      <c r="J429" s="1">
        <v>0.93462645695712698</v>
      </c>
      <c r="K429" s="8">
        <v>11.845979769849601</v>
      </c>
      <c r="L429" s="7">
        <v>46</v>
      </c>
      <c r="M429" s="1">
        <v>5.7568359375000003E-2</v>
      </c>
      <c r="N429" s="1">
        <v>27.424874661744902</v>
      </c>
      <c r="O429" s="1">
        <v>0.94405511340821402</v>
      </c>
      <c r="P429" s="1">
        <v>12.522396021911399</v>
      </c>
      <c r="Q429" s="1">
        <v>30.334180073598699</v>
      </c>
      <c r="R429" s="1">
        <v>0.95529915246088903</v>
      </c>
      <c r="S429" s="1">
        <v>13.4968424245934</v>
      </c>
      <c r="T429" s="7"/>
      <c r="U429" s="1"/>
      <c r="V429" s="1"/>
      <c r="W429" s="8"/>
      <c r="X429" s="7"/>
      <c r="Y429" s="1"/>
      <c r="Z429" s="1"/>
      <c r="AA429" s="8"/>
      <c r="AB429" s="7">
        <v>4</v>
      </c>
      <c r="AC429" s="1">
        <v>0.169527994791666</v>
      </c>
      <c r="AD429" s="1">
        <v>31.6178774742902</v>
      </c>
      <c r="AE429" s="1">
        <v>0.97768148648591402</v>
      </c>
      <c r="AF429" s="1">
        <v>16.5133473420257</v>
      </c>
      <c r="AG429" s="1">
        <v>34.549951501859503</v>
      </c>
      <c r="AH429" s="1">
        <v>0.98275294809325098</v>
      </c>
      <c r="AI429" s="1">
        <v>17.632851295791699</v>
      </c>
      <c r="AJ429" s="1">
        <v>39.701324939727698</v>
      </c>
      <c r="AK429" s="1">
        <v>28.789605855941701</v>
      </c>
      <c r="AL429" s="7"/>
      <c r="AM429" s="1"/>
      <c r="AN429" s="1"/>
      <c r="AO429" s="8"/>
      <c r="AP429" s="1"/>
      <c r="AQ429" s="1"/>
      <c r="AR429" s="1"/>
      <c r="AS429" s="8"/>
      <c r="AT429" s="7">
        <v>0.04</v>
      </c>
      <c r="AU429" s="1">
        <v>0.101123046875</v>
      </c>
      <c r="AV429" s="1">
        <v>27.482950393148698</v>
      </c>
      <c r="AW429" s="1">
        <v>0.97350064877823395</v>
      </c>
      <c r="AX429" s="1">
        <v>15.767647586766399</v>
      </c>
      <c r="AY429" s="1">
        <v>30.121086347731701</v>
      </c>
      <c r="AZ429" s="1">
        <v>0.97941331212522498</v>
      </c>
      <c r="BA429" s="1">
        <v>16.8641351998786</v>
      </c>
      <c r="BB429" s="1">
        <v>41.018495082855203</v>
      </c>
      <c r="BC429" s="1">
        <v>31.5824520587921</v>
      </c>
      <c r="BD429" s="7"/>
      <c r="BE429" s="1"/>
      <c r="BF429" s="1"/>
      <c r="BG429" s="8"/>
      <c r="BH429" s="1"/>
      <c r="BI429" s="1"/>
      <c r="BJ429" s="1"/>
      <c r="BK429" s="8"/>
    </row>
    <row r="430" spans="1:63">
      <c r="A430" s="49"/>
      <c r="B430" s="7" t="s">
        <v>92</v>
      </c>
      <c r="C430" s="17">
        <v>1.5</v>
      </c>
      <c r="D430" s="7">
        <v>12</v>
      </c>
      <c r="E430" s="1">
        <v>1.42875651041666</v>
      </c>
      <c r="F430" s="1">
        <v>49.522497149902499</v>
      </c>
      <c r="G430" s="1">
        <v>0.99809820397623905</v>
      </c>
      <c r="H430" s="1">
        <v>27.208360649514901</v>
      </c>
      <c r="I430" s="1">
        <v>53.162661891929197</v>
      </c>
      <c r="J430" s="1">
        <v>0.99924093912653</v>
      </c>
      <c r="K430" s="8">
        <v>31.197233941284001</v>
      </c>
      <c r="L430" s="7">
        <v>10</v>
      </c>
      <c r="M430" s="1">
        <v>1.1732128906249999</v>
      </c>
      <c r="N430" s="1">
        <v>49.263619432480098</v>
      </c>
      <c r="O430" s="1">
        <v>0.99807501761999695</v>
      </c>
      <c r="P430" s="1">
        <v>27.155732413775901</v>
      </c>
      <c r="Q430" s="1">
        <v>53.000848527139503</v>
      </c>
      <c r="R430" s="1">
        <v>0.99922536179719401</v>
      </c>
      <c r="S430" s="1">
        <v>31.109010887356</v>
      </c>
      <c r="T430" s="13">
        <f>bdrate(E430:E433,F430:F433,M430:M433,N430:N433)</f>
        <v>-0.29853871851832947</v>
      </c>
      <c r="U430" s="12">
        <f>bdrate(E430:E433,H430:H433,M430:M433,P430:P433)</f>
        <v>-0.33370508852314851</v>
      </c>
      <c r="V430" s="12">
        <f>bdrate(E430:E433,I430:I433,M430:M433,Q430:Q433)</f>
        <v>-0.30802479447759645</v>
      </c>
      <c r="W430" s="14">
        <f>bdrate(E430:E433,K430:K433,M430:M433,S430:S433)</f>
        <v>-0.30855029398999667</v>
      </c>
      <c r="X430" s="13">
        <f>bdrate(E432:E435,F432:F435,M432:M435,N432:N435)</f>
        <v>-0.40272648534091615</v>
      </c>
      <c r="Y430" s="12">
        <f>bdrate(E432:E435,H432:H435,M432:M435,P432:P435)</f>
        <v>-0.48491812744522744</v>
      </c>
      <c r="Z430" s="12">
        <f>bdrate(E432:E435,I432:I435,M432:M435,Q432:Q435)</f>
        <v>-0.40075749917338255</v>
      </c>
      <c r="AA430" s="14">
        <f>bdrate(E432:E435,K432:K435,M432:M435,S432:S435)</f>
        <v>-0.4586469302081122</v>
      </c>
      <c r="AB430" s="7"/>
      <c r="AC430" s="1"/>
      <c r="AD430" s="1"/>
      <c r="AE430" s="1"/>
      <c r="AF430" s="1"/>
      <c r="AG430" s="1"/>
      <c r="AH430" s="1"/>
      <c r="AI430" s="1"/>
      <c r="AJ430" s="1"/>
      <c r="AK430" s="1"/>
      <c r="AL430" s="13" t="e">
        <f>bdrate(E430:E433,F430:F433,AC430:AC433,AD430:AD433)</f>
        <v>#VALUE!</v>
      </c>
      <c r="AM430" s="12" t="e">
        <f>bdrate(E430:E433,H430:H433,AC430:AC433,AF430:AF433)</f>
        <v>#VALUE!</v>
      </c>
      <c r="AN430" s="12" t="e">
        <f>bdrate(E430:E433,I430:I433,AC430:AC433,AG430:AG433)</f>
        <v>#VALUE!</v>
      </c>
      <c r="AO430" s="14" t="e">
        <f>bdrate(E430:E433,K430:K433,AC430:AC433,AI430:AI433)</f>
        <v>#VALUE!</v>
      </c>
      <c r="AP430" s="12">
        <f>bdrate(E432:E435,F432:F435,AC432:AC435,AD432:AD435)</f>
        <v>-0.35133597347515977</v>
      </c>
      <c r="AQ430" s="12">
        <f>bdrate(E432:E435,H432:H435,AC432:AC435,AF432:AF435)</f>
        <v>-0.53920996836199642</v>
      </c>
      <c r="AR430" s="12">
        <f>bdrate(E432:E435,I432:I435,AC432:AC435,AG432:AG435)</f>
        <v>-0.33059869121999086</v>
      </c>
      <c r="AS430" s="14">
        <f>bdrate(E432:E435,K432:K435,AC432:AC435,AI432:AI435)</f>
        <v>-0.48213095278940865</v>
      </c>
      <c r="AT430" s="7"/>
      <c r="AU430" s="1"/>
      <c r="AV430" s="1"/>
      <c r="AW430" s="1"/>
      <c r="AX430" s="1"/>
      <c r="AY430" s="1"/>
      <c r="AZ430" s="1"/>
      <c r="BA430" s="1"/>
      <c r="BB430" s="1"/>
      <c r="BC430" s="1"/>
      <c r="BD430" s="13" t="e">
        <f>bdrate(E430:E433,F430:F433,AU430:AU433,AV430:AV433)</f>
        <v>#VALUE!</v>
      </c>
      <c r="BE430" s="12" t="e">
        <f>bdrate(E430:E433,H430:H433,AU430:AU433,AX430:AX433)</f>
        <v>#VALUE!</v>
      </c>
      <c r="BF430" s="12" t="e">
        <f>bdrate(E430:E433,I430:I433,AU430:AU433,AY430:AY433)</f>
        <v>#VALUE!</v>
      </c>
      <c r="BG430" s="14" t="e">
        <f>bdrate(E430:E433,K430:K433,AU430:AU433,BA430:BA433)</f>
        <v>#VALUE!</v>
      </c>
      <c r="BH430" s="12">
        <f>bdrate(E432:E435,F432:F435,AU432:AU435,AV432:AV435)</f>
        <v>-0.13811810393530144</v>
      </c>
      <c r="BI430" s="12">
        <f>bdrate(E432:E435,H432:H435,AU432:AU435,AX432:AX435)</f>
        <v>-0.64862996051183841</v>
      </c>
      <c r="BJ430" s="12">
        <f>bdrate(E432:E435,I432:I435,AU432:AU435,AY432:AY435)</f>
        <v>1.0829857665304754E-2</v>
      </c>
      <c r="BK430" s="14">
        <f>bdrate(E432:E435,K432:K435,AU432:AU435,BA432:BA435)</f>
        <v>-0.55403548873162933</v>
      </c>
    </row>
    <row r="431" spans="1:63">
      <c r="A431" s="49"/>
      <c r="B431" s="7" t="s">
        <v>18</v>
      </c>
      <c r="C431" s="17">
        <v>1</v>
      </c>
      <c r="D431" s="7">
        <v>15</v>
      </c>
      <c r="E431" s="1">
        <v>0.97465169270833296</v>
      </c>
      <c r="F431" s="1">
        <v>48.550125624260403</v>
      </c>
      <c r="G431" s="1">
        <v>0.99759828555054397</v>
      </c>
      <c r="H431" s="1">
        <v>26.194786290720501</v>
      </c>
      <c r="I431" s="1">
        <v>52.1565670568353</v>
      </c>
      <c r="J431" s="1">
        <v>0.99899479313726902</v>
      </c>
      <c r="K431" s="8">
        <v>29.977445550617698</v>
      </c>
      <c r="L431" s="7">
        <v>11</v>
      </c>
      <c r="M431" s="1">
        <v>0.98197591145833296</v>
      </c>
      <c r="N431" s="1">
        <v>48.9573675900334</v>
      </c>
      <c r="O431" s="1">
        <v>0.99792508837863203</v>
      </c>
      <c r="P431" s="1">
        <v>26.830003968650502</v>
      </c>
      <c r="Q431" s="1">
        <v>52.6290167189484</v>
      </c>
      <c r="R431" s="1">
        <v>0.99913204318457105</v>
      </c>
      <c r="S431" s="1">
        <v>30.615018822979899</v>
      </c>
      <c r="T431" s="7"/>
      <c r="U431" s="1"/>
      <c r="V431" s="1"/>
      <c r="W431" s="8"/>
      <c r="X431" s="7"/>
      <c r="Y431" s="1"/>
      <c r="Z431" s="1"/>
      <c r="AA431" s="8"/>
      <c r="AB431" s="7">
        <v>64</v>
      </c>
      <c r="AC431" s="1">
        <v>0.18781575520833299</v>
      </c>
      <c r="AD431" s="1">
        <v>43.386383714449003</v>
      </c>
      <c r="AE431" s="1">
        <v>0.996209413772283</v>
      </c>
      <c r="AF431" s="1">
        <v>24.2129361964287</v>
      </c>
      <c r="AG431" s="1">
        <v>47.316680525800599</v>
      </c>
      <c r="AH431" s="1">
        <v>0.99836619047377795</v>
      </c>
      <c r="AI431" s="1">
        <v>27.867985760364501</v>
      </c>
      <c r="AJ431" s="1">
        <v>74.362221956252995</v>
      </c>
      <c r="AK431" s="1">
        <v>38.447315454482997</v>
      </c>
      <c r="AL431" s="7"/>
      <c r="AM431" s="1"/>
      <c r="AN431" s="1"/>
      <c r="AO431" s="8"/>
      <c r="AP431" s="1"/>
      <c r="AQ431" s="1"/>
      <c r="AR431" s="1"/>
      <c r="AS431" s="8"/>
      <c r="AT431" s="7">
        <v>0.64</v>
      </c>
      <c r="AU431" s="1">
        <v>0.153382161458333</v>
      </c>
      <c r="AV431" s="1">
        <v>40.362273492324299</v>
      </c>
      <c r="AW431" s="1">
        <v>0.996941006637167</v>
      </c>
      <c r="AX431" s="1">
        <v>25.144214653128401</v>
      </c>
      <c r="AY431" s="1">
        <v>42.810678734362902</v>
      </c>
      <c r="AZ431" s="1">
        <v>0.99828037357713495</v>
      </c>
      <c r="BA431" s="1">
        <v>27.645658903657498</v>
      </c>
      <c r="BB431" s="1">
        <v>42.421984910964902</v>
      </c>
      <c r="BC431" s="1">
        <v>30.510758399963301</v>
      </c>
      <c r="BD431" s="7"/>
      <c r="BE431" s="1"/>
      <c r="BF431" s="1"/>
      <c r="BG431" s="8"/>
      <c r="BH431" s="1"/>
      <c r="BI431" s="1"/>
      <c r="BJ431" s="1"/>
      <c r="BK431" s="8"/>
    </row>
    <row r="432" spans="1:63">
      <c r="A432" s="49"/>
      <c r="B432" s="7" t="s">
        <v>18</v>
      </c>
      <c r="C432" s="17">
        <v>0.5</v>
      </c>
      <c r="D432" s="7">
        <v>23</v>
      </c>
      <c r="E432" s="1">
        <v>0.452877604166666</v>
      </c>
      <c r="F432" s="1">
        <v>45.6297116652024</v>
      </c>
      <c r="G432" s="1">
        <v>0.99613267382791004</v>
      </c>
      <c r="H432" s="1">
        <v>24.125891977834598</v>
      </c>
      <c r="I432" s="1">
        <v>49.304124665604199</v>
      </c>
      <c r="J432" s="1">
        <v>0.99836615804349504</v>
      </c>
      <c r="K432" s="8">
        <v>27.867899555990501</v>
      </c>
      <c r="L432" s="7">
        <v>17</v>
      </c>
      <c r="M432" s="1">
        <v>0.47836914062500002</v>
      </c>
      <c r="N432" s="1">
        <v>47.374796087191299</v>
      </c>
      <c r="O432" s="1">
        <v>0.99715961663604102</v>
      </c>
      <c r="P432" s="1">
        <v>25.4662303966576</v>
      </c>
      <c r="Q432" s="1">
        <v>51.086278914835198</v>
      </c>
      <c r="R432" s="1">
        <v>0.99879007643944095</v>
      </c>
      <c r="S432" s="1">
        <v>29.172420662755901</v>
      </c>
      <c r="T432" s="7"/>
      <c r="U432" s="1"/>
      <c r="V432" s="1"/>
      <c r="W432" s="8"/>
      <c r="X432" s="7"/>
      <c r="Y432" s="1"/>
      <c r="Z432" s="1"/>
      <c r="AA432" s="8"/>
      <c r="AB432" s="7">
        <v>32</v>
      </c>
      <c r="AC432" s="1">
        <v>0.14756835937500001</v>
      </c>
      <c r="AD432" s="1">
        <v>41.701682749722998</v>
      </c>
      <c r="AE432" s="1">
        <v>0.99543559052707298</v>
      </c>
      <c r="AF432" s="1">
        <v>23.4061540197171</v>
      </c>
      <c r="AG432" s="1">
        <v>45.567478500004498</v>
      </c>
      <c r="AH432" s="1">
        <v>0.99795340314994097</v>
      </c>
      <c r="AI432" s="1">
        <v>26.889676986362399</v>
      </c>
      <c r="AJ432" s="1">
        <v>61.299537181854198</v>
      </c>
      <c r="AK432" s="1">
        <v>39.096765041351297</v>
      </c>
      <c r="AL432" s="7"/>
      <c r="AM432" s="1"/>
      <c r="AN432" s="1"/>
      <c r="AO432" s="8"/>
      <c r="AP432" s="1"/>
      <c r="AQ432" s="1"/>
      <c r="AR432" s="1"/>
      <c r="AS432" s="8"/>
      <c r="AT432" s="7">
        <v>0.32</v>
      </c>
      <c r="AU432" s="1">
        <v>0.11286132812499999</v>
      </c>
      <c r="AV432" s="1">
        <v>39.000434386006901</v>
      </c>
      <c r="AW432" s="1">
        <v>0.995479646373294</v>
      </c>
      <c r="AX432" s="1">
        <v>23.448275890559302</v>
      </c>
      <c r="AY432" s="1">
        <v>41.457328690251899</v>
      </c>
      <c r="AZ432" s="1">
        <v>0.99762219137330699</v>
      </c>
      <c r="BA432" s="1">
        <v>26.238231016584201</v>
      </c>
      <c r="BB432" s="1">
        <v>48.097609519958397</v>
      </c>
      <c r="BC432" s="1">
        <v>31.219480037689198</v>
      </c>
      <c r="BD432" s="7"/>
      <c r="BE432" s="1"/>
      <c r="BF432" s="1"/>
      <c r="BG432" s="8"/>
      <c r="BH432" s="1"/>
      <c r="BI432" s="1"/>
      <c r="BJ432" s="1"/>
      <c r="BK432" s="8"/>
    </row>
    <row r="433" spans="1:63">
      <c r="A433" s="49"/>
      <c r="B433" s="7" t="s">
        <v>18</v>
      </c>
      <c r="C433" s="17">
        <v>0.25</v>
      </c>
      <c r="D433" s="7">
        <v>30</v>
      </c>
      <c r="E433" s="1">
        <v>0.22876627604166599</v>
      </c>
      <c r="F433" s="1">
        <v>42.0399015637364</v>
      </c>
      <c r="G433" s="1">
        <v>0.99332754712285698</v>
      </c>
      <c r="H433" s="1">
        <v>21.757144846470901</v>
      </c>
      <c r="I433" s="1">
        <v>45.5914411129203</v>
      </c>
      <c r="J433" s="1">
        <v>0.99703966409350697</v>
      </c>
      <c r="K433" s="8">
        <v>25.286590071642902</v>
      </c>
      <c r="L433" s="7">
        <v>24</v>
      </c>
      <c r="M433" s="1">
        <v>0.24067708333333299</v>
      </c>
      <c r="N433" s="1">
        <v>44.849490673031198</v>
      </c>
      <c r="O433" s="1">
        <v>0.99609259726777499</v>
      </c>
      <c r="P433" s="1">
        <v>24.081118241555501</v>
      </c>
      <c r="Q433" s="1">
        <v>48.518356797348197</v>
      </c>
      <c r="R433" s="1">
        <v>0.99828811389118499</v>
      </c>
      <c r="S433" s="1">
        <v>27.665251321579799</v>
      </c>
      <c r="T433" s="7"/>
      <c r="U433" s="1"/>
      <c r="V433" s="1"/>
      <c r="W433" s="8"/>
      <c r="X433" s="7"/>
      <c r="Y433" s="1"/>
      <c r="Z433" s="1"/>
      <c r="AA433" s="8"/>
      <c r="AB433" s="7">
        <v>16</v>
      </c>
      <c r="AC433" s="1">
        <v>0.113681640625</v>
      </c>
      <c r="AD433" s="1">
        <v>40.700074225117397</v>
      </c>
      <c r="AE433" s="1">
        <v>0.994064199767694</v>
      </c>
      <c r="AF433" s="1">
        <v>22.265207235422199</v>
      </c>
      <c r="AG433" s="1">
        <v>44.080851831136599</v>
      </c>
      <c r="AH433" s="1">
        <v>0.99701127810855905</v>
      </c>
      <c r="AI433" s="1">
        <v>25.245144953427499</v>
      </c>
      <c r="AJ433" s="1">
        <v>39.730167627334502</v>
      </c>
      <c r="AK433" s="1">
        <v>27.575756072998001</v>
      </c>
      <c r="AL433" s="7"/>
      <c r="AM433" s="1"/>
      <c r="AN433" s="1"/>
      <c r="AO433" s="8"/>
      <c r="AP433" s="1"/>
      <c r="AQ433" s="1"/>
      <c r="AR433" s="1"/>
      <c r="AS433" s="8"/>
      <c r="AT433" s="7">
        <v>0.16</v>
      </c>
      <c r="AU433" s="1">
        <v>8.3343098958333306E-2</v>
      </c>
      <c r="AV433" s="1">
        <v>37.278654067082897</v>
      </c>
      <c r="AW433" s="1">
        <v>0.99336738603352803</v>
      </c>
      <c r="AX433" s="1">
        <v>21.783152789130099</v>
      </c>
      <c r="AY433" s="1">
        <v>39.746838249395701</v>
      </c>
      <c r="AZ433" s="1">
        <v>0.99657448439376395</v>
      </c>
      <c r="BA433" s="1">
        <v>24.6527404954684</v>
      </c>
      <c r="BB433" s="1">
        <v>35.686991453170698</v>
      </c>
      <c r="BC433" s="1">
        <v>26.367093801498399</v>
      </c>
      <c r="BD433" s="7"/>
      <c r="BE433" s="1"/>
      <c r="BF433" s="1"/>
      <c r="BG433" s="8"/>
      <c r="BH433" s="1"/>
      <c r="BI433" s="1"/>
      <c r="BJ433" s="1"/>
      <c r="BK433" s="8"/>
    </row>
    <row r="434" spans="1:63">
      <c r="A434" s="49"/>
      <c r="B434" s="7" t="s">
        <v>18</v>
      </c>
      <c r="C434" s="17">
        <v>0.12</v>
      </c>
      <c r="D434" s="7">
        <v>37</v>
      </c>
      <c r="E434" s="1">
        <v>0.109401041666666</v>
      </c>
      <c r="F434" s="1">
        <v>37.945992814658098</v>
      </c>
      <c r="G434" s="1">
        <v>0.98621682809318101</v>
      </c>
      <c r="H434" s="1">
        <v>18.6065082719545</v>
      </c>
      <c r="I434" s="1">
        <v>41.347420488792402</v>
      </c>
      <c r="J434" s="1">
        <v>0.99360668996809798</v>
      </c>
      <c r="K434" s="8">
        <v>21.942742347372</v>
      </c>
      <c r="L434" s="7">
        <v>31</v>
      </c>
      <c r="M434" s="1">
        <v>0.11920898437499999</v>
      </c>
      <c r="N434" s="1">
        <v>41.299541742025703</v>
      </c>
      <c r="O434" s="1">
        <v>0.99336342190372195</v>
      </c>
      <c r="P434" s="1">
        <v>21.780557906572501</v>
      </c>
      <c r="Q434" s="1">
        <v>44.799648743204699</v>
      </c>
      <c r="R434" s="1">
        <v>0.99692182658214501</v>
      </c>
      <c r="S434" s="1">
        <v>25.1170691657215</v>
      </c>
      <c r="T434" s="7"/>
      <c r="U434" s="1"/>
      <c r="V434" s="1"/>
      <c r="W434" s="8"/>
      <c r="X434" s="7"/>
      <c r="Y434" s="1"/>
      <c r="Z434" s="1"/>
      <c r="AA434" s="8"/>
      <c r="AB434" s="7">
        <v>8</v>
      </c>
      <c r="AC434" s="1">
        <v>8.7809244791666602E-2</v>
      </c>
      <c r="AD434" s="1">
        <v>39.149018174934596</v>
      </c>
      <c r="AE434" s="1">
        <v>0.991797858922007</v>
      </c>
      <c r="AF434" s="1">
        <v>20.860727650574798</v>
      </c>
      <c r="AG434" s="1">
        <v>42.295285422658999</v>
      </c>
      <c r="AH434" s="1">
        <v>0.99575616928308197</v>
      </c>
      <c r="AI434" s="1">
        <v>23.722419480917701</v>
      </c>
      <c r="AJ434" s="1">
        <v>40.156935214996302</v>
      </c>
      <c r="AK434" s="1">
        <v>28.735496520996001</v>
      </c>
      <c r="AL434" s="7"/>
      <c r="AM434" s="1"/>
      <c r="AN434" s="1"/>
      <c r="AO434" s="8"/>
      <c r="AP434" s="1"/>
      <c r="AQ434" s="1"/>
      <c r="AR434" s="1"/>
      <c r="AS434" s="8"/>
      <c r="AT434" s="7">
        <v>0.08</v>
      </c>
      <c r="AU434" s="1">
        <v>6.14680989583333E-2</v>
      </c>
      <c r="AV434" s="1">
        <v>35.692031282440198</v>
      </c>
      <c r="AW434" s="1">
        <v>0.99153107883636904</v>
      </c>
      <c r="AX434" s="1">
        <v>20.7217190992002</v>
      </c>
      <c r="AY434" s="1">
        <v>38.131734337733299</v>
      </c>
      <c r="AZ434" s="1">
        <v>0.99479212920178395</v>
      </c>
      <c r="BA434" s="1">
        <v>22.833397986944501</v>
      </c>
      <c r="BB434" s="1">
        <v>35.434278488159102</v>
      </c>
      <c r="BC434" s="1">
        <v>27.435902833938599</v>
      </c>
      <c r="BD434" s="7"/>
      <c r="BE434" s="1"/>
      <c r="BF434" s="1"/>
      <c r="BG434" s="8"/>
      <c r="BH434" s="1"/>
      <c r="BI434" s="1"/>
      <c r="BJ434" s="1"/>
      <c r="BK434" s="8"/>
    </row>
    <row r="435" spans="1:63" ht="15" thickBot="1">
      <c r="A435" s="50"/>
      <c r="B435" s="9" t="s">
        <v>18</v>
      </c>
      <c r="C435" s="18">
        <v>0.06</v>
      </c>
      <c r="D435" s="9">
        <v>43</v>
      </c>
      <c r="E435" s="10">
        <v>5.5312500000000001E-2</v>
      </c>
      <c r="F435" s="10">
        <v>34.3153679499787</v>
      </c>
      <c r="G435" s="10">
        <v>0.97238397260779397</v>
      </c>
      <c r="H435" s="10">
        <v>15.588387951900399</v>
      </c>
      <c r="I435" s="10">
        <v>37.586485521872</v>
      </c>
      <c r="J435" s="10">
        <v>0.98636189317752698</v>
      </c>
      <c r="K435" s="11">
        <v>18.652459122027999</v>
      </c>
      <c r="L435" s="9">
        <v>38</v>
      </c>
      <c r="M435" s="10">
        <v>5.4918619791666602E-2</v>
      </c>
      <c r="N435" s="10">
        <v>37.105654032571699</v>
      </c>
      <c r="O435" s="10">
        <v>0.98586242305754301</v>
      </c>
      <c r="P435" s="10">
        <v>18.496250184524602</v>
      </c>
      <c r="Q435" s="10">
        <v>40.4086080983176</v>
      </c>
      <c r="R435" s="10">
        <v>0.99304021725912905</v>
      </c>
      <c r="S435" s="10">
        <v>21.574043172736101</v>
      </c>
      <c r="T435" s="9"/>
      <c r="U435" s="10"/>
      <c r="V435" s="10"/>
      <c r="W435" s="11"/>
      <c r="X435" s="9"/>
      <c r="Y435" s="10"/>
      <c r="Z435" s="10"/>
      <c r="AA435" s="11"/>
      <c r="AB435" s="9">
        <v>4</v>
      </c>
      <c r="AC435" s="10">
        <v>6.8889973958333295E-2</v>
      </c>
      <c r="AD435" s="10">
        <v>37.586180952866698</v>
      </c>
      <c r="AE435" s="10">
        <v>0.98855499249275003</v>
      </c>
      <c r="AF435" s="10">
        <v>19.413839181177799</v>
      </c>
      <c r="AG435" s="10">
        <v>40.589526626037198</v>
      </c>
      <c r="AH435" s="10">
        <v>0.99397428914804997</v>
      </c>
      <c r="AI435" s="10">
        <v>22.1999171209441</v>
      </c>
      <c r="AJ435" s="10">
        <v>39.995649337768498</v>
      </c>
      <c r="AK435" s="10">
        <v>31.376926898956299</v>
      </c>
      <c r="AL435" s="9"/>
      <c r="AM435" s="10"/>
      <c r="AN435" s="10"/>
      <c r="AO435" s="11"/>
      <c r="AP435" s="10"/>
      <c r="AQ435" s="10"/>
      <c r="AR435" s="10"/>
      <c r="AS435" s="11"/>
      <c r="AT435" s="9">
        <v>0.04</v>
      </c>
      <c r="AU435" s="10">
        <v>4.5934244791666599E-2</v>
      </c>
      <c r="AV435" s="10">
        <v>33.728356620251802</v>
      </c>
      <c r="AW435" s="10">
        <v>0.98728698894992795</v>
      </c>
      <c r="AX435" s="10">
        <v>18.957515755232698</v>
      </c>
      <c r="AY435" s="10">
        <v>36.017230443364603</v>
      </c>
      <c r="AZ435" s="10">
        <v>0.99208802774593297</v>
      </c>
      <c r="BA435" s="10">
        <v>21.0171524440468</v>
      </c>
      <c r="BB435" s="10">
        <v>40.081625223159698</v>
      </c>
      <c r="BC435" s="10">
        <v>31.6180641651153</v>
      </c>
      <c r="BD435" s="9"/>
      <c r="BE435" s="10"/>
      <c r="BF435" s="10"/>
      <c r="BG435" s="11"/>
      <c r="BH435" s="10"/>
      <c r="BI435" s="10"/>
      <c r="BJ435" s="10"/>
      <c r="BK435" s="11"/>
    </row>
    <row r="436" spans="1:63">
      <c r="A436" s="48" t="s">
        <v>93</v>
      </c>
      <c r="B436" s="7" t="s">
        <v>94</v>
      </c>
      <c r="C436" s="17">
        <v>1.5</v>
      </c>
      <c r="D436" s="7">
        <v>30</v>
      </c>
      <c r="E436">
        <v>1.4312947591145799</v>
      </c>
      <c r="F436">
        <v>35.002257849810299</v>
      </c>
      <c r="G436">
        <v>0.99071720046543699</v>
      </c>
      <c r="H436">
        <v>20.323210281929502</v>
      </c>
      <c r="I436">
        <v>38.150277811128099</v>
      </c>
      <c r="J436">
        <v>0.99376802955964405</v>
      </c>
      <c r="K436" s="8">
        <v>22.053746152874801</v>
      </c>
      <c r="L436" s="7">
        <v>27</v>
      </c>
      <c r="M436">
        <v>1.4632975260416601</v>
      </c>
      <c r="N436">
        <v>36.441451015767697</v>
      </c>
      <c r="O436">
        <v>0.99336690309011999</v>
      </c>
      <c r="P436">
        <v>21.782836575910402</v>
      </c>
      <c r="Q436">
        <v>39.663023797890901</v>
      </c>
      <c r="R436">
        <v>0.99530506744633895</v>
      </c>
      <c r="S436" s="1">
        <v>23.283706423294099</v>
      </c>
      <c r="T436" s="21">
        <f>bdrate(E436:E439,F436:F439,M436:M439,N436:N439)</f>
        <v>-0.18119476115758171</v>
      </c>
      <c r="U436" s="22">
        <f>bdrate(E436:E439,H436:H439,M436:M439,P436:P439)</f>
        <v>-0.17413293779314831</v>
      </c>
      <c r="V436" s="22">
        <f>bdrate(E436:E439,I436:I439,M436:M439,Q436:Q439)</f>
        <v>-0.23833682309826076</v>
      </c>
      <c r="W436" s="23">
        <f>bdrate(E436:E439,K436:K439,M436:M439,S436:S439)</f>
        <v>-0.12570483547478983</v>
      </c>
      <c r="X436" s="21">
        <f>bdrate(E438:E441,F438:F441,M438:M441,N438:N441)</f>
        <v>-0.24752947223474842</v>
      </c>
      <c r="Y436" s="22">
        <f>bdrate(E438:E441,H438:H441,M438:M441,P438:P441)</f>
        <v>-0.18891148319915352</v>
      </c>
      <c r="Z436" s="22">
        <f>bdrate(E438:E441,I438:I441,M438:M441,Q438:Q441)</f>
        <v>-0.34398687908735937</v>
      </c>
      <c r="AA436" s="23">
        <f>bdrate(E438:E441,K438:K441,M438:M441,S438:S441)</f>
        <v>-0.15089745309792468</v>
      </c>
      <c r="AB436" s="7"/>
      <c r="AI436" s="1"/>
      <c r="AJ436" s="1"/>
      <c r="AK436" s="1"/>
      <c r="AL436" s="13" t="e">
        <f>bdrate(E436:E439,F436:F439,AC436:AC439,AD436:AD439)</f>
        <v>#VALUE!</v>
      </c>
      <c r="AM436" s="12" t="e">
        <f>bdrate(E436:E439,H436:H439,AC436:AC439,AF436:AF439)</f>
        <v>#VALUE!</v>
      </c>
      <c r="AN436" s="12" t="e">
        <f>bdrate(E436:E439,I436:I439,AC436:AC439,AG436:AG439)</f>
        <v>#VALUE!</v>
      </c>
      <c r="AO436" s="14" t="e">
        <f>bdrate(E436:E439,K436:K439,AC436:AC439,AI436:AI439)</f>
        <v>#VALUE!</v>
      </c>
      <c r="AP436" s="12">
        <f>bdrate(E438:E441,F438:F441,AC438:AC441,AD438:AD441)</f>
        <v>-0.14139743631056823</v>
      </c>
      <c r="AQ436" s="12">
        <f>bdrate(E438:E441,H438:H441,AC438:AC441,AF438:AF441)</f>
        <v>-0.20856837904088421</v>
      </c>
      <c r="AR436" s="12">
        <f>bdrate(E438:E441,I438:I441,AC438:AC441,AG438:AG441)</f>
        <v>-0.29128487449408058</v>
      </c>
      <c r="AS436" s="14">
        <f>bdrate(E438:E441,K438:K441,AC438:AC441,AI438:AI441)</f>
        <v>-0.15598590921813804</v>
      </c>
      <c r="AT436" s="7"/>
      <c r="BA436" s="1"/>
      <c r="BB436" s="1"/>
      <c r="BC436" s="1"/>
      <c r="BD436" s="21" t="e">
        <f>bdrate(E436:E439,F436:F439,AU436:AU439,AV436:AV439)</f>
        <v>#VALUE!</v>
      </c>
      <c r="BE436" s="22" t="e">
        <f>bdrate(E436:E439,H436:H439,AU436:AU439,AX436:AX439)</f>
        <v>#VALUE!</v>
      </c>
      <c r="BF436" s="22" t="e">
        <f>bdrate(E436:E439,I436:I439,AU436:AU439,AY436:AY439)</f>
        <v>#VALUE!</v>
      </c>
      <c r="BG436" s="23" t="e">
        <f>bdrate(E436:E439,K436:K439,AU436:AU439,BA436:BA439)</f>
        <v>#VALUE!</v>
      </c>
      <c r="BH436" s="22">
        <f>bdrate(E438:E441,F438:F441,AU438:AU441,AV438:AV441)</f>
        <v>0.43550053190340043</v>
      </c>
      <c r="BI436" s="22">
        <f>bdrate(E438:E441,H438:H441,AU438:AU441,AX438:AX441)</f>
        <v>-0.42911893371851051</v>
      </c>
      <c r="BJ436" s="22">
        <f>bdrate(E438:E441,I438:I441,AU438:AU441,AY438:AY441)</f>
        <v>0.27459559095350028</v>
      </c>
      <c r="BK436" s="23">
        <f>bdrate(E438:E441,K438:K441,AU438:AU441,BA438:BA441)</f>
        <v>-0.40440164111150656</v>
      </c>
    </row>
    <row r="437" spans="1:63">
      <c r="A437" s="49"/>
      <c r="B437" s="7" t="s">
        <v>18</v>
      </c>
      <c r="C437" s="17">
        <v>1</v>
      </c>
      <c r="D437" s="7">
        <v>34</v>
      </c>
      <c r="E437">
        <v>0.88639322916666596</v>
      </c>
      <c r="F437">
        <v>31.653122887844201</v>
      </c>
      <c r="G437">
        <v>0.98125130908352198</v>
      </c>
      <c r="H437">
        <v>17.2702905047481</v>
      </c>
      <c r="I437">
        <v>34.980558964653397</v>
      </c>
      <c r="J437">
        <v>0.98566657269584301</v>
      </c>
      <c r="K437" s="8">
        <v>18.4364995186965</v>
      </c>
      <c r="L437" s="7">
        <v>31</v>
      </c>
      <c r="M437">
        <v>0.94942220052083304</v>
      </c>
      <c r="N437">
        <v>33.188473354655699</v>
      </c>
      <c r="O437">
        <v>0.98672955459230605</v>
      </c>
      <c r="P437">
        <v>18.771145002812201</v>
      </c>
      <c r="Q437">
        <v>36.689020843859701</v>
      </c>
      <c r="R437">
        <v>0.98941943183180803</v>
      </c>
      <c r="S437" s="1">
        <v>19.754910104024201</v>
      </c>
      <c r="T437" s="7"/>
      <c r="U437" s="1"/>
      <c r="V437" s="1"/>
      <c r="W437" s="8"/>
      <c r="X437" s="7"/>
      <c r="Y437" s="1"/>
      <c r="Z437" s="1"/>
      <c r="AA437" s="8"/>
      <c r="AB437" s="7">
        <v>64</v>
      </c>
      <c r="AC437">
        <v>1.42791748046875</v>
      </c>
      <c r="AD437">
        <v>35.410555635066302</v>
      </c>
      <c r="AE437">
        <v>0.99328743271640096</v>
      </c>
      <c r="AF437">
        <v>21.731113481081501</v>
      </c>
      <c r="AG437">
        <v>38.776416023527602</v>
      </c>
      <c r="AH437">
        <v>0.99520682577606501</v>
      </c>
      <c r="AI437" s="1">
        <v>23.193767848371198</v>
      </c>
      <c r="AJ437" s="1">
        <v>9.9758758544921804</v>
      </c>
      <c r="AK437" s="1">
        <v>5.7227554321289</v>
      </c>
      <c r="AL437" s="7"/>
      <c r="AM437" s="1"/>
      <c r="AN437" s="1"/>
      <c r="AO437" s="8"/>
      <c r="AP437" s="1"/>
      <c r="AQ437" s="1"/>
      <c r="AR437" s="1"/>
      <c r="AS437" s="8"/>
      <c r="AT437" s="7">
        <v>0.64</v>
      </c>
      <c r="AU437">
        <v>0.72491455078125</v>
      </c>
      <c r="AV437">
        <v>28.387014916374898</v>
      </c>
      <c r="AW437">
        <v>0.98886151402329903</v>
      </c>
      <c r="AX437">
        <v>19.531738375869502</v>
      </c>
      <c r="AY437">
        <v>32.709144175872602</v>
      </c>
      <c r="AZ437">
        <v>0.99055126420576001</v>
      </c>
      <c r="BA437" s="1">
        <v>20.246262945927299</v>
      </c>
      <c r="BB437" s="1">
        <v>7.2858622074127197</v>
      </c>
      <c r="BC437" s="1">
        <v>4.9314498901367099</v>
      </c>
      <c r="BD437" s="7"/>
      <c r="BE437" s="1"/>
      <c r="BF437" s="1"/>
      <c r="BG437" s="8"/>
      <c r="BH437" s="1"/>
      <c r="BI437" s="1"/>
      <c r="BJ437" s="1"/>
      <c r="BK437" s="8"/>
    </row>
    <row r="438" spans="1:63">
      <c r="A438" s="49"/>
      <c r="B438" s="7" t="s">
        <v>18</v>
      </c>
      <c r="C438" s="17">
        <v>0.5</v>
      </c>
      <c r="D438" s="7">
        <v>38</v>
      </c>
      <c r="E438">
        <v>0.48358154296875</v>
      </c>
      <c r="F438">
        <v>28.600935675644202</v>
      </c>
      <c r="G438">
        <v>0.96143270388360802</v>
      </c>
      <c r="H438">
        <v>14.1378080766994</v>
      </c>
      <c r="I438">
        <v>32.142891693643399</v>
      </c>
      <c r="J438">
        <v>0.96759497143349704</v>
      </c>
      <c r="K438" s="8">
        <v>14.893875913603701</v>
      </c>
      <c r="L438" s="7">
        <v>36</v>
      </c>
      <c r="M438">
        <v>0.46600341796875</v>
      </c>
      <c r="N438">
        <v>29.3809120313155</v>
      </c>
      <c r="O438">
        <v>0.96761136335702602</v>
      </c>
      <c r="P438">
        <v>14.8960733265962</v>
      </c>
      <c r="Q438">
        <v>33.2503704618602</v>
      </c>
      <c r="R438">
        <v>0.97145828628534803</v>
      </c>
      <c r="S438" s="1">
        <v>15.4451995433023</v>
      </c>
      <c r="T438" s="7"/>
      <c r="U438" s="1"/>
      <c r="V438" s="1"/>
      <c r="W438" s="8"/>
      <c r="X438" s="7"/>
      <c r="Y438" s="1"/>
      <c r="Z438" s="1"/>
      <c r="AA438" s="8"/>
      <c r="AB438" s="7">
        <v>32</v>
      </c>
      <c r="AC438">
        <v>1.0641886393229101</v>
      </c>
      <c r="AD438">
        <v>33.4453557280859</v>
      </c>
      <c r="AE438">
        <v>0.98917697254496395</v>
      </c>
      <c r="AF438">
        <v>19.6565123986644</v>
      </c>
      <c r="AG438">
        <v>37.036172742567999</v>
      </c>
      <c r="AH438">
        <v>0.99145726148155999</v>
      </c>
      <c r="AI438" s="1">
        <v>20.684028865946502</v>
      </c>
      <c r="AJ438" s="1">
        <v>11.3304064273834</v>
      </c>
      <c r="AK438" s="1">
        <v>7.8472638130187899</v>
      </c>
      <c r="AL438" s="7"/>
      <c r="AM438" s="1"/>
      <c r="AN438" s="1"/>
      <c r="AO438" s="8"/>
      <c r="AP438" s="1"/>
      <c r="AQ438" s="1"/>
      <c r="AR438" s="1"/>
      <c r="AS438" s="8"/>
      <c r="AT438" s="7">
        <v>0.32</v>
      </c>
      <c r="AU438">
        <v>0.57061767578125</v>
      </c>
      <c r="AV438">
        <v>27.790735004380899</v>
      </c>
      <c r="AW438">
        <v>0.98513073474399204</v>
      </c>
      <c r="AX438">
        <v>18.2771049100363</v>
      </c>
      <c r="AY438">
        <v>32.087337558223801</v>
      </c>
      <c r="AZ438">
        <v>0.987208746367635</v>
      </c>
      <c r="BA438" s="1">
        <v>18.930868895371798</v>
      </c>
      <c r="BB438" s="1">
        <v>6.38716721534729</v>
      </c>
      <c r="BC438" s="1">
        <v>4.4077246189117396</v>
      </c>
      <c r="BD438" s="7"/>
      <c r="BE438" s="1"/>
      <c r="BF438" s="1"/>
      <c r="BG438" s="8"/>
      <c r="BH438" s="1"/>
      <c r="BI438" s="1"/>
      <c r="BJ438" s="1"/>
      <c r="BK438" s="8"/>
    </row>
    <row r="439" spans="1:63">
      <c r="A439" s="49"/>
      <c r="B439" s="7" t="s">
        <v>18</v>
      </c>
      <c r="C439" s="17">
        <v>0.25</v>
      </c>
      <c r="D439" s="7">
        <v>42</v>
      </c>
      <c r="E439">
        <v>0.23561604817708301</v>
      </c>
      <c r="F439">
        <v>26.083717782885799</v>
      </c>
      <c r="G439">
        <v>0.92511351890066695</v>
      </c>
      <c r="H439">
        <v>11.2559657634429</v>
      </c>
      <c r="I439">
        <v>29.770239692657899</v>
      </c>
      <c r="J439">
        <v>0.93333687288242895</v>
      </c>
      <c r="K439" s="8">
        <v>11.761143177674301</v>
      </c>
      <c r="L439" s="7">
        <v>40</v>
      </c>
      <c r="M439">
        <v>0.22715250651041599</v>
      </c>
      <c r="N439">
        <v>26.791905683705501</v>
      </c>
      <c r="O439">
        <v>0.93493616148022096</v>
      </c>
      <c r="P439">
        <v>11.8666031857056</v>
      </c>
      <c r="Q439">
        <v>30.850386808909899</v>
      </c>
      <c r="R439">
        <v>0.93999320233810302</v>
      </c>
      <c r="S439" s="1">
        <v>12.2179954928583</v>
      </c>
      <c r="T439" s="7"/>
      <c r="U439" s="1"/>
      <c r="V439" s="1"/>
      <c r="W439" s="8"/>
      <c r="X439" s="7"/>
      <c r="Y439" s="1"/>
      <c r="Z439" s="1"/>
      <c r="AA439" s="8"/>
      <c r="AB439" s="7">
        <v>16</v>
      </c>
      <c r="AC439">
        <v>0.70168050130208304</v>
      </c>
      <c r="AD439">
        <v>30.970893789545201</v>
      </c>
      <c r="AE439">
        <v>0.98053475755719099</v>
      </c>
      <c r="AF439">
        <v>17.107401827026401</v>
      </c>
      <c r="AG439">
        <v>34.829362448610297</v>
      </c>
      <c r="AH439">
        <v>0.983456375674431</v>
      </c>
      <c r="AI439" s="1">
        <v>17.813693404807999</v>
      </c>
      <c r="AJ439" s="1">
        <v>6.3739418983459402</v>
      </c>
      <c r="AK439" s="1">
        <v>4.4181380271911603</v>
      </c>
      <c r="AL439" s="7"/>
      <c r="AM439" s="1"/>
      <c r="AN439" s="1"/>
      <c r="AO439" s="8"/>
      <c r="AP439" s="1"/>
      <c r="AQ439" s="1"/>
      <c r="AR439" s="1"/>
      <c r="AS439" s="8"/>
      <c r="AT439" s="7">
        <v>0.16</v>
      </c>
      <c r="AU439">
        <v>0.42238362630208298</v>
      </c>
      <c r="AV439">
        <v>26.875876287072799</v>
      </c>
      <c r="AW439">
        <v>0.97774337448363602</v>
      </c>
      <c r="AX439">
        <v>16.525406814530498</v>
      </c>
      <c r="AY439">
        <v>31.091251677124301</v>
      </c>
      <c r="AZ439">
        <v>0.98052248295910904</v>
      </c>
      <c r="BA439" s="1">
        <v>17.1046640701434</v>
      </c>
      <c r="BB439" s="1">
        <v>6.0405867099761901</v>
      </c>
      <c r="BC439" s="1">
        <v>3.50162506103515</v>
      </c>
      <c r="BD439" s="7"/>
      <c r="BE439" s="1"/>
      <c r="BF439" s="1"/>
      <c r="BG439" s="8"/>
      <c r="BH439" s="1"/>
      <c r="BI439" s="1"/>
      <c r="BJ439" s="1"/>
      <c r="BK439" s="8"/>
    </row>
    <row r="440" spans="1:63">
      <c r="A440" s="49"/>
      <c r="B440" s="7" t="s">
        <v>18</v>
      </c>
      <c r="C440" s="17">
        <v>0.12</v>
      </c>
      <c r="D440" s="7">
        <v>46</v>
      </c>
      <c r="E440">
        <v>0.10245768229166601</v>
      </c>
      <c r="F440">
        <v>24.053294496657301</v>
      </c>
      <c r="G440">
        <v>0.86411490666682</v>
      </c>
      <c r="H440">
        <v>8.6682818298954096</v>
      </c>
      <c r="I440">
        <v>27.809565145570499</v>
      </c>
      <c r="J440">
        <v>0.87327713342704105</v>
      </c>
      <c r="K440" s="8">
        <v>8.9714501155368893</v>
      </c>
      <c r="L440" s="7">
        <v>44</v>
      </c>
      <c r="M440">
        <v>0.10581461588541601</v>
      </c>
      <c r="N440">
        <v>24.814476355545899</v>
      </c>
      <c r="O440">
        <v>0.88531929787300301</v>
      </c>
      <c r="P440">
        <v>9.4050965677066394</v>
      </c>
      <c r="Q440">
        <v>28.881706358747401</v>
      </c>
      <c r="R440">
        <v>0.89114389170819797</v>
      </c>
      <c r="S440" s="1">
        <v>9.6314719617738405</v>
      </c>
      <c r="T440" s="7"/>
      <c r="U440" s="1"/>
      <c r="V440" s="1"/>
      <c r="W440" s="8"/>
      <c r="X440" s="7"/>
      <c r="Y440" s="1"/>
      <c r="Z440" s="1"/>
      <c r="AA440" s="8"/>
      <c r="AB440" s="7">
        <v>8</v>
      </c>
      <c r="AC440">
        <v>0.42380777994791602</v>
      </c>
      <c r="AD440">
        <v>28.610582337652001</v>
      </c>
      <c r="AE440">
        <v>0.96508277213195903</v>
      </c>
      <c r="AF440">
        <v>14.5696024289894</v>
      </c>
      <c r="AG440">
        <v>32.771300817551101</v>
      </c>
      <c r="AH440">
        <v>0.96869798053212197</v>
      </c>
      <c r="AI440" s="1">
        <v>15.044276427901799</v>
      </c>
      <c r="AJ440" s="1">
        <v>6.8563148975372297</v>
      </c>
      <c r="AK440" s="1">
        <v>4.8266890048980704</v>
      </c>
      <c r="AL440" s="7"/>
      <c r="AM440" s="1"/>
      <c r="AN440" s="1"/>
      <c r="AO440" s="8"/>
      <c r="AP440" s="1"/>
      <c r="AQ440" s="1"/>
      <c r="AR440" s="1"/>
      <c r="AS440" s="8"/>
      <c r="AT440" s="7">
        <v>0.08</v>
      </c>
      <c r="AU440">
        <v>0.29425048828125</v>
      </c>
      <c r="AV440">
        <v>25.663109092630201</v>
      </c>
      <c r="AW440">
        <v>0.96496963266188596</v>
      </c>
      <c r="AX440">
        <v>14.5555530852646</v>
      </c>
      <c r="AY440">
        <v>29.6932204357899</v>
      </c>
      <c r="AZ440">
        <v>0.96889834202662795</v>
      </c>
      <c r="BA440" s="1">
        <v>15.0721645889941</v>
      </c>
      <c r="BB440" s="1">
        <v>6.5359106063842702</v>
      </c>
      <c r="BC440" s="1">
        <v>4.6385545730590803</v>
      </c>
      <c r="BD440" s="7"/>
      <c r="BE440" s="1"/>
      <c r="BF440" s="1"/>
      <c r="BG440" s="8"/>
      <c r="BH440" s="1"/>
      <c r="BI440" s="1"/>
      <c r="BJ440" s="1"/>
      <c r="BK440" s="8"/>
    </row>
    <row r="441" spans="1:63">
      <c r="A441" s="49"/>
      <c r="B441" s="7" t="s">
        <v>18</v>
      </c>
      <c r="C441" s="17">
        <v>0.06</v>
      </c>
      <c r="D441" s="7">
        <v>49</v>
      </c>
      <c r="E441">
        <v>5.4667154947916602E-2</v>
      </c>
      <c r="F441">
        <v>22.8080563109697</v>
      </c>
      <c r="G441">
        <v>0.80037592002681202</v>
      </c>
      <c r="H441">
        <v>6.9978707242384797</v>
      </c>
      <c r="I441">
        <v>26.455850609419201</v>
      </c>
      <c r="J441">
        <v>0.811513230973127</v>
      </c>
      <c r="K441" s="8">
        <v>7.2471913002207096</v>
      </c>
      <c r="L441" s="7">
        <v>48</v>
      </c>
      <c r="M441">
        <v>5.0252278645833301E-2</v>
      </c>
      <c r="N441">
        <v>23.268753601082899</v>
      </c>
      <c r="O441">
        <v>0.812468003848412</v>
      </c>
      <c r="P441">
        <v>7.2692462358115097</v>
      </c>
      <c r="Q441">
        <v>27.279497896552702</v>
      </c>
      <c r="R441">
        <v>0.81947817723994998</v>
      </c>
      <c r="S441" s="1">
        <v>7.4347028998329598</v>
      </c>
      <c r="T441" s="7"/>
      <c r="U441" s="1"/>
      <c r="V441" s="1"/>
      <c r="W441" s="8"/>
      <c r="X441" s="7"/>
      <c r="Y441" s="1"/>
      <c r="Z441" s="1"/>
      <c r="AA441" s="8"/>
      <c r="AB441" s="7">
        <v>4</v>
      </c>
      <c r="AC441">
        <v>0.25449625651041602</v>
      </c>
      <c r="AD441">
        <v>26.817013065388199</v>
      </c>
      <c r="AE441">
        <v>0.94262158954033404</v>
      </c>
      <c r="AF441">
        <v>12.4125148707917</v>
      </c>
      <c r="AG441">
        <v>31.129191410257601</v>
      </c>
      <c r="AH441">
        <v>0.94692317701440198</v>
      </c>
      <c r="AI441" s="1">
        <v>12.750950805535799</v>
      </c>
      <c r="AJ441" s="1">
        <v>7.3122696876525799</v>
      </c>
      <c r="AK441" s="1">
        <v>5.1193752288818297</v>
      </c>
      <c r="AL441" s="7"/>
      <c r="AM441" s="1"/>
      <c r="AN441" s="1"/>
      <c r="AO441" s="8"/>
      <c r="AP441" s="1"/>
      <c r="AQ441" s="1"/>
      <c r="AR441" s="1"/>
      <c r="AS441" s="8"/>
      <c r="AT441" s="7">
        <v>0.04</v>
      </c>
      <c r="AU441">
        <v>0.19728597005208301</v>
      </c>
      <c r="AV441">
        <v>24.563620728586699</v>
      </c>
      <c r="AW441">
        <v>0.94494815035750401</v>
      </c>
      <c r="AX441">
        <v>12.5922808493864</v>
      </c>
      <c r="AY441">
        <v>28.220565109243498</v>
      </c>
      <c r="AZ441">
        <v>0.95044412783005505</v>
      </c>
      <c r="BA441" s="1">
        <v>13.0490487599403</v>
      </c>
      <c r="BB441" s="1">
        <v>6.9477944374084402</v>
      </c>
      <c r="BC441" s="1">
        <v>5.0469491481780997</v>
      </c>
      <c r="BD441" s="7"/>
      <c r="BE441" s="1"/>
      <c r="BF441" s="1"/>
      <c r="BG441" s="8"/>
      <c r="BH441" s="1"/>
      <c r="BI441" s="1"/>
      <c r="BJ441" s="1"/>
      <c r="BK441" s="8"/>
    </row>
    <row r="442" spans="1:63">
      <c r="A442" s="49"/>
      <c r="B442" s="7" t="s">
        <v>95</v>
      </c>
      <c r="C442" s="17">
        <v>1.5</v>
      </c>
      <c r="D442" s="7">
        <v>21</v>
      </c>
      <c r="E442">
        <v>1.3615519205729101</v>
      </c>
      <c r="F442">
        <v>41.845981295381797</v>
      </c>
      <c r="G442">
        <v>0.99413281912864404</v>
      </c>
      <c r="H442">
        <v>22.315705233022101</v>
      </c>
      <c r="I442">
        <v>44.953117021628202</v>
      </c>
      <c r="J442">
        <v>0.99651823469428102</v>
      </c>
      <c r="K442" s="8">
        <v>24.5820050658646</v>
      </c>
      <c r="L442" s="7">
        <v>18</v>
      </c>
      <c r="M442">
        <v>1.4684651692708299</v>
      </c>
      <c r="N442">
        <v>42.790303883020201</v>
      </c>
      <c r="O442">
        <v>0.99525140673870904</v>
      </c>
      <c r="P442">
        <v>23.2343502813162</v>
      </c>
      <c r="Q442">
        <v>46.041765115054098</v>
      </c>
      <c r="R442">
        <v>0.99750687966401896</v>
      </c>
      <c r="S442" s="1">
        <v>26.0325675880418</v>
      </c>
      <c r="T442" s="13">
        <f>bdrate(E442:E445,F442:F445,M442:M445,N442:N445)</f>
        <v>-0.23685001274691653</v>
      </c>
      <c r="U442" s="12">
        <f>bdrate(E442:E445,H442:H445,M442:M445,P442:P445)</f>
        <v>-0.23583363424094927</v>
      </c>
      <c r="V442" s="12">
        <f>bdrate(E442:E445,I442:I445,M442:M445,Q442:Q445)</f>
        <v>-0.24274788569115213</v>
      </c>
      <c r="W442" s="14">
        <f>bdrate(E442:E445,K442:K445,M442:M445,S442:S445)</f>
        <v>-0.21796846887536758</v>
      </c>
      <c r="X442" s="13">
        <f>bdrate(E444:E447,F444:F447,M444:M447,N444:N447)</f>
        <v>-0.29093943218724716</v>
      </c>
      <c r="Y442" s="12">
        <f>bdrate(E444:E447,H444:H447,M444:M447,P444:P447)</f>
        <v>-0.28369312698638005</v>
      </c>
      <c r="Z442" s="12">
        <f>bdrate(E444:E447,I444:I447,M444:M447,Q444:Q447)</f>
        <v>-0.30786186533621651</v>
      </c>
      <c r="AA442" s="14">
        <f>bdrate(E444:E447,K444:K447,M444:M447,S444:S447)</f>
        <v>-0.23994748581114</v>
      </c>
      <c r="AB442" s="7"/>
      <c r="AI442" s="1"/>
      <c r="AJ442" s="1"/>
      <c r="AK442" s="1"/>
      <c r="AL442" s="13" t="e">
        <f>bdrate(E442:E445,F442:F445,AC442:AC445,AD442:AD445)</f>
        <v>#VALUE!</v>
      </c>
      <c r="AM442" s="12" t="e">
        <f>bdrate(E442:E445,H442:H445,AC442:AC445,AF442:AF445)</f>
        <v>#VALUE!</v>
      </c>
      <c r="AN442" s="12" t="e">
        <f>bdrate(E442:E445,I442:I445,AC442:AC445,AG442:AG445)</f>
        <v>#VALUE!</v>
      </c>
      <c r="AO442" s="14" t="e">
        <f>bdrate(E442:E445,K442:K445,AC442:AC445,AI442:AI445)</f>
        <v>#VALUE!</v>
      </c>
      <c r="AP442" s="12">
        <f>bdrate(E444:E447,F444:F447,AC444:AC447,AD444:AD447)</f>
        <v>-0.19319295211165133</v>
      </c>
      <c r="AQ442" s="12">
        <f>bdrate(E444:E447,H444:H447,AC444:AC447,AF444:AF447)</f>
        <v>-0.27133064496189463</v>
      </c>
      <c r="AR442" s="12">
        <f>bdrate(E444:E447,I444:I447,AC444:AC447,AG444:AG447)</f>
        <v>-0.2263782701248952</v>
      </c>
      <c r="AS442" s="14">
        <f>bdrate(E444:E447,K444:K447,AC444:AC447,AI444:AI447)</f>
        <v>-0.1915918634812932</v>
      </c>
      <c r="AT442" s="7"/>
      <c r="BA442" s="1"/>
      <c r="BB442" s="1"/>
      <c r="BC442" s="1"/>
      <c r="BD442" s="13" t="e">
        <f>bdrate(E442:E445,F442:F445,AU442:AU445,AV442:AV445)</f>
        <v>#VALUE!</v>
      </c>
      <c r="BE442" s="12" t="e">
        <f>bdrate(E442:E445,H442:H445,AU442:AU445,AX442:AX445)</f>
        <v>#VALUE!</v>
      </c>
      <c r="BF442" s="12" t="e">
        <f>bdrate(E442:E445,I442:I445,AU442:AU445,AY442:AY445)</f>
        <v>#VALUE!</v>
      </c>
      <c r="BG442" s="14" t="e">
        <f>bdrate(E442:E445,K442:K445,AU442:AU445,BA442:BA445)</f>
        <v>#VALUE!</v>
      </c>
      <c r="BH442" s="12">
        <f>bdrate(E444:E447,F444:F447,AU444:AU447,AV444:AV447)</f>
        <v>0.40239613015348907</v>
      </c>
      <c r="BI442" s="12">
        <f>bdrate(E444:E447,H444:H447,AU444:AU447,AX444:AX447)</f>
        <v>-0.5072610221264412</v>
      </c>
      <c r="BJ442" s="12">
        <f>bdrate(E444:E447,I444:I447,AU444:AU447,AY444:AY447)</f>
        <v>0.34451765654104949</v>
      </c>
      <c r="BK442" s="14">
        <f>bdrate(E444:E447,K444:K447,AU444:AU447,BA444:BA447)</f>
        <v>-0.45992592993643167</v>
      </c>
    </row>
    <row r="443" spans="1:63">
      <c r="A443" s="49"/>
      <c r="B443" s="7" t="s">
        <v>18</v>
      </c>
      <c r="C443" s="17">
        <v>1</v>
      </c>
      <c r="D443" s="7">
        <v>24</v>
      </c>
      <c r="E443">
        <v>0.92144775390625</v>
      </c>
      <c r="F443">
        <v>40.255921435584597</v>
      </c>
      <c r="G443">
        <v>0.99181258171871001</v>
      </c>
      <c r="H443">
        <v>20.8685302167647</v>
      </c>
      <c r="I443">
        <v>43.304971877724597</v>
      </c>
      <c r="J443">
        <v>0.99461635411724603</v>
      </c>
      <c r="K443" s="8">
        <v>22.689235142045899</v>
      </c>
      <c r="L443" s="7">
        <v>21</v>
      </c>
      <c r="M443">
        <v>0.90708414713541596</v>
      </c>
      <c r="N443">
        <v>40.990548772116703</v>
      </c>
      <c r="O443">
        <v>0.99282441773811203</v>
      </c>
      <c r="P443">
        <v>21.441428523828499</v>
      </c>
      <c r="Q443">
        <v>44.0866575655471</v>
      </c>
      <c r="R443">
        <v>0.99543469094305503</v>
      </c>
      <c r="S443" s="1">
        <v>23.405298167753699</v>
      </c>
      <c r="T443" s="7"/>
      <c r="U443" s="1"/>
      <c r="V443" s="1"/>
      <c r="W443" s="8"/>
      <c r="X443" s="7"/>
      <c r="Y443" s="1"/>
      <c r="Z443" s="1"/>
      <c r="AA443" s="8"/>
      <c r="AB443" s="7">
        <v>64</v>
      </c>
      <c r="AC443">
        <v>0.49611409505208298</v>
      </c>
      <c r="AD443">
        <v>38.3669323973985</v>
      </c>
      <c r="AE443">
        <v>0.98897215874796596</v>
      </c>
      <c r="AF443">
        <v>19.575094942766299</v>
      </c>
      <c r="AG443">
        <v>41.411502310894797</v>
      </c>
      <c r="AH443">
        <v>0.99191690438386104</v>
      </c>
      <c r="AI443" s="1">
        <v>20.924222838371598</v>
      </c>
      <c r="AJ443" s="1">
        <v>9.3305680751800502</v>
      </c>
      <c r="AK443" s="1">
        <v>4.3870103359222403</v>
      </c>
      <c r="AL443" s="7"/>
      <c r="AM443" s="1"/>
      <c r="AN443" s="1"/>
      <c r="AO443" s="8"/>
      <c r="AP443" s="1"/>
      <c r="AQ443" s="1"/>
      <c r="AR443" s="1"/>
      <c r="AS443" s="8"/>
      <c r="AT443" s="7">
        <v>0.64</v>
      </c>
      <c r="AU443">
        <v>0.48248291015625</v>
      </c>
      <c r="AV443">
        <v>34.516475179653099</v>
      </c>
      <c r="AW443">
        <v>0.99235436769572305</v>
      </c>
      <c r="AX443">
        <v>21.1658659201718</v>
      </c>
      <c r="AY443">
        <v>37.862577007390101</v>
      </c>
      <c r="AZ443">
        <v>0.99423719415477896</v>
      </c>
      <c r="BA443" s="1">
        <v>22.3936601199417</v>
      </c>
      <c r="BB443" s="1">
        <v>7.7699506282806396</v>
      </c>
      <c r="BC443" s="1">
        <v>4.1282553672790501</v>
      </c>
      <c r="BD443" s="7"/>
      <c r="BE443" s="1"/>
      <c r="BF443" s="1"/>
      <c r="BG443" s="8"/>
      <c r="BH443" s="1"/>
      <c r="BI443" s="1"/>
      <c r="BJ443" s="1"/>
      <c r="BK443" s="8"/>
    </row>
    <row r="444" spans="1:63">
      <c r="A444" s="49"/>
      <c r="B444" s="7" t="s">
        <v>18</v>
      </c>
      <c r="C444" s="17">
        <v>0.5</v>
      </c>
      <c r="D444" s="7">
        <v>30</v>
      </c>
      <c r="E444">
        <v>0.47349039713541602</v>
      </c>
      <c r="F444">
        <v>37.192891946532598</v>
      </c>
      <c r="G444">
        <v>0.98457101379822898</v>
      </c>
      <c r="H444">
        <v>18.1166260935107</v>
      </c>
      <c r="I444">
        <v>40.218021324344498</v>
      </c>
      <c r="J444">
        <v>0.98896931672009103</v>
      </c>
      <c r="K444" s="8">
        <v>19.573975849756899</v>
      </c>
      <c r="L444" s="7">
        <v>27</v>
      </c>
      <c r="M444">
        <v>0.46376546223958298</v>
      </c>
      <c r="N444">
        <v>38.469098382894103</v>
      </c>
      <c r="O444">
        <v>0.988258236656539</v>
      </c>
      <c r="P444">
        <v>19.302666771234801</v>
      </c>
      <c r="Q444">
        <v>41.5329269907553</v>
      </c>
      <c r="R444">
        <v>0.99167207193129403</v>
      </c>
      <c r="S444" s="1">
        <v>20.7946303463814</v>
      </c>
      <c r="T444" s="7"/>
      <c r="U444" s="1"/>
      <c r="V444" s="1"/>
      <c r="W444" s="8"/>
      <c r="X444" s="7"/>
      <c r="Y444" s="1"/>
      <c r="Z444" s="1"/>
      <c r="AA444" s="8"/>
      <c r="AB444" s="7">
        <v>32</v>
      </c>
      <c r="AC444">
        <v>0.35845947265625</v>
      </c>
      <c r="AD444">
        <v>36.880986763846202</v>
      </c>
      <c r="AE444">
        <v>0.985314763505726</v>
      </c>
      <c r="AF444">
        <v>18.331190551111298</v>
      </c>
      <c r="AG444">
        <v>39.963052777857797</v>
      </c>
      <c r="AH444">
        <v>0.98858455607281603</v>
      </c>
      <c r="AI444" s="1">
        <v>19.425071948721701</v>
      </c>
      <c r="AJ444" s="1">
        <v>12.3880684375762</v>
      </c>
      <c r="AK444" s="1">
        <v>7.5033936500549299</v>
      </c>
      <c r="AL444" s="7"/>
      <c r="AM444" s="1"/>
      <c r="AN444" s="1"/>
      <c r="AO444" s="8"/>
      <c r="AP444" s="1"/>
      <c r="AQ444" s="1"/>
      <c r="AR444" s="1"/>
      <c r="AS444" s="8"/>
      <c r="AT444" s="7">
        <v>0.32</v>
      </c>
      <c r="AU444">
        <v>0.32818603515625</v>
      </c>
      <c r="AV444">
        <v>33.495726205880203</v>
      </c>
      <c r="AW444">
        <v>0.98892707748530595</v>
      </c>
      <c r="AX444">
        <v>19.557377391489499</v>
      </c>
      <c r="AY444">
        <v>36.816612509296803</v>
      </c>
      <c r="AZ444">
        <v>0.99135626542981703</v>
      </c>
      <c r="BA444" s="1">
        <v>20.632985777993301</v>
      </c>
      <c r="BB444" s="1">
        <v>7.1349489688873202</v>
      </c>
      <c r="BC444" s="1">
        <v>4.3824477195739702</v>
      </c>
      <c r="BD444" s="7"/>
      <c r="BE444" s="1"/>
      <c r="BF444" s="1"/>
      <c r="BG444" s="8"/>
      <c r="BH444" s="1"/>
      <c r="BI444" s="1"/>
      <c r="BJ444" s="1"/>
      <c r="BK444" s="8"/>
    </row>
    <row r="445" spans="1:63">
      <c r="A445" s="49"/>
      <c r="B445" s="7" t="s">
        <v>18</v>
      </c>
      <c r="C445" s="17">
        <v>0.25</v>
      </c>
      <c r="D445" s="7">
        <v>36</v>
      </c>
      <c r="E445">
        <v>0.23128255208333301</v>
      </c>
      <c r="F445">
        <v>33.825713136925202</v>
      </c>
      <c r="G445">
        <v>0.96866917487314197</v>
      </c>
      <c r="H445">
        <v>15.040281674125</v>
      </c>
      <c r="I445">
        <v>36.860353942678103</v>
      </c>
      <c r="J445">
        <v>0.97599394957977403</v>
      </c>
      <c r="K445" s="8">
        <v>16.1967928608194</v>
      </c>
      <c r="L445" s="7">
        <v>33</v>
      </c>
      <c r="M445">
        <v>0.23394775390625</v>
      </c>
      <c r="N445">
        <v>35.414140989145203</v>
      </c>
      <c r="O445">
        <v>0.97782536138049503</v>
      </c>
      <c r="P445">
        <v>16.541434491437698</v>
      </c>
      <c r="Q445">
        <v>38.5182795580861</v>
      </c>
      <c r="R445">
        <v>0.98269905123191703</v>
      </c>
      <c r="S445" s="1">
        <v>17.619300799090901</v>
      </c>
      <c r="T445" s="7"/>
      <c r="U445" s="1"/>
      <c r="V445" s="1"/>
      <c r="W445" s="8"/>
      <c r="X445" s="7"/>
      <c r="Y445" s="1"/>
      <c r="Z445" s="1"/>
      <c r="AA445" s="8"/>
      <c r="AB445" s="7">
        <v>16</v>
      </c>
      <c r="AC445">
        <v>0.24615478515625</v>
      </c>
      <c r="AD445">
        <v>35.108750772580699</v>
      </c>
      <c r="AE445">
        <v>0.97829549075393596</v>
      </c>
      <c r="AF445">
        <v>16.634500294122901</v>
      </c>
      <c r="AG445">
        <v>38.287882329791998</v>
      </c>
      <c r="AH445">
        <v>0.98210902529258404</v>
      </c>
      <c r="AI445" s="1">
        <v>17.473659982520399</v>
      </c>
      <c r="AJ445" s="1">
        <v>7.5480601787567103</v>
      </c>
      <c r="AK445" s="1">
        <v>4.7581486701965297</v>
      </c>
      <c r="AL445" s="7"/>
      <c r="AM445" s="1"/>
      <c r="AN445" s="1"/>
      <c r="AO445" s="8"/>
      <c r="AP445" s="1"/>
      <c r="AQ445" s="1"/>
      <c r="AR445" s="1"/>
      <c r="AS445" s="8"/>
      <c r="AT445" s="7">
        <v>0.16</v>
      </c>
      <c r="AU445">
        <v>0.22304280598958301</v>
      </c>
      <c r="AV445">
        <v>32.196269569276403</v>
      </c>
      <c r="AW445">
        <v>0.98402003160594098</v>
      </c>
      <c r="AX445">
        <v>17.9642408398946</v>
      </c>
      <c r="AY445">
        <v>35.531608082602702</v>
      </c>
      <c r="AZ445">
        <v>0.98717981796171295</v>
      </c>
      <c r="BA445" s="1">
        <v>18.921058080728798</v>
      </c>
      <c r="BB445" s="1">
        <v>6.3892068862915004</v>
      </c>
      <c r="BC445" s="1">
        <v>3.7421422004699698</v>
      </c>
      <c r="BD445" s="7"/>
      <c r="BE445" s="1"/>
      <c r="BF445" s="1"/>
      <c r="BG445" s="8"/>
      <c r="BH445" s="1"/>
      <c r="BI445" s="1"/>
      <c r="BJ445" s="1"/>
      <c r="BK445" s="8"/>
    </row>
    <row r="446" spans="1:63">
      <c r="A446" s="49"/>
      <c r="B446" s="7" t="s">
        <v>18</v>
      </c>
      <c r="C446" s="17">
        <v>0.12</v>
      </c>
      <c r="D446" s="7">
        <v>41</v>
      </c>
      <c r="E446">
        <v>0.11704508463541601</v>
      </c>
      <c r="F446">
        <v>30.896533015507099</v>
      </c>
      <c r="G446">
        <v>0.94212769168132005</v>
      </c>
      <c r="H446">
        <v>12.3752919484274</v>
      </c>
      <c r="I446">
        <v>33.939347701974199</v>
      </c>
      <c r="J446">
        <v>0.95300259433025103</v>
      </c>
      <c r="K446" s="8">
        <v>13.279261151368299</v>
      </c>
      <c r="L446" s="7">
        <v>39</v>
      </c>
      <c r="M446">
        <v>0.11039225260416601</v>
      </c>
      <c r="N446">
        <v>32.117996353423699</v>
      </c>
      <c r="O446">
        <v>0.95444414375575204</v>
      </c>
      <c r="P446">
        <v>13.414557861754901</v>
      </c>
      <c r="Q446">
        <v>35.267336158656398</v>
      </c>
      <c r="R446">
        <v>0.96142406816136095</v>
      </c>
      <c r="S446" s="1">
        <v>14.136835743382701</v>
      </c>
      <c r="T446" s="7"/>
      <c r="U446" s="1"/>
      <c r="V446" s="1"/>
      <c r="W446" s="8"/>
      <c r="X446" s="7"/>
      <c r="Y446" s="1"/>
      <c r="Z446" s="1"/>
      <c r="AA446" s="8"/>
      <c r="AB446" s="7">
        <v>8</v>
      </c>
      <c r="AC446">
        <v>0.17030843098958301</v>
      </c>
      <c r="AD446">
        <v>33.384816504704801</v>
      </c>
      <c r="AE446">
        <v>0.96889770504403605</v>
      </c>
      <c r="AF446">
        <v>15.072075643513401</v>
      </c>
      <c r="AG446">
        <v>36.661181332362403</v>
      </c>
      <c r="AH446">
        <v>0.97330230758877201</v>
      </c>
      <c r="AI446" s="1">
        <v>15.7352627482943</v>
      </c>
      <c r="AJ446" s="1">
        <v>7.3387355804443297</v>
      </c>
      <c r="AK446" s="1">
        <v>4.0416162014007497</v>
      </c>
      <c r="AL446" s="7"/>
      <c r="AM446" s="1"/>
      <c r="AN446" s="1"/>
      <c r="AO446" s="8"/>
      <c r="AP446" s="1"/>
      <c r="AQ446" s="1"/>
      <c r="AR446" s="1"/>
      <c r="AS446" s="8"/>
      <c r="AT446" s="7">
        <v>0.08</v>
      </c>
      <c r="AU446">
        <v>0.15631103515625</v>
      </c>
      <c r="AV446">
        <v>30.879637322697</v>
      </c>
      <c r="AW446">
        <v>0.97692713997495295</v>
      </c>
      <c r="AX446">
        <v>16.368985686297499</v>
      </c>
      <c r="AY446">
        <v>34.070851753478699</v>
      </c>
      <c r="AZ446">
        <v>0.98107421046772902</v>
      </c>
      <c r="BA446" s="1">
        <v>17.229459938698302</v>
      </c>
      <c r="BB446" s="1">
        <v>7.2671632766723597</v>
      </c>
      <c r="BC446" s="1">
        <v>4.2431781291961599</v>
      </c>
      <c r="BD446" s="7"/>
      <c r="BE446" s="1"/>
      <c r="BF446" s="1"/>
      <c r="BG446" s="8"/>
      <c r="BH446" s="1"/>
      <c r="BI446" s="1"/>
      <c r="BJ446" s="1"/>
      <c r="BK446" s="8"/>
    </row>
    <row r="447" spans="1:63">
      <c r="A447" s="49"/>
      <c r="B447" s="7" t="s">
        <v>18</v>
      </c>
      <c r="C447" s="17">
        <v>0.06</v>
      </c>
      <c r="D447" s="7">
        <v>46</v>
      </c>
      <c r="E447">
        <v>5.596923828125E-2</v>
      </c>
      <c r="F447">
        <v>28.2862158717342</v>
      </c>
      <c r="G447">
        <v>0.89816505042783801</v>
      </c>
      <c r="H447">
        <v>9.9210314732896894</v>
      </c>
      <c r="I447">
        <v>31.335252292149502</v>
      </c>
      <c r="J447">
        <v>0.91206402499057504</v>
      </c>
      <c r="K447" s="8">
        <v>10.558334167149599</v>
      </c>
      <c r="L447" s="7">
        <v>44</v>
      </c>
      <c r="M447">
        <v>5.52978515625E-2</v>
      </c>
      <c r="N447">
        <v>29.406219396495899</v>
      </c>
      <c r="O447">
        <v>0.91714769444546296</v>
      </c>
      <c r="P447">
        <v>10.8169540184113</v>
      </c>
      <c r="Q447">
        <v>32.6175710255052</v>
      </c>
      <c r="R447">
        <v>0.92544209435103197</v>
      </c>
      <c r="S447" s="1">
        <v>11.275062999280999</v>
      </c>
      <c r="T447" s="7"/>
      <c r="U447" s="1"/>
      <c r="V447" s="1"/>
      <c r="W447" s="8"/>
      <c r="X447" s="7"/>
      <c r="Y447" s="1"/>
      <c r="Z447" s="1"/>
      <c r="AA447" s="8"/>
      <c r="AB447" s="7">
        <v>4</v>
      </c>
      <c r="AC447">
        <v>0.117207845052083</v>
      </c>
      <c r="AD447">
        <v>31.794101042354502</v>
      </c>
      <c r="AE447">
        <v>0.95593300656025004</v>
      </c>
      <c r="AF447">
        <v>13.558865791036</v>
      </c>
      <c r="AG447">
        <v>35.154660186545598</v>
      </c>
      <c r="AH447">
        <v>0.96048224783735703</v>
      </c>
      <c r="AI447" s="1">
        <v>14.032077667950499</v>
      </c>
      <c r="AJ447" s="1">
        <v>7.1321170330047599</v>
      </c>
      <c r="AK447" s="1">
        <v>4.8776776790618896</v>
      </c>
      <c r="AL447" s="7"/>
      <c r="AM447" s="1"/>
      <c r="AN447" s="1"/>
      <c r="AO447" s="8"/>
      <c r="AP447" s="1"/>
      <c r="AQ447" s="1"/>
      <c r="AR447" s="1"/>
      <c r="AS447" s="8"/>
      <c r="AT447" s="7">
        <v>0.04</v>
      </c>
      <c r="AU447">
        <v>0.106831868489583</v>
      </c>
      <c r="AV447">
        <v>29.0645794553744</v>
      </c>
      <c r="AW447">
        <v>0.96592596562314204</v>
      </c>
      <c r="AX447">
        <v>14.6757644277853</v>
      </c>
      <c r="AY447">
        <v>32.064753885065102</v>
      </c>
      <c r="AZ447">
        <v>0.97137444891779001</v>
      </c>
      <c r="BA447" s="1">
        <v>15.432461437905999</v>
      </c>
      <c r="BB447" s="1">
        <v>7.5093541145324698</v>
      </c>
      <c r="BC447" s="1">
        <v>4.5276165008544904</v>
      </c>
      <c r="BD447" s="7"/>
      <c r="BE447" s="1"/>
      <c r="BF447" s="1"/>
      <c r="BG447" s="8"/>
      <c r="BH447" s="1"/>
      <c r="BI447" s="1"/>
      <c r="BJ447" s="1"/>
      <c r="BK447" s="8"/>
    </row>
    <row r="448" spans="1:63">
      <c r="A448" s="49"/>
      <c r="B448" s="7" t="s">
        <v>96</v>
      </c>
      <c r="C448" s="17">
        <v>1.5</v>
      </c>
      <c r="D448" s="7">
        <v>26</v>
      </c>
      <c r="E448">
        <v>1.3629353841145799</v>
      </c>
      <c r="F448">
        <v>38.760656611232299</v>
      </c>
      <c r="G448">
        <v>0.99225386762910495</v>
      </c>
      <c r="H448">
        <v>21.109150857829501</v>
      </c>
      <c r="I448">
        <v>41.815787285257301</v>
      </c>
      <c r="J448">
        <v>0.99504953173130095</v>
      </c>
      <c r="K448" s="8">
        <v>23.053537188657302</v>
      </c>
      <c r="L448" s="7">
        <v>23</v>
      </c>
      <c r="M448">
        <v>1.3893839518229101</v>
      </c>
      <c r="N448">
        <v>39.894775548390101</v>
      </c>
      <c r="O448">
        <v>0.99398995988501904</v>
      </c>
      <c r="P448">
        <v>22.211226292191601</v>
      </c>
      <c r="Q448">
        <v>42.983305065365101</v>
      </c>
      <c r="R448">
        <v>0.99618831273118102</v>
      </c>
      <c r="S448" s="1">
        <v>24.188827384109299</v>
      </c>
      <c r="T448" s="13">
        <f>bdrate(E448:E451,F448:F451,M448:M451,N448:N451)</f>
        <v>-0.17724302424786609</v>
      </c>
      <c r="U448" s="12">
        <f>bdrate(E448:E451,H448:H451,M448:M451,P448:P451)</f>
        <v>-0.17039932085441556</v>
      </c>
      <c r="V448" s="12">
        <f>bdrate(E448:E451,I448:I451,M448:M451,Q448:Q451)</f>
        <v>-0.19077949702397834</v>
      </c>
      <c r="W448" s="14">
        <f>bdrate(E448:E451,K448:K451,M448:M451,S448:S451)</f>
        <v>-0.13448723064695034</v>
      </c>
      <c r="X448" s="13">
        <f>bdrate(E450:E453,F450:F453,M450:M453,N450:N453)</f>
        <v>-0.23835218294624549</v>
      </c>
      <c r="Y448" s="12">
        <f>bdrate(E450:E453,H450:H453,M450:M453,P450:P453)</f>
        <v>-0.1974654623664488</v>
      </c>
      <c r="Z448" s="12">
        <f>bdrate(E450:E453,I450:I453,M450:M453,Q450:Q453)</f>
        <v>-0.27518052406395044</v>
      </c>
      <c r="AA448" s="14">
        <f>bdrate(E450:E453,K450:K453,M450:M453,S450:S453)</f>
        <v>-0.14724164217075741</v>
      </c>
      <c r="AB448" s="7"/>
      <c r="AI448" s="1"/>
      <c r="AJ448" s="1"/>
      <c r="AK448" s="1"/>
      <c r="AL448" s="13" t="e">
        <f>bdrate(E448:E451,F448:F451,AC448:AC451,AD448:AD451)</f>
        <v>#VALUE!</v>
      </c>
      <c r="AM448" s="12" t="e">
        <f>bdrate(E448:E451,H448:H451,AC448:AC451,AF448:AF451)</f>
        <v>#VALUE!</v>
      </c>
      <c r="AN448" s="12" t="e">
        <f>bdrate(E448:E451,I448:I451,AC448:AC451,AG448:AG451)</f>
        <v>#VALUE!</v>
      </c>
      <c r="AO448" s="14" t="e">
        <f>bdrate(E448:E451,K448:K451,AC448:AC451,AI448:AI451)</f>
        <v>#VALUE!</v>
      </c>
      <c r="AP448" s="12">
        <f>bdrate(E450:E453,F450:F453,AC450:AC453,AD450:AD453)</f>
        <v>-0.14567874487544052</v>
      </c>
      <c r="AQ448" s="12">
        <f>bdrate(E450:E453,H450:H453,AC450:AC453,AF450:AF453)</f>
        <v>-0.19504299052737017</v>
      </c>
      <c r="AR448" s="12">
        <f>bdrate(E450:E453,I450:I453,AC450:AC453,AG450:AG453)</f>
        <v>-0.23516350851936985</v>
      </c>
      <c r="AS448" s="14">
        <f>bdrate(E450:E453,K450:K453,AC450:AC453,AI450:AI453)</f>
        <v>-0.14397085818855415</v>
      </c>
      <c r="AT448" s="7"/>
      <c r="BA448" s="1"/>
      <c r="BB448" s="1"/>
      <c r="BC448" s="1"/>
      <c r="BD448" s="13" t="e">
        <f>bdrate(E448:E451,F448:F451,AU448:AU451,AV448:AV451)</f>
        <v>#VALUE!</v>
      </c>
      <c r="BE448" s="12" t="e">
        <f>bdrate(E448:E451,H448:H451,AU448:AU451,AX448:AX451)</f>
        <v>#VALUE!</v>
      </c>
      <c r="BF448" s="12" t="e">
        <f>bdrate(E448:E451,I448:I451,AU448:AU451,AY448:AY451)</f>
        <v>#VALUE!</v>
      </c>
      <c r="BG448" s="14" t="e">
        <f>bdrate(E448:E451,K448:K451,AU448:AU451,BA448:BA451)</f>
        <v>#VALUE!</v>
      </c>
      <c r="BH448" s="12">
        <f>bdrate(E450:E453,F450:F453,AU450:AU453,AV450:AV453)</f>
        <v>0.67931830314575703</v>
      </c>
      <c r="BI448" s="12">
        <f>bdrate(E450:E453,H450:H453,AU450:AU453,AX450:AX453)</f>
        <v>-0.53984071111563914</v>
      </c>
      <c r="BJ448" s="12">
        <f>bdrate(E450:E453,I450:I453,AU450:AU453,AY450:AY453)</f>
        <v>0.47850104776313152</v>
      </c>
      <c r="BK448" s="14">
        <f>bdrate(E450:E453,K450:K453,AU450:AU453,BA450:BA453)</f>
        <v>-0.52241327998986353</v>
      </c>
    </row>
    <row r="449" spans="1:63">
      <c r="A449" s="49"/>
      <c r="B449" s="7" t="s">
        <v>18</v>
      </c>
      <c r="C449" s="17">
        <v>1</v>
      </c>
      <c r="D449" s="7">
        <v>29</v>
      </c>
      <c r="E449">
        <v>0.97611490885416596</v>
      </c>
      <c r="F449">
        <v>36.547907697777198</v>
      </c>
      <c r="G449">
        <v>0.98718247503963397</v>
      </c>
      <c r="H449">
        <v>18.921958281579901</v>
      </c>
      <c r="I449">
        <v>39.593442003121098</v>
      </c>
      <c r="J449">
        <v>0.99101381112117903</v>
      </c>
      <c r="K449" s="8">
        <v>20.464244573023599</v>
      </c>
      <c r="L449" s="7">
        <v>27</v>
      </c>
      <c r="M449">
        <v>0.91029866536458304</v>
      </c>
      <c r="N449">
        <v>37.162381453962197</v>
      </c>
      <c r="O449">
        <v>0.98884008320990702</v>
      </c>
      <c r="P449">
        <v>19.5233904354704</v>
      </c>
      <c r="Q449">
        <v>40.243972045101501</v>
      </c>
      <c r="R449">
        <v>0.99192219324937503</v>
      </c>
      <c r="S449" s="1">
        <v>20.927065408839301</v>
      </c>
      <c r="T449" s="7"/>
      <c r="U449" s="1"/>
      <c r="V449" s="1"/>
      <c r="W449" s="8"/>
      <c r="X449" s="7"/>
      <c r="Y449" s="1"/>
      <c r="Z449" s="1"/>
      <c r="AA449" s="8"/>
      <c r="AB449" s="7">
        <v>64</v>
      </c>
      <c r="AC449">
        <v>0.91351318359375</v>
      </c>
      <c r="AD449">
        <v>36.7522553443197</v>
      </c>
      <c r="AE449">
        <v>0.988938165904791</v>
      </c>
      <c r="AF449">
        <v>19.5617285934321</v>
      </c>
      <c r="AG449">
        <v>39.878277237999399</v>
      </c>
      <c r="AH449">
        <v>0.99245411965144703</v>
      </c>
      <c r="AI449" s="1">
        <v>21.222900854821301</v>
      </c>
      <c r="AJ449" s="1">
        <v>9.0340077877044607</v>
      </c>
      <c r="AK449" s="1">
        <v>4.3286097049713099</v>
      </c>
      <c r="AL449" s="7"/>
      <c r="AM449" s="1"/>
      <c r="AN449" s="1"/>
      <c r="AO449" s="8"/>
      <c r="AP449" s="1"/>
      <c r="AQ449" s="1"/>
      <c r="AR449" s="1"/>
      <c r="AS449" s="8"/>
      <c r="AT449" s="7">
        <v>0.64</v>
      </c>
      <c r="AU449">
        <v>0.60662841796875</v>
      </c>
      <c r="AV449">
        <v>30.647041614558699</v>
      </c>
      <c r="AW449">
        <v>0.98963236865521798</v>
      </c>
      <c r="AX449">
        <v>19.843204539670602</v>
      </c>
      <c r="AY449">
        <v>34.474973089867099</v>
      </c>
      <c r="AZ449">
        <v>0.99180214848619797</v>
      </c>
      <c r="BA449" s="1">
        <v>20.8629995224547</v>
      </c>
      <c r="BB449" s="1">
        <v>6.6886432170867902</v>
      </c>
      <c r="BC449" s="1">
        <v>4.1246204376220703</v>
      </c>
      <c r="BD449" s="7"/>
      <c r="BE449" s="1"/>
      <c r="BF449" s="1"/>
      <c r="BG449" s="8"/>
      <c r="BH449" s="1"/>
      <c r="BI449" s="1"/>
      <c r="BJ449" s="1"/>
      <c r="BK449" s="8"/>
    </row>
    <row r="450" spans="1:63">
      <c r="A450" s="49"/>
      <c r="B450" s="7" t="s">
        <v>18</v>
      </c>
      <c r="C450" s="17">
        <v>0.5</v>
      </c>
      <c r="D450" s="7">
        <v>35</v>
      </c>
      <c r="E450">
        <v>0.4498291015625</v>
      </c>
      <c r="F450">
        <v>32.390778986204197</v>
      </c>
      <c r="G450">
        <v>0.96513089633933102</v>
      </c>
      <c r="H450">
        <v>14.5755921638166</v>
      </c>
      <c r="I450">
        <v>35.507815839471697</v>
      </c>
      <c r="J450">
        <v>0.97227605205079903</v>
      </c>
      <c r="K450" s="8">
        <v>15.5714492519777</v>
      </c>
      <c r="L450" s="7">
        <v>32</v>
      </c>
      <c r="M450">
        <v>0.48990885416666602</v>
      </c>
      <c r="N450">
        <v>33.797508958775701</v>
      </c>
      <c r="O450">
        <v>0.97495494011976702</v>
      </c>
      <c r="P450">
        <v>16.012779256185699</v>
      </c>
      <c r="Q450">
        <v>36.988646514991103</v>
      </c>
      <c r="R450">
        <v>0.97954103202818799</v>
      </c>
      <c r="S450" s="1">
        <v>16.891162775374202</v>
      </c>
      <c r="T450" s="7"/>
      <c r="U450" s="1"/>
      <c r="V450" s="1"/>
      <c r="W450" s="8"/>
      <c r="X450" s="7"/>
      <c r="Y450" s="1"/>
      <c r="Z450" s="1"/>
      <c r="AA450" s="8"/>
      <c r="AB450" s="7">
        <v>32</v>
      </c>
      <c r="AC450">
        <v>0.63389078776041596</v>
      </c>
      <c r="AD450">
        <v>34.747839204837398</v>
      </c>
      <c r="AE450">
        <v>0.98186992484095204</v>
      </c>
      <c r="AF450">
        <v>17.416003955133199</v>
      </c>
      <c r="AG450">
        <v>38.004372732218698</v>
      </c>
      <c r="AH450">
        <v>0.985985979669043</v>
      </c>
      <c r="AI450" s="1">
        <v>18.534372567856401</v>
      </c>
      <c r="AJ450" s="1">
        <v>13.559975862503</v>
      </c>
      <c r="AK450" s="1">
        <v>7.2317147254943803</v>
      </c>
      <c r="AL450" s="7"/>
      <c r="AM450" s="1"/>
      <c r="AN450" s="1"/>
      <c r="AO450" s="8"/>
      <c r="AP450" s="1"/>
      <c r="AQ450" s="1"/>
      <c r="AR450" s="1"/>
      <c r="AS450" s="8"/>
      <c r="AT450" s="7">
        <v>0.32</v>
      </c>
      <c r="AU450">
        <v>0.47052001953125</v>
      </c>
      <c r="AV450">
        <v>30.023323247992199</v>
      </c>
      <c r="AW450">
        <v>0.98614542521589099</v>
      </c>
      <c r="AX450">
        <v>18.584067987701701</v>
      </c>
      <c r="AY450">
        <v>33.817777339039701</v>
      </c>
      <c r="AZ450">
        <v>0.98880440117049895</v>
      </c>
      <c r="BA450" s="1">
        <v>19.509526719471801</v>
      </c>
      <c r="BB450" s="1">
        <v>6.9747292995452801</v>
      </c>
      <c r="BC450" s="1">
        <v>4.2475240230560303</v>
      </c>
      <c r="BD450" s="7"/>
      <c r="BE450" s="1"/>
      <c r="BF450" s="1"/>
      <c r="BG450" s="8"/>
      <c r="BH450" s="1"/>
      <c r="BI450" s="1"/>
      <c r="BJ450" s="1"/>
      <c r="BK450" s="8"/>
    </row>
    <row r="451" spans="1:63">
      <c r="A451" s="49"/>
      <c r="B451" s="7" t="s">
        <v>18</v>
      </c>
      <c r="C451" s="17">
        <v>0.25</v>
      </c>
      <c r="D451" s="7">
        <v>39</v>
      </c>
      <c r="E451">
        <v>0.24637858072916599</v>
      </c>
      <c r="F451">
        <v>29.901248049367101</v>
      </c>
      <c r="G451">
        <v>0.93706738476816998</v>
      </c>
      <c r="H451">
        <v>12.0112422030793</v>
      </c>
      <c r="I451">
        <v>33.087550285469497</v>
      </c>
      <c r="J451">
        <v>0.94711083191745304</v>
      </c>
      <c r="K451" s="8">
        <v>12.7663326414004</v>
      </c>
      <c r="L451" s="7">
        <v>37</v>
      </c>
      <c r="M451">
        <v>0.23677571614583301</v>
      </c>
      <c r="N451">
        <v>30.722386367211602</v>
      </c>
      <c r="O451">
        <v>0.94642102887604396</v>
      </c>
      <c r="P451">
        <v>12.710056303970701</v>
      </c>
      <c r="Q451">
        <v>34.019548472310397</v>
      </c>
      <c r="R451">
        <v>0.953275007661325</v>
      </c>
      <c r="S451" s="1">
        <v>13.3045076115879</v>
      </c>
      <c r="T451" s="7"/>
      <c r="U451" s="1"/>
      <c r="V451" s="1"/>
      <c r="W451" s="8"/>
      <c r="X451" s="7"/>
      <c r="Y451" s="1"/>
      <c r="Z451" s="1"/>
      <c r="AA451" s="8"/>
      <c r="AB451" s="7">
        <v>16</v>
      </c>
      <c r="AC451">
        <v>0.41212972005208298</v>
      </c>
      <c r="AD451">
        <v>32.664139236221303</v>
      </c>
      <c r="AE451">
        <v>0.96936499351454797</v>
      </c>
      <c r="AF451">
        <v>15.1378202339158</v>
      </c>
      <c r="AG451">
        <v>36.076136509274399</v>
      </c>
      <c r="AH451">
        <v>0.97457109752700699</v>
      </c>
      <c r="AI451" s="1">
        <v>15.946723838356601</v>
      </c>
      <c r="AJ451" s="1">
        <v>6.1682879924774099</v>
      </c>
      <c r="AK451" s="1">
        <v>4.0085735321044904</v>
      </c>
      <c r="AL451" s="7"/>
      <c r="AM451" s="1"/>
      <c r="AN451" s="1"/>
      <c r="AO451" s="8"/>
      <c r="AP451" s="1"/>
      <c r="AQ451" s="1"/>
      <c r="AR451" s="1"/>
      <c r="AS451" s="8"/>
      <c r="AT451" s="7">
        <v>0.16</v>
      </c>
      <c r="AU451">
        <v>0.33970133463541602</v>
      </c>
      <c r="AV451">
        <v>29.117762378240499</v>
      </c>
      <c r="AW451">
        <v>0.97944465047406704</v>
      </c>
      <c r="AX451">
        <v>16.870751340189599</v>
      </c>
      <c r="AY451">
        <v>32.784686317597597</v>
      </c>
      <c r="AZ451">
        <v>0.98313492918946499</v>
      </c>
      <c r="BA451" s="1">
        <v>17.730118310203</v>
      </c>
      <c r="BB451" s="1">
        <v>6.2805356979370099</v>
      </c>
      <c r="BC451" s="1">
        <v>3.6239385604858398</v>
      </c>
      <c r="BD451" s="7"/>
      <c r="BE451" s="1"/>
      <c r="BF451" s="1"/>
      <c r="BG451" s="8"/>
      <c r="BH451" s="1"/>
      <c r="BI451" s="1"/>
      <c r="BJ451" s="1"/>
      <c r="BK451" s="8"/>
    </row>
    <row r="452" spans="1:63">
      <c r="A452" s="49"/>
      <c r="B452" s="7" t="s">
        <v>18</v>
      </c>
      <c r="C452" s="17">
        <v>0.12</v>
      </c>
      <c r="D452" s="7">
        <v>44</v>
      </c>
      <c r="E452">
        <v>0.10186767578125</v>
      </c>
      <c r="F452">
        <v>27.105432139273798</v>
      </c>
      <c r="G452">
        <v>0.88637990904394903</v>
      </c>
      <c r="H452">
        <v>9.4454486739378094</v>
      </c>
      <c r="I452">
        <v>30.329033730907</v>
      </c>
      <c r="J452">
        <v>0.90049864723661899</v>
      </c>
      <c r="K452" s="8">
        <v>10.0217101479519</v>
      </c>
      <c r="L452" s="7">
        <v>42</v>
      </c>
      <c r="M452">
        <v>0.103535970052083</v>
      </c>
      <c r="N452">
        <v>27.993817981322199</v>
      </c>
      <c r="O452">
        <v>0.90018653257084902</v>
      </c>
      <c r="P452">
        <v>10.008108571538299</v>
      </c>
      <c r="Q452">
        <v>31.403492866752298</v>
      </c>
      <c r="R452">
        <v>0.90926263819082698</v>
      </c>
      <c r="S452" s="1">
        <v>10.422138520082299</v>
      </c>
      <c r="T452" s="7"/>
      <c r="U452" s="1"/>
      <c r="V452" s="1"/>
      <c r="W452" s="8"/>
      <c r="X452" s="7"/>
      <c r="Y452" s="1"/>
      <c r="Z452" s="1"/>
      <c r="AA452" s="8"/>
      <c r="AB452" s="7">
        <v>8</v>
      </c>
      <c r="AC452">
        <v>0.26393636067708298</v>
      </c>
      <c r="AD452">
        <v>30.771549821754501</v>
      </c>
      <c r="AE452">
        <v>0.95108423816117105</v>
      </c>
      <c r="AF452">
        <v>13.105511781636499</v>
      </c>
      <c r="AG452">
        <v>34.351678911829097</v>
      </c>
      <c r="AH452">
        <v>0.95717109105265197</v>
      </c>
      <c r="AI452" s="1">
        <v>13.6826298897447</v>
      </c>
      <c r="AJ452" s="1">
        <v>5.9179701805114702</v>
      </c>
      <c r="AK452" s="1">
        <v>4.11907458305358</v>
      </c>
      <c r="AL452" s="7"/>
      <c r="AM452" s="1"/>
      <c r="AN452" s="1"/>
      <c r="AO452" s="8"/>
      <c r="AP452" s="1"/>
      <c r="AQ452" s="1"/>
      <c r="AR452" s="1"/>
      <c r="AS452" s="8"/>
      <c r="AT452" s="7">
        <v>0.08</v>
      </c>
      <c r="AU452">
        <v>0.22507731119791599</v>
      </c>
      <c r="AV452">
        <v>27.982028902677701</v>
      </c>
      <c r="AW452">
        <v>0.96752059091398002</v>
      </c>
      <c r="AX452">
        <v>14.8839188069364</v>
      </c>
      <c r="AY452">
        <v>31.557170602832102</v>
      </c>
      <c r="AZ452">
        <v>0.97286043236730302</v>
      </c>
      <c r="BA452" s="1">
        <v>15.6639707547619</v>
      </c>
      <c r="BB452" s="1">
        <v>6.2948029041290203</v>
      </c>
      <c r="BC452" s="1">
        <v>4.0923612117767298</v>
      </c>
      <c r="BD452" s="7"/>
      <c r="BE452" s="1"/>
      <c r="BF452" s="1"/>
      <c r="BG452" s="8"/>
      <c r="BH452" s="1"/>
      <c r="BI452" s="1"/>
      <c r="BJ452" s="1"/>
      <c r="BK452" s="8"/>
    </row>
    <row r="453" spans="1:63">
      <c r="A453" s="49"/>
      <c r="B453" s="7" t="s">
        <v>18</v>
      </c>
      <c r="C453" s="17">
        <v>0.06</v>
      </c>
      <c r="D453" s="7">
        <v>47</v>
      </c>
      <c r="E453">
        <v>5.755615234375E-2</v>
      </c>
      <c r="F453">
        <v>25.664100730060401</v>
      </c>
      <c r="G453">
        <v>0.85048183418100598</v>
      </c>
      <c r="H453">
        <v>8.25306039207981</v>
      </c>
      <c r="I453">
        <v>28.890540246793002</v>
      </c>
      <c r="J453">
        <v>0.86665983966637905</v>
      </c>
      <c r="K453" s="8">
        <v>8.7503902699682996</v>
      </c>
      <c r="L453" s="7">
        <v>46</v>
      </c>
      <c r="M453">
        <v>5.3019205729166602E-2</v>
      </c>
      <c r="N453">
        <v>26.1809896381728</v>
      </c>
      <c r="O453">
        <v>0.86100980514684</v>
      </c>
      <c r="P453">
        <v>8.5701583623055697</v>
      </c>
      <c r="Q453">
        <v>29.5418204395848</v>
      </c>
      <c r="R453">
        <v>0.87231373733644502</v>
      </c>
      <c r="S453" s="1">
        <v>8.9385582450899292</v>
      </c>
      <c r="T453" s="7"/>
      <c r="U453" s="1"/>
      <c r="V453" s="1"/>
      <c r="W453" s="8"/>
      <c r="X453" s="7"/>
      <c r="Y453" s="1"/>
      <c r="Z453" s="1"/>
      <c r="AA453" s="8"/>
      <c r="AB453" s="7">
        <v>4</v>
      </c>
      <c r="AC453">
        <v>0.16823323567708301</v>
      </c>
      <c r="AD453">
        <v>29.102669654937401</v>
      </c>
      <c r="AE453">
        <v>0.92841305370642102</v>
      </c>
      <c r="AF453">
        <v>11.4516616302054</v>
      </c>
      <c r="AG453">
        <v>32.800848076737601</v>
      </c>
      <c r="AH453">
        <v>0.93530401673560104</v>
      </c>
      <c r="AI453" s="1">
        <v>11.891226822410101</v>
      </c>
      <c r="AJ453" s="1">
        <v>6.0955793857574401</v>
      </c>
      <c r="AK453" s="1">
        <v>4.0804028511047301</v>
      </c>
      <c r="AL453" s="7"/>
      <c r="AM453" s="1"/>
      <c r="AN453" s="1"/>
      <c r="AO453" s="8"/>
      <c r="AP453" s="1"/>
      <c r="AQ453" s="1"/>
      <c r="AR453" s="1"/>
      <c r="AS453" s="8"/>
      <c r="AT453" s="7">
        <v>0.04</v>
      </c>
      <c r="AU453">
        <v>0.14857991536458301</v>
      </c>
      <c r="AV453">
        <v>26.8915463551829</v>
      </c>
      <c r="AW453">
        <v>0.95046111060779104</v>
      </c>
      <c r="AX453">
        <v>13.050537340489701</v>
      </c>
      <c r="AY453">
        <v>30.405065185668299</v>
      </c>
      <c r="AZ453">
        <v>0.95799144046343698</v>
      </c>
      <c r="BA453" s="1">
        <v>13.766622100603801</v>
      </c>
      <c r="BB453" s="1">
        <v>6.37672519683837</v>
      </c>
      <c r="BC453" s="1">
        <v>4.07757568359375</v>
      </c>
      <c r="BD453" s="7"/>
      <c r="BE453" s="1"/>
      <c r="BF453" s="1"/>
      <c r="BG453" s="8"/>
      <c r="BH453" s="1"/>
      <c r="BI453" s="1"/>
      <c r="BJ453" s="1"/>
      <c r="BK453" s="8"/>
    </row>
    <row r="454" spans="1:63">
      <c r="A454" s="49"/>
      <c r="B454" s="7" t="s">
        <v>97</v>
      </c>
      <c r="C454" s="17">
        <v>1.5</v>
      </c>
      <c r="D454" s="7">
        <v>21</v>
      </c>
      <c r="E454">
        <v>1.3691813151041601</v>
      </c>
      <c r="F454">
        <v>42.561712120221898</v>
      </c>
      <c r="G454">
        <v>0.99383830991370903</v>
      </c>
      <c r="H454">
        <v>22.103001491217199</v>
      </c>
      <c r="I454">
        <v>45.777468303878898</v>
      </c>
      <c r="J454">
        <v>0.99657537428423504</v>
      </c>
      <c r="K454" s="8">
        <v>24.653868864958401</v>
      </c>
      <c r="L454" s="7">
        <v>18</v>
      </c>
      <c r="M454">
        <v>1.4092814127604101</v>
      </c>
      <c r="N454">
        <v>43.217269639832502</v>
      </c>
      <c r="O454">
        <v>0.994601460125354</v>
      </c>
      <c r="P454">
        <v>22.677236864976599</v>
      </c>
      <c r="Q454">
        <v>46.542226786845298</v>
      </c>
      <c r="R454">
        <v>0.99716926727379995</v>
      </c>
      <c r="S454" s="1">
        <v>25.481011341729701</v>
      </c>
      <c r="T454" s="13">
        <f>bdrate(E454:E457,F454:F457,M454:M457,N454:N457)</f>
        <v>-0.15097036260252772</v>
      </c>
      <c r="U454" s="12">
        <f>bdrate(E454:E457,H454:H457,M454:M457,P454:P457)</f>
        <v>-0.13476149188417463</v>
      </c>
      <c r="V454" s="12">
        <f>bdrate(E454:E457,I454:I457,M454:M457,Q454:Q457)</f>
        <v>-0.16101591296292039</v>
      </c>
      <c r="W454" s="14">
        <f>bdrate(E454:E457,K454:K457,M454:M457,S454:S457)</f>
        <v>-0.12728882962924093</v>
      </c>
      <c r="X454" s="13">
        <f>bdrate(E456:E459,F456:F459,M456:M459,N456:N459)</f>
        <v>-0.19757556159947021</v>
      </c>
      <c r="Y454" s="12">
        <f>bdrate(E456:E459,H456:H459,M456:M459,P456:P459)</f>
        <v>-0.15562932019952436</v>
      </c>
      <c r="Z454" s="12">
        <f>bdrate(E456:E459,I456:I459,M456:M459,Q456:Q459)</f>
        <v>-0.22213953075596626</v>
      </c>
      <c r="AA454" s="14">
        <f>bdrate(E456:E459,K456:K459,M456:M459,S456:S459)</f>
        <v>-0.13769851275562284</v>
      </c>
      <c r="AB454" s="7"/>
      <c r="AI454" s="1"/>
      <c r="AJ454" s="1"/>
      <c r="AK454" s="1"/>
      <c r="AL454" s="13" t="e">
        <f>bdrate(E454:E457,F454:F457,AC454:AC457,AD454:AD457)</f>
        <v>#VALUE!</v>
      </c>
      <c r="AM454" s="12" t="e">
        <f>bdrate(E454:E457,H454:H457,AC454:AC457,AF454:AF457)</f>
        <v>#VALUE!</v>
      </c>
      <c r="AN454" s="12" t="e">
        <f>bdrate(E454:E457,I454:I457,AC454:AC457,AG454:AG457)</f>
        <v>#VALUE!</v>
      </c>
      <c r="AO454" s="14" t="e">
        <f>bdrate(E454:E457,K454:K457,AC454:AC457,AI454:AI457)</f>
        <v>#VALUE!</v>
      </c>
      <c r="AP454" s="12">
        <f>bdrate(E456:E459,F456:F459,AC456:AC459,AD456:AD459)</f>
        <v>-9.9812367016465564E-2</v>
      </c>
      <c r="AQ454" s="12">
        <f>bdrate(E456:E459,H456:H459,AC456:AC459,AF456:AF459)</f>
        <v>-0.16979363432902139</v>
      </c>
      <c r="AR454" s="12">
        <f>bdrate(E456:E459,I456:I459,AC456:AC459,AG456:AG459)</f>
        <v>-0.15827601658588242</v>
      </c>
      <c r="AS454" s="14">
        <f>bdrate(E456:E459,K456:K459,AC456:AC459,AI456:AI459)</f>
        <v>-0.11834882620188358</v>
      </c>
      <c r="AT454" s="7"/>
      <c r="BA454" s="1"/>
      <c r="BB454" s="1"/>
      <c r="BC454" s="1"/>
      <c r="BD454" s="13" t="e">
        <f>bdrate(E454:E457,F454:F457,AU454:AU457,AV454:AV457)</f>
        <v>#VALUE!</v>
      </c>
      <c r="BE454" s="12" t="e">
        <f>bdrate(E454:E457,H454:H457,AU454:AU457,AX454:AX457)</f>
        <v>#VALUE!</v>
      </c>
      <c r="BF454" s="12" t="e">
        <f>bdrate(E454:E457,I454:I457,AU454:AU457,AY454:AY457)</f>
        <v>#VALUE!</v>
      </c>
      <c r="BG454" s="14" t="e">
        <f>bdrate(E454:E457,K454:K457,AU454:AU457,BA454:BA457)</f>
        <v>#VALUE!</v>
      </c>
      <c r="BH454" s="12">
        <f>bdrate(E456:E459,F456:F459,AU456:AU459,AV456:AV459)</f>
        <v>1.5016730799273494</v>
      </c>
      <c r="BI454" s="12">
        <f>bdrate(E456:E459,H456:H459,AU456:AU459,AX456:AX459)</f>
        <v>-0.47014092827541909</v>
      </c>
      <c r="BJ454" s="12">
        <f>bdrate(E456:E459,I456:I459,AU456:AU459,AY456:AY459)</f>
        <v>1.3940223410758072</v>
      </c>
      <c r="BK454" s="14">
        <f>bdrate(E456:E459,K456:K459,AU456:AU459,BA456:BA459)</f>
        <v>-0.45387333343573455</v>
      </c>
    </row>
    <row r="455" spans="1:63">
      <c r="A455" s="49"/>
      <c r="B455" s="7" t="s">
        <v>18</v>
      </c>
      <c r="C455" s="17">
        <v>1</v>
      </c>
      <c r="D455" s="7">
        <v>24</v>
      </c>
      <c r="E455">
        <v>0.96783447265625</v>
      </c>
      <c r="F455">
        <v>40.8077062543843</v>
      </c>
      <c r="G455">
        <v>0.99100873052910898</v>
      </c>
      <c r="H455">
        <v>20.461789862110901</v>
      </c>
      <c r="I455">
        <v>43.943063726174202</v>
      </c>
      <c r="J455">
        <v>0.99437534832673302</v>
      </c>
      <c r="K455" s="8">
        <v>22.499043676276901</v>
      </c>
      <c r="L455" s="7">
        <v>22</v>
      </c>
      <c r="M455">
        <v>0.89198811848958304</v>
      </c>
      <c r="N455">
        <v>41.073745678385599</v>
      </c>
      <c r="O455">
        <v>0.991336342464197</v>
      </c>
      <c r="P455">
        <v>20.622987231937302</v>
      </c>
      <c r="Q455">
        <v>44.256585285818304</v>
      </c>
      <c r="R455">
        <v>0.99466575142097602</v>
      </c>
      <c r="S455" s="1">
        <v>22.729267498041999</v>
      </c>
      <c r="T455" s="7"/>
      <c r="U455" s="1"/>
      <c r="V455" s="1"/>
      <c r="W455" s="8"/>
      <c r="X455" s="7"/>
      <c r="Y455" s="1"/>
      <c r="Z455" s="1"/>
      <c r="AA455" s="8"/>
      <c r="AB455" s="7">
        <v>64</v>
      </c>
      <c r="AC455">
        <v>0.49428304036458298</v>
      </c>
      <c r="AD455">
        <v>38.173820990343103</v>
      </c>
      <c r="AE455">
        <v>0.98507633481953005</v>
      </c>
      <c r="AF455">
        <v>18.261245031253001</v>
      </c>
      <c r="AG455">
        <v>41.358685977432103</v>
      </c>
      <c r="AH455">
        <v>0.98862542194660996</v>
      </c>
      <c r="AI455" s="1">
        <v>19.440647047792702</v>
      </c>
      <c r="AJ455" s="1">
        <v>10.0758206844329</v>
      </c>
      <c r="AK455" s="1">
        <v>4.3367652893066397</v>
      </c>
      <c r="AL455" s="7"/>
      <c r="AM455" s="1"/>
      <c r="AN455" s="1"/>
      <c r="AO455" s="8"/>
      <c r="AP455" s="1"/>
      <c r="AQ455" s="1"/>
      <c r="AR455" s="1"/>
      <c r="AS455" s="8"/>
      <c r="AT455" s="7">
        <v>0.64</v>
      </c>
      <c r="AU455">
        <v>0.51112874348958304</v>
      </c>
      <c r="AV455">
        <v>34.601867061332896</v>
      </c>
      <c r="AW455">
        <v>0.99120523742851896</v>
      </c>
      <c r="AX455">
        <v>20.5577588051436</v>
      </c>
      <c r="AY455">
        <v>38.005798499407398</v>
      </c>
      <c r="AZ455">
        <v>0.99332229681041195</v>
      </c>
      <c r="BA455" s="1">
        <v>21.7537288836476</v>
      </c>
      <c r="BB455" s="1">
        <v>5.9978051185607901</v>
      </c>
      <c r="BC455" s="1">
        <v>3.6300861835479701</v>
      </c>
      <c r="BD455" s="7"/>
      <c r="BE455" s="1"/>
      <c r="BF455" s="1"/>
      <c r="BG455" s="8"/>
      <c r="BH455" s="1"/>
      <c r="BI455" s="1"/>
      <c r="BJ455" s="1"/>
      <c r="BK455" s="8"/>
    </row>
    <row r="456" spans="1:63">
      <c r="A456" s="49"/>
      <c r="B456" s="7" t="s">
        <v>18</v>
      </c>
      <c r="C456" s="17">
        <v>0.5</v>
      </c>
      <c r="D456" s="7">
        <v>30</v>
      </c>
      <c r="E456">
        <v>0.44118245442708298</v>
      </c>
      <c r="F456">
        <v>37.155162446055698</v>
      </c>
      <c r="G456">
        <v>0.97965372763505498</v>
      </c>
      <c r="H456">
        <v>16.915151461254499</v>
      </c>
      <c r="I456">
        <v>40.290794578888502</v>
      </c>
      <c r="J456">
        <v>0.98441432534947504</v>
      </c>
      <c r="K456" s="8">
        <v>18.072743938582001</v>
      </c>
      <c r="L456" s="7">
        <v>27</v>
      </c>
      <c r="M456">
        <v>0.47806803385416602</v>
      </c>
      <c r="N456">
        <v>38.279972664756698</v>
      </c>
      <c r="O456">
        <v>0.98404753845082504</v>
      </c>
      <c r="P456">
        <v>17.971722935008302</v>
      </c>
      <c r="Q456">
        <v>41.4591975866689</v>
      </c>
      <c r="R456">
        <v>0.98817791404306199</v>
      </c>
      <c r="S456" s="1">
        <v>19.273058872737199</v>
      </c>
      <c r="T456" s="7"/>
      <c r="U456" s="1"/>
      <c r="V456" s="1"/>
      <c r="W456" s="8"/>
      <c r="X456" s="7"/>
      <c r="Y456" s="1"/>
      <c r="Z456" s="1"/>
      <c r="AA456" s="8"/>
      <c r="AB456" s="7">
        <v>32</v>
      </c>
      <c r="AC456">
        <v>0.32680257161458298</v>
      </c>
      <c r="AD456">
        <v>36.389835946155102</v>
      </c>
      <c r="AE456">
        <v>0.97801698836173001</v>
      </c>
      <c r="AF456">
        <v>16.579128101706999</v>
      </c>
      <c r="AG456">
        <v>39.665713188448898</v>
      </c>
      <c r="AH456">
        <v>0.98190055922863895</v>
      </c>
      <c r="AI456" s="1">
        <v>17.423348435652901</v>
      </c>
      <c r="AJ456" s="1">
        <v>14.0210392475128</v>
      </c>
      <c r="AK456" s="1">
        <v>7.4955921173095703</v>
      </c>
      <c r="AL456" s="7"/>
      <c r="AM456" s="1"/>
      <c r="AN456" s="1"/>
      <c r="AO456" s="8"/>
      <c r="AP456" s="1"/>
      <c r="AQ456" s="1"/>
      <c r="AR456" s="1"/>
      <c r="AS456" s="8"/>
      <c r="AT456" s="7">
        <v>0.32</v>
      </c>
      <c r="AU456">
        <v>0.36773681640625</v>
      </c>
      <c r="AV456">
        <v>33.596037937753103</v>
      </c>
      <c r="AW456">
        <v>0.98741777330156599</v>
      </c>
      <c r="AX456">
        <v>19.002424942430601</v>
      </c>
      <c r="AY456">
        <v>36.9911328384797</v>
      </c>
      <c r="AZ456">
        <v>0.99014148102996302</v>
      </c>
      <c r="BA456" s="1">
        <v>20.061883235427501</v>
      </c>
      <c r="BB456" s="1">
        <v>6.6354868412017796</v>
      </c>
      <c r="BC456" s="1">
        <v>4.0627672672271702</v>
      </c>
      <c r="BD456" s="7"/>
      <c r="BE456" s="1"/>
      <c r="BF456" s="1"/>
      <c r="BG456" s="8"/>
      <c r="BH456" s="1"/>
      <c r="BI456" s="1"/>
      <c r="BJ456" s="1"/>
      <c r="BK456" s="8"/>
    </row>
    <row r="457" spans="1:63">
      <c r="A457" s="49"/>
      <c r="B457" s="7" t="s">
        <v>18</v>
      </c>
      <c r="C457" s="17">
        <v>0.25</v>
      </c>
      <c r="D457" s="7">
        <v>34</v>
      </c>
      <c r="E457">
        <v>0.24263509114583301</v>
      </c>
      <c r="F457">
        <v>34.904385366222797</v>
      </c>
      <c r="G457">
        <v>0.96569009099713499</v>
      </c>
      <c r="H457">
        <v>14.6458043378311</v>
      </c>
      <c r="I457">
        <v>38.088611314774397</v>
      </c>
      <c r="J457">
        <v>0.97161432287156801</v>
      </c>
      <c r="K457" s="8">
        <v>15.4690074140214</v>
      </c>
      <c r="L457" s="7">
        <v>32</v>
      </c>
      <c r="M457">
        <v>0.2359619140625</v>
      </c>
      <c r="N457">
        <v>35.506768654517003</v>
      </c>
      <c r="O457">
        <v>0.96900202453092998</v>
      </c>
      <c r="P457">
        <v>15.086666697568001</v>
      </c>
      <c r="Q457">
        <v>38.763003742748097</v>
      </c>
      <c r="R457">
        <v>0.974222920564775</v>
      </c>
      <c r="S457" s="1">
        <v>15.8876629012527</v>
      </c>
      <c r="T457" s="7"/>
      <c r="U457" s="1"/>
      <c r="V457" s="1"/>
      <c r="W457" s="8"/>
      <c r="X457" s="7"/>
      <c r="Y457" s="1"/>
      <c r="Z457" s="1"/>
      <c r="AA457" s="8"/>
      <c r="AB457" s="7">
        <v>16</v>
      </c>
      <c r="AC457">
        <v>0.20045979817708301</v>
      </c>
      <c r="AD457">
        <v>34.611159194795199</v>
      </c>
      <c r="AE457">
        <v>0.96573800408958599</v>
      </c>
      <c r="AF457">
        <v>14.651873410894</v>
      </c>
      <c r="AG457">
        <v>38.000295476165597</v>
      </c>
      <c r="AH457">
        <v>0.97003528796941096</v>
      </c>
      <c r="AI457" s="1">
        <v>15.233898916410199</v>
      </c>
      <c r="AJ457" s="1">
        <v>7.03946805000305</v>
      </c>
      <c r="AK457" s="1">
        <v>3.9850721359252899</v>
      </c>
      <c r="AL457" s="7"/>
      <c r="AM457" s="1"/>
      <c r="AN457" s="1"/>
      <c r="AO457" s="8"/>
      <c r="AP457" s="1"/>
      <c r="AQ457" s="1"/>
      <c r="AR457" s="1"/>
      <c r="AS457" s="8"/>
      <c r="AT457" s="7">
        <v>0.16</v>
      </c>
      <c r="AU457">
        <v>0.24538167317708301</v>
      </c>
      <c r="AV457">
        <v>31.841813103951001</v>
      </c>
      <c r="AW457">
        <v>0.98074445589623205</v>
      </c>
      <c r="AX457">
        <v>17.154442050118899</v>
      </c>
      <c r="AY457">
        <v>35.183372963198003</v>
      </c>
      <c r="AZ457">
        <v>0.98433660174999205</v>
      </c>
      <c r="BA457" s="1">
        <v>18.051140097672601</v>
      </c>
      <c r="BB457" s="1">
        <v>6.08752346038818</v>
      </c>
      <c r="BC457" s="1">
        <v>3.48255062103271</v>
      </c>
      <c r="BD457" s="7"/>
      <c r="BE457" s="1"/>
      <c r="BF457" s="1"/>
      <c r="BG457" s="8"/>
      <c r="BH457" s="1"/>
      <c r="BI457" s="1"/>
      <c r="BJ457" s="1"/>
      <c r="BK457" s="8"/>
    </row>
    <row r="458" spans="1:63">
      <c r="A458" s="49"/>
      <c r="B458" s="7" t="s">
        <v>18</v>
      </c>
      <c r="C458" s="17">
        <v>0.12</v>
      </c>
      <c r="D458" s="7">
        <v>39</v>
      </c>
      <c r="E458">
        <v>0.110066731770833</v>
      </c>
      <c r="F458">
        <v>32.284083779024897</v>
      </c>
      <c r="G458">
        <v>0.93783115539188699</v>
      </c>
      <c r="H458">
        <v>12.0642720380739</v>
      </c>
      <c r="I458">
        <v>35.485145388184698</v>
      </c>
      <c r="J458">
        <v>0.94498278519418399</v>
      </c>
      <c r="K458" s="8">
        <v>12.595013991350299</v>
      </c>
      <c r="L458" s="7">
        <v>37</v>
      </c>
      <c r="M458">
        <v>0.10882568359375</v>
      </c>
      <c r="N458">
        <v>32.998226359089003</v>
      </c>
      <c r="O458">
        <v>0.94495711160292895</v>
      </c>
      <c r="P458">
        <v>12.592987844019801</v>
      </c>
      <c r="Q458">
        <v>36.311985172378698</v>
      </c>
      <c r="R458">
        <v>0.95109467321725805</v>
      </c>
      <c r="S458" s="1">
        <v>13.106438348158701</v>
      </c>
      <c r="T458" s="7"/>
      <c r="U458" s="1"/>
      <c r="V458" s="1"/>
      <c r="W458" s="8"/>
      <c r="X458" s="7"/>
      <c r="Y458" s="1"/>
      <c r="Z458" s="1"/>
      <c r="AA458" s="8"/>
      <c r="AB458" s="7">
        <v>8</v>
      </c>
      <c r="AC458">
        <v>0.12904866536458301</v>
      </c>
      <c r="AD458">
        <v>33.138934812588097</v>
      </c>
      <c r="AE458">
        <v>0.95103874704743696</v>
      </c>
      <c r="AF458">
        <v>13.1014747682202</v>
      </c>
      <c r="AG458">
        <v>36.607628801909001</v>
      </c>
      <c r="AH458">
        <v>0.95542401476892702</v>
      </c>
      <c r="AI458" s="1">
        <v>13.5089904914666</v>
      </c>
      <c r="AJ458" s="1">
        <v>5.6643779277801496</v>
      </c>
      <c r="AK458" s="1">
        <v>3.5327630043029701</v>
      </c>
      <c r="AL458" s="7"/>
      <c r="AM458" s="1"/>
      <c r="AN458" s="1"/>
      <c r="AO458" s="8"/>
      <c r="AP458" s="1"/>
      <c r="AQ458" s="1"/>
      <c r="AR458" s="1"/>
      <c r="AS458" s="8"/>
      <c r="AT458" s="7">
        <v>0.08</v>
      </c>
      <c r="AU458">
        <v>0.15631103515625</v>
      </c>
      <c r="AV458">
        <v>30.550654447643598</v>
      </c>
      <c r="AW458">
        <v>0.97092628104221601</v>
      </c>
      <c r="AX458">
        <v>15.3649941200183</v>
      </c>
      <c r="AY458">
        <v>33.774989673799197</v>
      </c>
      <c r="AZ458">
        <v>0.97579116900975704</v>
      </c>
      <c r="BA458" s="1">
        <v>16.1602618151013</v>
      </c>
      <c r="BB458" s="1">
        <v>5.6733369827270499</v>
      </c>
      <c r="BC458" s="1">
        <v>3.6205999851226802</v>
      </c>
      <c r="BD458" s="7"/>
      <c r="BE458" s="1"/>
      <c r="BF458" s="1"/>
      <c r="BG458" s="8"/>
      <c r="BH458" s="1"/>
      <c r="BI458" s="1"/>
      <c r="BJ458" s="1"/>
      <c r="BK458" s="8"/>
    </row>
    <row r="459" spans="1:63">
      <c r="A459" s="49"/>
      <c r="B459" s="7" t="s">
        <v>18</v>
      </c>
      <c r="C459" s="17">
        <v>0.06</v>
      </c>
      <c r="D459" s="7">
        <v>43</v>
      </c>
      <c r="E459">
        <v>5.67626953125E-2</v>
      </c>
      <c r="F459">
        <v>30.389198018766098</v>
      </c>
      <c r="G459">
        <v>0.906656931185994</v>
      </c>
      <c r="H459">
        <v>10.299179250377501</v>
      </c>
      <c r="I459">
        <v>33.548869317583701</v>
      </c>
      <c r="J459">
        <v>0.91552124567353399</v>
      </c>
      <c r="K459" s="8">
        <v>10.7325249861152</v>
      </c>
      <c r="L459" s="7">
        <v>41</v>
      </c>
      <c r="M459">
        <v>5.8003743489583301E-2</v>
      </c>
      <c r="N459">
        <v>31.191001713652</v>
      </c>
      <c r="O459">
        <v>0.91729594229469902</v>
      </c>
      <c r="P459">
        <v>10.824731821549401</v>
      </c>
      <c r="Q459">
        <v>34.5258853567586</v>
      </c>
      <c r="R459">
        <v>0.92378211814935596</v>
      </c>
      <c r="S459" s="1">
        <v>11.179431247498799</v>
      </c>
      <c r="T459" s="7"/>
      <c r="U459" s="1"/>
      <c r="V459" s="1"/>
      <c r="W459" s="8"/>
      <c r="X459" s="7"/>
      <c r="Y459" s="1"/>
      <c r="Z459" s="1"/>
      <c r="AA459" s="8"/>
      <c r="AB459" s="7">
        <v>4</v>
      </c>
      <c r="AC459">
        <v>8.6283365885416602E-2</v>
      </c>
      <c r="AD459">
        <v>31.775945738599901</v>
      </c>
      <c r="AE459">
        <v>0.93326344878144496</v>
      </c>
      <c r="AF459">
        <v>11.756362403760299</v>
      </c>
      <c r="AG459">
        <v>35.2884341520639</v>
      </c>
      <c r="AH459">
        <v>0.93804972541231002</v>
      </c>
      <c r="AI459" s="1">
        <v>12.0795676432175</v>
      </c>
      <c r="AJ459" s="1">
        <v>6.41806864738464</v>
      </c>
      <c r="AK459" s="1">
        <v>4.0768117904662997</v>
      </c>
      <c r="AL459" s="7"/>
      <c r="AM459" s="1"/>
      <c r="AN459" s="1"/>
      <c r="AO459" s="8"/>
      <c r="AP459" s="1"/>
      <c r="AQ459" s="1"/>
      <c r="AR459" s="1"/>
      <c r="AS459" s="8"/>
      <c r="AT459" s="7">
        <v>0.04</v>
      </c>
      <c r="AU459">
        <v>9.9507649739583301E-2</v>
      </c>
      <c r="AV459">
        <v>29.345638773642399</v>
      </c>
      <c r="AW459">
        <v>0.95730787862873901</v>
      </c>
      <c r="AX459">
        <v>13.6965226456962</v>
      </c>
      <c r="AY459">
        <v>32.323184648703503</v>
      </c>
      <c r="AZ459">
        <v>0.96377752279909201</v>
      </c>
      <c r="BA459" s="1">
        <v>14.410218522578299</v>
      </c>
      <c r="BB459" s="1">
        <v>6.1849129199981601</v>
      </c>
      <c r="BC459" s="1">
        <v>4.0445249080657897</v>
      </c>
      <c r="BD459" s="7"/>
      <c r="BE459" s="1"/>
      <c r="BF459" s="1"/>
      <c r="BG459" s="8"/>
      <c r="BH459" s="1"/>
      <c r="BI459" s="1"/>
      <c r="BJ459" s="1"/>
      <c r="BK459" s="8"/>
    </row>
    <row r="460" spans="1:63">
      <c r="A460" s="49"/>
      <c r="B460" s="7" t="s">
        <v>98</v>
      </c>
      <c r="C460" s="17">
        <v>1.5</v>
      </c>
      <c r="D460" s="7">
        <v>34</v>
      </c>
      <c r="E460">
        <v>1.3680826822916601</v>
      </c>
      <c r="F460">
        <v>30.721161931884598</v>
      </c>
      <c r="G460">
        <v>0.97805048074939804</v>
      </c>
      <c r="H460">
        <v>16.585749874536202</v>
      </c>
      <c r="I460">
        <v>33.960144982019898</v>
      </c>
      <c r="J460">
        <v>0.98575608347159405</v>
      </c>
      <c r="K460" s="8">
        <v>18.463705800244</v>
      </c>
      <c r="L460" s="7">
        <v>31</v>
      </c>
      <c r="M460">
        <v>1.4265950520833299</v>
      </c>
      <c r="N460">
        <v>32.031768567605504</v>
      </c>
      <c r="O460">
        <v>0.98395216042288203</v>
      </c>
      <c r="P460">
        <v>17.945834257444499</v>
      </c>
      <c r="Q460">
        <v>35.354232239399799</v>
      </c>
      <c r="R460">
        <v>0.98946099749123795</v>
      </c>
      <c r="S460" s="1">
        <v>19.7720049210645</v>
      </c>
      <c r="T460" s="13">
        <f>bdrate(E460:E463,F460:F463,M460:M463,N460:N463)</f>
        <v>-0.1602095406725742</v>
      </c>
      <c r="U460" s="12">
        <f>bdrate(E460:E463,H460:H463,M460:M463,P460:P463)</f>
        <v>-0.14873438747474332</v>
      </c>
      <c r="V460" s="12">
        <f>bdrate(E460:E463,I460:I463,M460:M463,Q460:Q463)</f>
        <v>-0.20509429047557015</v>
      </c>
      <c r="W460" s="14">
        <f>bdrate(E460:E463,K460:K463,M460:M463,S460:S463)</f>
        <v>-0.10837568670645881</v>
      </c>
      <c r="X460" s="13">
        <f>bdrate(E462:E465,F462:F465,M462:M465,N462:N465)</f>
        <v>-0.18214181422740605</v>
      </c>
      <c r="Y460" s="12">
        <f>bdrate(E462:E465,H462:H465,M462:M465,P462:P465)</f>
        <v>-0.13396506829254085</v>
      </c>
      <c r="Z460" s="12">
        <f>bdrate(E462:E465,I462:I465,M462:M465,Q462:Q465)</f>
        <v>-0.26398000390862353</v>
      </c>
      <c r="AA460" s="14">
        <f>bdrate(E462:E465,K462:K465,M462:M465,S462:S465)</f>
        <v>-0.10468638096645932</v>
      </c>
      <c r="AB460" s="7"/>
      <c r="AI460" s="1"/>
      <c r="AJ460" s="1"/>
      <c r="AK460" s="1"/>
      <c r="AL460" s="13" t="e">
        <f>bdrate(E460:E463,F460:F463,AC460:AC463,AD460:AD463)</f>
        <v>#VALUE!</v>
      </c>
      <c r="AM460" s="12" t="e">
        <f>bdrate(E460:E463,H460:H463,AC460:AC463,AF460:AF463)</f>
        <v>#VALUE!</v>
      </c>
      <c r="AN460" s="12" t="e">
        <f>bdrate(E460:E463,I460:I463,AC460:AC463,AG460:AG463)</f>
        <v>#VALUE!</v>
      </c>
      <c r="AO460" s="14" t="e">
        <f>bdrate(E460:E463,K460:K463,AC460:AC463,AI460:AI463)</f>
        <v>#VALUE!</v>
      </c>
      <c r="AP460" s="12">
        <f>bdrate(E462:E465,F462:F465,AC462:AC465,AD462:AD465)</f>
        <v>-0.13364078807090141</v>
      </c>
      <c r="AQ460" s="12">
        <f>bdrate(E462:E465,H462:H465,AC462:AC465,AF462:AF465)</f>
        <v>0</v>
      </c>
      <c r="AR460" s="12">
        <f>bdrate(E462:E465,I462:I465,AC462:AC465,AG462:AG465)</f>
        <v>0</v>
      </c>
      <c r="AS460" s="14">
        <f>bdrate(E462:E465,K462:K465,AC462:AC465,AI462:AI465)</f>
        <v>0</v>
      </c>
      <c r="AT460" s="7"/>
      <c r="BA460" s="1"/>
      <c r="BB460" s="1"/>
      <c r="BC460" s="1"/>
      <c r="BD460" s="13" t="e">
        <f>bdrate(E460:E463,F460:F463,AU460:AU463,AV460:AV463)</f>
        <v>#VALUE!</v>
      </c>
      <c r="BE460" s="12" t="e">
        <f>bdrate(E460:E463,H460:H463,AU460:AU463,AX460:AX463)</f>
        <v>#VALUE!</v>
      </c>
      <c r="BF460" s="12" t="e">
        <f>bdrate(E460:E463,I460:I463,AU460:AU463,AY460:AY463)</f>
        <v>#VALUE!</v>
      </c>
      <c r="BG460" s="14" t="e">
        <f>bdrate(E460:E463,K460:K463,AU460:AU463,BA460:BA463)</f>
        <v>#VALUE!</v>
      </c>
      <c r="BH460" s="12">
        <f>bdrate(E462:E465,F462:F465,AU462:AU465,AV462:AV465)</f>
        <v>0.69449311999244778</v>
      </c>
      <c r="BI460" s="12">
        <f>bdrate(E462:E465,H462:H465,AU462:AU465,AX462:AX465)</f>
        <v>0</v>
      </c>
      <c r="BJ460" s="12">
        <f>bdrate(E462:E465,I462:I465,AU462:AU465,AY462:AY465)</f>
        <v>0.35374284549879209</v>
      </c>
      <c r="BK460" s="14">
        <f>bdrate(E462:E465,K462:K465,AU462:AU465,BA462:BA465)</f>
        <v>0</v>
      </c>
    </row>
    <row r="461" spans="1:63">
      <c r="A461" s="49"/>
      <c r="B461" s="7" t="s">
        <v>18</v>
      </c>
      <c r="C461" s="17">
        <v>1</v>
      </c>
      <c r="D461" s="7">
        <v>37</v>
      </c>
      <c r="E461">
        <v>0.9180908203125</v>
      </c>
      <c r="F461">
        <v>28.282442039074599</v>
      </c>
      <c r="G461">
        <v>0.96041230937167998</v>
      </c>
      <c r="H461">
        <v>14.0243983233799</v>
      </c>
      <c r="I461">
        <v>31.634768909643501</v>
      </c>
      <c r="J461">
        <v>0.97080381659869996</v>
      </c>
      <c r="K461" s="8">
        <v>15.3467391691077</v>
      </c>
      <c r="L461" s="7">
        <v>34</v>
      </c>
      <c r="M461">
        <v>0.99806722005208304</v>
      </c>
      <c r="N461">
        <v>29.656067762732501</v>
      </c>
      <c r="O461">
        <v>0.97195161267902297</v>
      </c>
      <c r="P461">
        <v>15.520921040240401</v>
      </c>
      <c r="Q461">
        <v>33.113990425987602</v>
      </c>
      <c r="R461">
        <v>0.97898281048528002</v>
      </c>
      <c r="S461" s="1">
        <v>16.774253596614901</v>
      </c>
      <c r="T461" s="7"/>
      <c r="U461" s="1"/>
      <c r="V461" s="1"/>
      <c r="W461" s="8"/>
      <c r="X461" s="7"/>
      <c r="Y461" s="1"/>
      <c r="Z461" s="1"/>
      <c r="AA461" s="8"/>
      <c r="AB461" s="7">
        <v>64</v>
      </c>
      <c r="AC461">
        <v>1.8573201497395799</v>
      </c>
      <c r="AD461">
        <v>32.997342786840399</v>
      </c>
      <c r="AE461">
        <v>0.99126912572570702</v>
      </c>
      <c r="AF461">
        <v>20.589422656312198</v>
      </c>
      <c r="AG461">
        <v>36.271144829514398</v>
      </c>
      <c r="AH461">
        <v>0.99512680184445401</v>
      </c>
      <c r="AI461" s="1">
        <v>23.121859288382399</v>
      </c>
      <c r="AJ461" s="1">
        <v>9.1109793186187709</v>
      </c>
      <c r="AK461" s="1">
        <v>4.6192936897277797</v>
      </c>
      <c r="AL461" s="7"/>
      <c r="AM461" s="1"/>
      <c r="AN461" s="1"/>
      <c r="AO461" s="8"/>
      <c r="AP461" s="1"/>
      <c r="AQ461" s="1"/>
      <c r="AR461" s="1"/>
      <c r="AS461" s="8"/>
      <c r="AT461" s="7">
        <v>0.64</v>
      </c>
      <c r="AU461">
        <v>0.82737223307291596</v>
      </c>
      <c r="AV461">
        <v>24.729134500321798</v>
      </c>
      <c r="AW461">
        <v>0.98405052475495502</v>
      </c>
      <c r="AX461">
        <v>17.972536011290799</v>
      </c>
      <c r="AY461">
        <v>29.225194705172399</v>
      </c>
      <c r="AZ461">
        <v>0.98671142211690599</v>
      </c>
      <c r="BA461" s="1">
        <v>18.765214938933902</v>
      </c>
      <c r="BB461" s="1">
        <v>6.1636502742767298</v>
      </c>
      <c r="BC461" s="1">
        <v>4.0035755634307799</v>
      </c>
      <c r="BD461" s="7"/>
      <c r="BE461" s="1"/>
      <c r="BF461" s="1"/>
      <c r="BG461" s="8"/>
      <c r="BH461" s="1"/>
      <c r="BI461" s="1"/>
      <c r="BJ461" s="1"/>
      <c r="BK461" s="8"/>
    </row>
    <row r="462" spans="1:63">
      <c r="A462" s="49"/>
      <c r="B462" s="7" t="s">
        <v>18</v>
      </c>
      <c r="C462" s="17">
        <v>0.5</v>
      </c>
      <c r="D462" s="7">
        <v>41</v>
      </c>
      <c r="E462">
        <v>0.48116048177083298</v>
      </c>
      <c r="F462">
        <v>25.368810786531501</v>
      </c>
      <c r="G462">
        <v>0.91693573910477799</v>
      </c>
      <c r="H462">
        <v>10.8058579492346</v>
      </c>
      <c r="I462">
        <v>28.906983518824401</v>
      </c>
      <c r="J462">
        <v>0.92954678041023298</v>
      </c>
      <c r="K462" s="8">
        <v>11.520991555976201</v>
      </c>
      <c r="L462" s="7">
        <v>39</v>
      </c>
      <c r="M462">
        <v>0.47465006510416602</v>
      </c>
      <c r="N462">
        <v>26.027936410844099</v>
      </c>
      <c r="O462">
        <v>0.928394716815506</v>
      </c>
      <c r="P462">
        <v>11.4505493337335</v>
      </c>
      <c r="Q462">
        <v>29.764930897452899</v>
      </c>
      <c r="R462">
        <v>0.93758684338627196</v>
      </c>
      <c r="S462" s="1">
        <v>12.047238519447401</v>
      </c>
      <c r="T462" s="7"/>
      <c r="U462" s="1"/>
      <c r="V462" s="1"/>
      <c r="W462" s="8"/>
      <c r="X462" s="7"/>
      <c r="Y462" s="1"/>
      <c r="Z462" s="1"/>
      <c r="AA462" s="8"/>
      <c r="AB462" s="7">
        <v>32</v>
      </c>
      <c r="AC462">
        <v>1.4501749674479101</v>
      </c>
      <c r="AD462">
        <v>31.622863586639401</v>
      </c>
      <c r="AE462">
        <v>0.98692153894787504</v>
      </c>
      <c r="AF462">
        <v>18.8344335661507</v>
      </c>
      <c r="AG462">
        <v>35.034918991120897</v>
      </c>
      <c r="AH462">
        <v>0.99120690658824795</v>
      </c>
      <c r="AI462" s="1">
        <v>20.558583131727602</v>
      </c>
      <c r="AJ462" s="1">
        <v>16.39302444458</v>
      </c>
      <c r="AK462" s="1">
        <v>8.4093685150146396</v>
      </c>
      <c r="AL462" s="7"/>
      <c r="AM462" s="1"/>
      <c r="AN462" s="1"/>
      <c r="AO462" s="8"/>
      <c r="AP462" s="1"/>
      <c r="AQ462" s="1"/>
      <c r="AR462" s="1"/>
      <c r="AS462" s="8"/>
      <c r="AT462" s="7">
        <v>0.32</v>
      </c>
      <c r="AU462">
        <v>0.67604573567708304</v>
      </c>
      <c r="AV462">
        <v>24.367207506628301</v>
      </c>
      <c r="AW462">
        <v>0.98026125917406604</v>
      </c>
      <c r="AX462">
        <v>17.046805553031898</v>
      </c>
      <c r="AY462">
        <v>28.838954711838099</v>
      </c>
      <c r="AZ462">
        <v>0.98328641198638</v>
      </c>
      <c r="BA462" s="1">
        <v>17.769303073032699</v>
      </c>
      <c r="BB462" s="1">
        <v>6.6010675430297798</v>
      </c>
      <c r="BC462" s="1">
        <v>4.19079113006591</v>
      </c>
      <c r="BD462" s="7"/>
      <c r="BE462" s="1"/>
      <c r="BF462" s="1"/>
      <c r="BG462" s="8"/>
      <c r="BH462" s="1"/>
      <c r="BI462" s="1"/>
      <c r="BJ462" s="1"/>
      <c r="BK462" s="8"/>
    </row>
    <row r="463" spans="1:63">
      <c r="A463" s="49"/>
      <c r="B463" s="7" t="s">
        <v>18</v>
      </c>
      <c r="C463" s="17">
        <v>0.25</v>
      </c>
      <c r="D463" s="7">
        <v>45</v>
      </c>
      <c r="E463">
        <v>0.22757975260416599</v>
      </c>
      <c r="F463">
        <v>23.008705535170002</v>
      </c>
      <c r="G463">
        <v>0.85304751238417897</v>
      </c>
      <c r="H463">
        <v>8.3282305778000598</v>
      </c>
      <c r="I463">
        <v>26.7126421883505</v>
      </c>
      <c r="J463">
        <v>0.86400936291359698</v>
      </c>
      <c r="K463" s="8">
        <v>8.6649099164218697</v>
      </c>
      <c r="L463" s="7">
        <v>43</v>
      </c>
      <c r="M463">
        <v>0.23191324869791599</v>
      </c>
      <c r="N463">
        <v>23.635444311449099</v>
      </c>
      <c r="O463">
        <v>0.86781349098971095</v>
      </c>
      <c r="P463">
        <v>8.7881286679716908</v>
      </c>
      <c r="Q463">
        <v>27.573604975292199</v>
      </c>
      <c r="R463">
        <v>0.87589646443816005</v>
      </c>
      <c r="S463" s="1">
        <v>9.0621584579276799</v>
      </c>
      <c r="T463" s="7"/>
      <c r="U463" s="1"/>
      <c r="V463" s="1"/>
      <c r="W463" s="8"/>
      <c r="X463" s="7"/>
      <c r="Y463" s="1"/>
      <c r="Z463" s="1"/>
      <c r="AA463" s="8"/>
      <c r="AB463" s="7">
        <v>16</v>
      </c>
      <c r="AC463">
        <v>1.02862548828125</v>
      </c>
      <c r="AD463">
        <v>29.5796234462664</v>
      </c>
      <c r="AE463">
        <v>0.97672127384510798</v>
      </c>
      <c r="AF463">
        <v>16.330407885856101</v>
      </c>
      <c r="AG463">
        <v>33.211570009684898</v>
      </c>
      <c r="AH463">
        <v>0.98205409726188597</v>
      </c>
      <c r="AI463" s="1">
        <v>17.460346903360101</v>
      </c>
      <c r="AJ463" s="1">
        <v>7.0457015037536603</v>
      </c>
      <c r="AK463" s="1">
        <v>3.9113454818725502</v>
      </c>
      <c r="AL463" s="7"/>
      <c r="AM463" s="1"/>
      <c r="AN463" s="1"/>
      <c r="AO463" s="8"/>
      <c r="AP463" s="1"/>
      <c r="AQ463" s="1"/>
      <c r="AR463" s="1"/>
      <c r="AS463" s="8"/>
      <c r="AT463" s="7">
        <v>0.16</v>
      </c>
      <c r="AU463">
        <v>0.52463785807291596</v>
      </c>
      <c r="AV463">
        <v>23.780433498074601</v>
      </c>
      <c r="AW463">
        <v>0.97257808982661997</v>
      </c>
      <c r="AX463">
        <v>15.619022961233</v>
      </c>
      <c r="AY463">
        <v>28.188426446442399</v>
      </c>
      <c r="AZ463">
        <v>0.97635978706876803</v>
      </c>
      <c r="BA463" s="1">
        <v>16.2634861601233</v>
      </c>
      <c r="BB463" s="1">
        <v>5.96136426925659</v>
      </c>
      <c r="BC463" s="1">
        <v>3.72154688835144</v>
      </c>
      <c r="BD463" s="7"/>
      <c r="BE463" s="1"/>
      <c r="BF463" s="1"/>
      <c r="BG463" s="8"/>
      <c r="BH463" s="1"/>
      <c r="BI463" s="1"/>
      <c r="BJ463" s="1"/>
      <c r="BK463" s="8"/>
    </row>
    <row r="464" spans="1:63">
      <c r="A464" s="49"/>
      <c r="B464" s="7" t="s">
        <v>18</v>
      </c>
      <c r="C464" s="17">
        <v>0.12</v>
      </c>
      <c r="D464" s="7">
        <v>48</v>
      </c>
      <c r="E464">
        <v>0.11883544921875</v>
      </c>
      <c r="F464">
        <v>21.537024402349498</v>
      </c>
      <c r="G464">
        <v>0.79190493479558899</v>
      </c>
      <c r="H464">
        <v>6.8173821858657204</v>
      </c>
      <c r="I464">
        <v>25.403039421635299</v>
      </c>
      <c r="J464">
        <v>0.80073736833977605</v>
      </c>
      <c r="K464" s="8">
        <v>7.00574138255819</v>
      </c>
      <c r="L464" s="7">
        <v>47</v>
      </c>
      <c r="M464">
        <v>0.1029052734375</v>
      </c>
      <c r="N464">
        <v>21.641769343581299</v>
      </c>
      <c r="O464">
        <v>0.79221061509916302</v>
      </c>
      <c r="P464">
        <v>6.8237664251870802</v>
      </c>
      <c r="Q464">
        <v>25.6977897359351</v>
      </c>
      <c r="R464">
        <v>0.79821835872818203</v>
      </c>
      <c r="S464" s="1">
        <v>6.95118349779196</v>
      </c>
      <c r="T464" s="7"/>
      <c r="U464" s="1"/>
      <c r="V464" s="1"/>
      <c r="W464" s="8"/>
      <c r="X464" s="7"/>
      <c r="Y464" s="1"/>
      <c r="Z464" s="1"/>
      <c r="AA464" s="8"/>
      <c r="AB464" s="7">
        <v>8</v>
      </c>
      <c r="AC464">
        <v>0.66900634765625</v>
      </c>
      <c r="AD464">
        <v>27.348762592304801</v>
      </c>
      <c r="AE464">
        <v>0.95634825461580297</v>
      </c>
      <c r="AF464">
        <v>13.5999838665323</v>
      </c>
      <c r="AG464">
        <v>31.2796021437488</v>
      </c>
      <c r="AH464">
        <v>0.96293568793104101</v>
      </c>
      <c r="AI464" s="1">
        <v>14.3104405617701</v>
      </c>
      <c r="AJ464" s="1">
        <v>6.4038088321685702</v>
      </c>
      <c r="AK464" s="1">
        <v>3.7611703872680602</v>
      </c>
      <c r="AL464" s="7"/>
      <c r="AM464" s="1"/>
      <c r="AN464" s="1"/>
      <c r="AO464" s="8"/>
      <c r="AP464" s="1"/>
      <c r="AQ464" s="1"/>
      <c r="AR464" s="1"/>
      <c r="AS464" s="8"/>
      <c r="AT464" s="7">
        <v>0.08</v>
      </c>
      <c r="AU464">
        <v>0.37506103515625</v>
      </c>
      <c r="AV464">
        <v>22.9811906537591</v>
      </c>
      <c r="AW464">
        <v>0.957365516649473</v>
      </c>
      <c r="AX464">
        <v>13.7023899547826</v>
      </c>
      <c r="AY464">
        <v>27.225553105561701</v>
      </c>
      <c r="AZ464">
        <v>0.96242848241284495</v>
      </c>
      <c r="BA464" s="1">
        <v>14.251412625779199</v>
      </c>
      <c r="BB464" s="1">
        <v>6.3903770446777299</v>
      </c>
      <c r="BC464" s="1">
        <v>4.0070376396179199</v>
      </c>
      <c r="BD464" s="7"/>
      <c r="BE464" s="1"/>
      <c r="BF464" s="1"/>
      <c r="BG464" s="8"/>
      <c r="BH464" s="1"/>
      <c r="BI464" s="1"/>
      <c r="BJ464" s="1"/>
      <c r="BK464" s="8"/>
    </row>
    <row r="465" spans="1:63">
      <c r="A465" s="49"/>
      <c r="B465" s="7" t="s">
        <v>18</v>
      </c>
      <c r="C465" s="17">
        <v>0.06</v>
      </c>
      <c r="D465" s="7">
        <v>51</v>
      </c>
      <c r="E465">
        <v>5.8146158854166602E-2</v>
      </c>
      <c r="F465">
        <v>20.305484275403501</v>
      </c>
      <c r="G465">
        <v>0.71922255957757597</v>
      </c>
      <c r="H465">
        <v>5.5163778932586496</v>
      </c>
      <c r="I465">
        <v>24.254871355246799</v>
      </c>
      <c r="J465">
        <v>0.72379618788169897</v>
      </c>
      <c r="K465" s="8">
        <v>5.5877033165703498</v>
      </c>
      <c r="L465" s="7">
        <v>50</v>
      </c>
      <c r="M465">
        <v>4.96826171875E-2</v>
      </c>
      <c r="N465">
        <v>20.350617994462301</v>
      </c>
      <c r="O465">
        <v>0.71215396458095603</v>
      </c>
      <c r="P465">
        <v>5.4083974782249902</v>
      </c>
      <c r="Q465">
        <v>24.446343445437002</v>
      </c>
      <c r="R465">
        <v>0.71392616167711298</v>
      </c>
      <c r="S465" s="1">
        <v>5.4352185695013002</v>
      </c>
      <c r="T465" s="7"/>
      <c r="U465" s="1"/>
      <c r="V465" s="1"/>
      <c r="W465" s="8"/>
      <c r="X465" s="7"/>
      <c r="Y465" s="1"/>
      <c r="Z465" s="1"/>
      <c r="AA465" s="8"/>
      <c r="AB465" s="7">
        <v>4</v>
      </c>
      <c r="AC465">
        <v>0.41375732421875</v>
      </c>
      <c r="AD465">
        <v>25.3390873982366</v>
      </c>
      <c r="AE465">
        <v>0.92408929572501097</v>
      </c>
      <c r="AF465">
        <v>11.196969793116599</v>
      </c>
      <c r="AG465">
        <v>29.4715278693585</v>
      </c>
      <c r="AH465">
        <v>0.93126718559527399</v>
      </c>
      <c r="AI465" s="1">
        <v>11.6283587265696</v>
      </c>
      <c r="AJ465" s="1">
        <v>6.4555997848510698</v>
      </c>
      <c r="AK465" s="1">
        <v>4.2649948596954301</v>
      </c>
      <c r="AL465" s="7"/>
      <c r="AM465" s="1"/>
      <c r="AN465" s="1"/>
      <c r="AO465" s="8"/>
      <c r="AP465" s="1"/>
      <c r="AQ465" s="1"/>
      <c r="AR465" s="1"/>
      <c r="AS465" s="8"/>
      <c r="AT465" s="7">
        <v>0.04</v>
      </c>
      <c r="AU465">
        <v>0.24700927734375</v>
      </c>
      <c r="AV465">
        <v>22.102063006895701</v>
      </c>
      <c r="AW465">
        <v>0.930202432860878</v>
      </c>
      <c r="AX465">
        <v>11.5615971486205</v>
      </c>
      <c r="AY465">
        <v>26.155651850342601</v>
      </c>
      <c r="AZ465">
        <v>0.93672450875073199</v>
      </c>
      <c r="BA465" s="1">
        <v>11.9876447444283</v>
      </c>
      <c r="BB465" s="1">
        <v>6.3043901920318604</v>
      </c>
      <c r="BC465" s="1">
        <v>4.4632875919341997</v>
      </c>
      <c r="BD465" s="7"/>
      <c r="BE465" s="1"/>
      <c r="BF465" s="1"/>
      <c r="BG465" s="8"/>
      <c r="BH465" s="1"/>
      <c r="BI465" s="1"/>
      <c r="BJ465" s="1"/>
      <c r="BK465" s="8"/>
    </row>
    <row r="466" spans="1:63">
      <c r="A466" s="49"/>
      <c r="B466" s="7" t="s">
        <v>99</v>
      </c>
      <c r="C466" s="17">
        <v>1.5</v>
      </c>
      <c r="D466" s="7">
        <v>29</v>
      </c>
      <c r="E466">
        <v>1.3580118815104101</v>
      </c>
      <c r="F466">
        <v>35.713075068775503</v>
      </c>
      <c r="G466">
        <v>0.98900625873831105</v>
      </c>
      <c r="H466">
        <v>19.588544883947701</v>
      </c>
      <c r="I466">
        <v>38.797404570503197</v>
      </c>
      <c r="J466">
        <v>0.99243728524589103</v>
      </c>
      <c r="K466" s="8">
        <v>21.213222797510401</v>
      </c>
      <c r="L466" s="7">
        <v>26</v>
      </c>
      <c r="M466">
        <v>1.3766886393229101</v>
      </c>
      <c r="N466">
        <v>37.071093702385603</v>
      </c>
      <c r="O466">
        <v>0.99179806409061999</v>
      </c>
      <c r="P466">
        <v>20.860836286490699</v>
      </c>
      <c r="Q466">
        <v>40.235632770475704</v>
      </c>
      <c r="R466">
        <v>0.99434894905617699</v>
      </c>
      <c r="S466" s="1">
        <v>22.478707775505899</v>
      </c>
      <c r="T466" s="13">
        <f>bdrate(E466:E469,F466:F469,M466:M469,N466:N469)</f>
        <v>-0.20325757475342154</v>
      </c>
      <c r="U466" s="12">
        <f>bdrate(E466:E469,H466:H469,M466:M469,P466:P469)</f>
        <v>-0.1704417695758994</v>
      </c>
      <c r="V466" s="12">
        <f>bdrate(E466:E469,I466:I469,M466:M469,Q466:Q469)</f>
        <v>-0.22536243928614241</v>
      </c>
      <c r="W466" s="14">
        <f>bdrate(E466:E469,K466:K469,M466:M469,S466:S469)</f>
        <v>-0.14153563792211321</v>
      </c>
      <c r="X466" s="13">
        <f>bdrate(E468:E471,F468:F471,M468:M471,N468:N471)</f>
        <v>-0.23274267709447416</v>
      </c>
      <c r="Y466" s="12">
        <f>bdrate(E468:E471,H468:H471,M468:M471,P468:P471)</f>
        <v>-0.17324306615849216</v>
      </c>
      <c r="Z466" s="12">
        <f>bdrate(E468:E471,I468:I471,M468:M471,Q468:Q471)</f>
        <v>-0.26766069622994126</v>
      </c>
      <c r="AA466" s="14">
        <f>bdrate(E468:E471,K468:K471,M468:M471,S468:S471)</f>
        <v>-0.14895782925820567</v>
      </c>
      <c r="AB466" s="7"/>
      <c r="AI466" s="1"/>
      <c r="AJ466" s="1"/>
      <c r="AK466" s="1"/>
      <c r="AL466" s="13" t="e">
        <f>bdrate(E466:E469,F466:F469,AC466:AC469,AD466:AD469)</f>
        <v>#VALUE!</v>
      </c>
      <c r="AM466" s="12" t="e">
        <f>bdrate(E466:E469,H466:H469,AC466:AC469,AF466:AF469)</f>
        <v>#VALUE!</v>
      </c>
      <c r="AN466" s="12" t="e">
        <f>bdrate(E466:E469,I466:I469,AC466:AC469,AG466:AG469)</f>
        <v>#VALUE!</v>
      </c>
      <c r="AO466" s="14" t="e">
        <f>bdrate(E466:E469,K466:K469,AC466:AC469,AI466:AI469)</f>
        <v>#VALUE!</v>
      </c>
      <c r="AP466" s="12">
        <f>bdrate(E468:E471,F468:F471,AC468:AC471,AD468:AD471)</f>
        <v>-0.22843719690996456</v>
      </c>
      <c r="AQ466" s="12">
        <f>bdrate(E468:E471,H468:H471,AC468:AC471,AF468:AF471)</f>
        <v>-0.22994433269115999</v>
      </c>
      <c r="AR466" s="12">
        <f>bdrate(E468:E471,I468:I471,AC468:AC471,AG468:AG471)</f>
        <v>-0.29728423361983425</v>
      </c>
      <c r="AS466" s="14">
        <f>bdrate(E468:E471,K468:K471,AC468:AC471,AI468:AI471)</f>
        <v>-0.18263627157132667</v>
      </c>
      <c r="AT466" s="7"/>
      <c r="BA466" s="1"/>
      <c r="BB466" s="1"/>
      <c r="BC466" s="1"/>
      <c r="BD466" s="13" t="e">
        <f>bdrate(E466:E469,F466:F469,AU466:AU469,AV466:AV469)</f>
        <v>#VALUE!</v>
      </c>
      <c r="BE466" s="12" t="e">
        <f>bdrate(E466:E469,H466:H469,AU466:AU469,AX466:AX469)</f>
        <v>#VALUE!</v>
      </c>
      <c r="BF466" s="12" t="e">
        <f>bdrate(E466:E469,I466:I469,AU466:AU469,AY466:AY469)</f>
        <v>#VALUE!</v>
      </c>
      <c r="BG466" s="14" t="e">
        <f>bdrate(E466:E469,K466:K469,AU466:AU469,BA466:BA469)</f>
        <v>#VALUE!</v>
      </c>
      <c r="BH466" s="12">
        <f>bdrate(E468:E471,F468:F471,AU468:AU471,AV468:AV471)</f>
        <v>0.26686825840699879</v>
      </c>
      <c r="BI466" s="12">
        <f>bdrate(E468:E471,H468:H471,AU468:AU471,AX468:AX471)</f>
        <v>-0.49830164210327343</v>
      </c>
      <c r="BJ466" s="12">
        <f>bdrate(E468:E471,I468:I471,AU468:AU471,AY468:AY471)</f>
        <v>0.23395973517257596</v>
      </c>
      <c r="BK466" s="14">
        <f>bdrate(E468:E471,K468:K471,AU468:AU471,BA468:BA471)</f>
        <v>-0.47156610910578745</v>
      </c>
    </row>
    <row r="467" spans="1:63">
      <c r="A467" s="49"/>
      <c r="B467" s="7" t="s">
        <v>18</v>
      </c>
      <c r="C467" s="17">
        <v>1</v>
      </c>
      <c r="D467" s="7">
        <v>32</v>
      </c>
      <c r="E467">
        <v>0.9503173828125</v>
      </c>
      <c r="F467">
        <v>33.4449752707771</v>
      </c>
      <c r="G467">
        <v>0.98139541249876805</v>
      </c>
      <c r="H467">
        <v>17.303799546628699</v>
      </c>
      <c r="I467">
        <v>36.544371732117902</v>
      </c>
      <c r="J467">
        <v>0.98615218297056795</v>
      </c>
      <c r="K467" s="8">
        <v>18.5861868340772</v>
      </c>
      <c r="L467" s="7">
        <v>29</v>
      </c>
      <c r="M467">
        <v>0.98647054036458304</v>
      </c>
      <c r="N467">
        <v>34.8742148529819</v>
      </c>
      <c r="O467">
        <v>0.98639246596315999</v>
      </c>
      <c r="P467">
        <v>18.662205706986999</v>
      </c>
      <c r="Q467">
        <v>38.051676747347301</v>
      </c>
      <c r="R467">
        <v>0.98973890559450395</v>
      </c>
      <c r="S467" s="1">
        <v>19.888063167173499</v>
      </c>
      <c r="T467" s="7"/>
      <c r="U467" s="1"/>
      <c r="V467" s="1"/>
      <c r="W467" s="8"/>
      <c r="X467" s="7"/>
      <c r="Y467" s="1"/>
      <c r="Z467" s="1"/>
      <c r="AA467" s="8"/>
      <c r="AB467" s="7">
        <v>64</v>
      </c>
      <c r="AC467">
        <v>1.1702677408854101</v>
      </c>
      <c r="AD467">
        <v>35.9892889915835</v>
      </c>
      <c r="AE467">
        <v>0.99096277013491496</v>
      </c>
      <c r="AF467">
        <v>20.439646711476701</v>
      </c>
      <c r="AG467">
        <v>39.086024107142698</v>
      </c>
      <c r="AH467">
        <v>0.99357327342972601</v>
      </c>
      <c r="AI467" s="1">
        <v>21.920101770691101</v>
      </c>
      <c r="AJ467" s="1">
        <v>8.3857848644256592</v>
      </c>
      <c r="AK467" s="1">
        <v>4.1881470680236799</v>
      </c>
      <c r="AL467" s="7"/>
      <c r="AM467" s="1"/>
      <c r="AN467" s="1"/>
      <c r="AO467" s="8"/>
      <c r="AP467" s="1"/>
      <c r="AQ467" s="1"/>
      <c r="AR467" s="1"/>
      <c r="AS467" s="8"/>
      <c r="AT467" s="7">
        <v>0.64</v>
      </c>
      <c r="AU467">
        <v>0.73561604817708304</v>
      </c>
      <c r="AV467">
        <v>29.945692758270599</v>
      </c>
      <c r="AW467">
        <v>0.990197422569562</v>
      </c>
      <c r="AX467">
        <v>20.086597185274801</v>
      </c>
      <c r="AY467">
        <v>33.407725163913703</v>
      </c>
      <c r="AZ467">
        <v>0.99183868337287795</v>
      </c>
      <c r="BA467" s="1">
        <v>20.882397728922001</v>
      </c>
      <c r="BB467" s="1">
        <v>5.8287167549133301</v>
      </c>
      <c r="BC467" s="1">
        <v>3.7905251979827801</v>
      </c>
      <c r="BD467" s="7"/>
      <c r="BE467" s="1"/>
      <c r="BF467" s="1"/>
      <c r="BG467" s="8"/>
      <c r="BH467" s="1"/>
      <c r="BI467" s="1"/>
      <c r="BJ467" s="1"/>
      <c r="BK467" s="8"/>
    </row>
    <row r="468" spans="1:63">
      <c r="A468" s="49"/>
      <c r="B468" s="7" t="s">
        <v>18</v>
      </c>
      <c r="C468" s="17">
        <v>0.5</v>
      </c>
      <c r="D468" s="7">
        <v>37</v>
      </c>
      <c r="E468">
        <v>0.47841389973958298</v>
      </c>
      <c r="F468">
        <v>29.921249022227201</v>
      </c>
      <c r="G468">
        <v>0.95704884360269504</v>
      </c>
      <c r="H468">
        <v>13.670251389291799</v>
      </c>
      <c r="I468">
        <v>33.067460105449101</v>
      </c>
      <c r="J468">
        <v>0.96477472328785496</v>
      </c>
      <c r="K468" s="8">
        <v>14.531455866050999</v>
      </c>
      <c r="L468" s="7">
        <v>35</v>
      </c>
      <c r="M468">
        <v>0.44991048177083298</v>
      </c>
      <c r="N468">
        <v>30.748240718598499</v>
      </c>
      <c r="O468">
        <v>0.96269110136518299</v>
      </c>
      <c r="P468">
        <v>14.281875712186601</v>
      </c>
      <c r="Q468">
        <v>34.043054899413299</v>
      </c>
      <c r="R468">
        <v>0.96851533818142499</v>
      </c>
      <c r="S468" s="1">
        <v>15.0190096715835</v>
      </c>
      <c r="T468" s="7"/>
      <c r="U468" s="1"/>
      <c r="V468" s="1"/>
      <c r="W468" s="8"/>
      <c r="X468" s="7"/>
      <c r="Y468" s="1"/>
      <c r="Z468" s="1"/>
      <c r="AA468" s="8"/>
      <c r="AB468" s="7">
        <v>32</v>
      </c>
      <c r="AC468">
        <v>0.83083089192708304</v>
      </c>
      <c r="AD468">
        <v>33.9256306384545</v>
      </c>
      <c r="AE468">
        <v>0.98460611141292298</v>
      </c>
      <c r="AF468">
        <v>18.126516609617301</v>
      </c>
      <c r="AG468">
        <v>37.099056573519199</v>
      </c>
      <c r="AH468">
        <v>0.98802444580665405</v>
      </c>
      <c r="AI468" s="1">
        <v>19.2170437957998</v>
      </c>
      <c r="AJ468" s="1">
        <v>12.1211223602294</v>
      </c>
      <c r="AK468" s="1">
        <v>7.56028151512146</v>
      </c>
      <c r="AL468" s="7"/>
      <c r="AM468" s="1"/>
      <c r="AN468" s="1"/>
      <c r="AO468" s="8"/>
      <c r="AP468" s="1"/>
      <c r="AQ468" s="1"/>
      <c r="AR468" s="1"/>
      <c r="AS468" s="8"/>
      <c r="AT468" s="7">
        <v>0.32</v>
      </c>
      <c r="AU468">
        <v>0.58042399088541596</v>
      </c>
      <c r="AV468">
        <v>29.357881571932101</v>
      </c>
      <c r="AW468">
        <v>0.986325432151819</v>
      </c>
      <c r="AX468">
        <v>18.640863896099699</v>
      </c>
      <c r="AY468">
        <v>32.767504937159003</v>
      </c>
      <c r="AZ468">
        <v>0.98844274423456002</v>
      </c>
      <c r="BA468" s="1">
        <v>19.3714527555308</v>
      </c>
      <c r="BB468" s="1">
        <v>6.7672059535980198</v>
      </c>
      <c r="BC468" s="1">
        <v>4.40075588226318</v>
      </c>
      <c r="BD468" s="7"/>
      <c r="BE468" s="1"/>
      <c r="BF468" s="1"/>
      <c r="BG468" s="8"/>
      <c r="BH468" s="1"/>
      <c r="BI468" s="1"/>
      <c r="BJ468" s="1"/>
      <c r="BK468" s="8"/>
    </row>
    <row r="469" spans="1:63">
      <c r="A469" s="49"/>
      <c r="B469" s="7" t="s">
        <v>18</v>
      </c>
      <c r="C469" s="17">
        <v>0.25</v>
      </c>
      <c r="D469" s="7">
        <v>42</v>
      </c>
      <c r="E469">
        <v>0.21659342447916599</v>
      </c>
      <c r="F469">
        <v>26.947578395351702</v>
      </c>
      <c r="G469">
        <v>0.90758233924980503</v>
      </c>
      <c r="H469">
        <v>10.3424502841782</v>
      </c>
      <c r="I469">
        <v>30.1031394972774</v>
      </c>
      <c r="J469">
        <v>0.91989741130857405</v>
      </c>
      <c r="K469" s="8">
        <v>10.963534485070801</v>
      </c>
      <c r="L469" s="7">
        <v>39</v>
      </c>
      <c r="M469">
        <v>0.24684651692708301</v>
      </c>
      <c r="N469">
        <v>28.3251459533946</v>
      </c>
      <c r="O469">
        <v>0.93048134400795501</v>
      </c>
      <c r="P469">
        <v>11.578986327170499</v>
      </c>
      <c r="Q469">
        <v>31.6581726352807</v>
      </c>
      <c r="R469">
        <v>0.93901254585799199</v>
      </c>
      <c r="S469" s="1">
        <v>12.147594954364401</v>
      </c>
      <c r="T469" s="7"/>
      <c r="U469" s="1"/>
      <c r="V469" s="1"/>
      <c r="W469" s="8"/>
      <c r="X469" s="7"/>
      <c r="Y469" s="1"/>
      <c r="Z469" s="1"/>
      <c r="AA469" s="8"/>
      <c r="AB469" s="7">
        <v>16</v>
      </c>
      <c r="AC469">
        <v>0.54722086588541596</v>
      </c>
      <c r="AD469">
        <v>31.698221268186899</v>
      </c>
      <c r="AE469">
        <v>0.97287851044888396</v>
      </c>
      <c r="AF469">
        <v>15.666864620739499</v>
      </c>
      <c r="AG469">
        <v>35.022067002146301</v>
      </c>
      <c r="AH469">
        <v>0.97728670123808203</v>
      </c>
      <c r="AI469" s="1">
        <v>16.437197865174401</v>
      </c>
      <c r="AJ469" s="1">
        <v>6.3554139137268004</v>
      </c>
      <c r="AK469" s="1">
        <v>3.87015652656555</v>
      </c>
      <c r="AL469" s="7"/>
      <c r="AM469" s="1"/>
      <c r="AN469" s="1"/>
      <c r="AO469" s="8"/>
      <c r="AP469" s="1"/>
      <c r="AQ469" s="1"/>
      <c r="AR469" s="1"/>
      <c r="AS469" s="8"/>
      <c r="AT469" s="7">
        <v>0.16</v>
      </c>
      <c r="AU469">
        <v>0.42258707682291602</v>
      </c>
      <c r="AV469">
        <v>28.354117615678199</v>
      </c>
      <c r="AW469">
        <v>0.97858561833298396</v>
      </c>
      <c r="AX469">
        <v>16.6929446119176</v>
      </c>
      <c r="AY469">
        <v>31.681204728428099</v>
      </c>
      <c r="AZ469">
        <v>0.981561695124478</v>
      </c>
      <c r="BA469" s="1">
        <v>17.342790082849099</v>
      </c>
      <c r="BB469" s="1">
        <v>6.6219048500061</v>
      </c>
      <c r="BC469" s="1">
        <v>3.78648710250854</v>
      </c>
      <c r="BD469" s="7"/>
      <c r="BE469" s="1"/>
      <c r="BF469" s="1"/>
      <c r="BG469" s="8"/>
      <c r="BH469" s="1"/>
      <c r="BI469" s="1"/>
      <c r="BJ469" s="1"/>
      <c r="BK469" s="8"/>
    </row>
    <row r="470" spans="1:63">
      <c r="A470" s="49"/>
      <c r="B470" s="7" t="s">
        <v>18</v>
      </c>
      <c r="C470" s="17">
        <v>0.12</v>
      </c>
      <c r="D470" s="7">
        <v>46</v>
      </c>
      <c r="E470">
        <v>0.11212158203125</v>
      </c>
      <c r="F470">
        <v>24.967119491520901</v>
      </c>
      <c r="G470">
        <v>0.851162698594779</v>
      </c>
      <c r="H470">
        <v>8.2728821284726699</v>
      </c>
      <c r="I470">
        <v>28.079502999850199</v>
      </c>
      <c r="J470">
        <v>0.86831814967125898</v>
      </c>
      <c r="K470" s="8">
        <v>8.8047407959599298</v>
      </c>
      <c r="L470" s="7">
        <v>44</v>
      </c>
      <c r="M470">
        <v>0.112141927083333</v>
      </c>
      <c r="N470">
        <v>25.736910567245101</v>
      </c>
      <c r="O470">
        <v>0.86882706733884096</v>
      </c>
      <c r="P470">
        <v>8.8215577173359598</v>
      </c>
      <c r="Q470">
        <v>29.020815700171401</v>
      </c>
      <c r="R470">
        <v>0.88248325235704805</v>
      </c>
      <c r="S470" s="1">
        <v>9.2990023645082101</v>
      </c>
      <c r="T470" s="7"/>
      <c r="U470" s="1"/>
      <c r="V470" s="1"/>
      <c r="W470" s="8"/>
      <c r="X470" s="7"/>
      <c r="Y470" s="1"/>
      <c r="Z470" s="1"/>
      <c r="AA470" s="8"/>
      <c r="AB470" s="7">
        <v>8</v>
      </c>
      <c r="AC470">
        <v>0.34914143880208298</v>
      </c>
      <c r="AD470">
        <v>29.688393969271502</v>
      </c>
      <c r="AE470">
        <v>0.95494364040848601</v>
      </c>
      <c r="AF470">
        <v>13.4624390078764</v>
      </c>
      <c r="AG470">
        <v>33.175746063439597</v>
      </c>
      <c r="AH470">
        <v>0.95995869113185095</v>
      </c>
      <c r="AI470" s="1">
        <v>13.9749173476604</v>
      </c>
      <c r="AJ470" s="1">
        <v>6.9594151973724303</v>
      </c>
      <c r="AK470" s="1">
        <v>4.17288947105407</v>
      </c>
      <c r="AL470" s="7"/>
      <c r="AM470" s="1"/>
      <c r="AN470" s="1"/>
      <c r="AO470" s="8"/>
      <c r="AP470" s="1"/>
      <c r="AQ470" s="1"/>
      <c r="AR470" s="1"/>
      <c r="AS470" s="8"/>
      <c r="AT470" s="7">
        <v>0.08</v>
      </c>
      <c r="AU470">
        <v>0.28688557942708298</v>
      </c>
      <c r="AV470">
        <v>27.207502631768399</v>
      </c>
      <c r="AW470">
        <v>0.96470891303330297</v>
      </c>
      <c r="AX470">
        <v>14.523349651489999</v>
      </c>
      <c r="AY470">
        <v>30.425380193287001</v>
      </c>
      <c r="AZ470">
        <v>0.96930304961334102</v>
      </c>
      <c r="BA470" s="1">
        <v>15.129047677160401</v>
      </c>
      <c r="BB470" s="1">
        <v>6.0124733448028502</v>
      </c>
      <c r="BC470" s="1">
        <v>3.9994213581085201</v>
      </c>
      <c r="BD470" s="7"/>
      <c r="BE470" s="1"/>
      <c r="BF470" s="1"/>
      <c r="BG470" s="8"/>
      <c r="BH470" s="1"/>
      <c r="BI470" s="1"/>
      <c r="BJ470" s="1"/>
      <c r="BK470" s="8"/>
    </row>
    <row r="471" spans="1:63">
      <c r="A471" s="49"/>
      <c r="B471" s="7" t="s">
        <v>18</v>
      </c>
      <c r="C471" s="17">
        <v>0.06</v>
      </c>
      <c r="D471" s="7">
        <v>50</v>
      </c>
      <c r="E471">
        <v>5.5562337239583301E-2</v>
      </c>
      <c r="F471">
        <v>23.219570837801101</v>
      </c>
      <c r="G471">
        <v>0.77496871771237996</v>
      </c>
      <c r="H471">
        <v>6.4775710508617399</v>
      </c>
      <c r="I471">
        <v>26.2443922873925</v>
      </c>
      <c r="J471">
        <v>0.79886623870374995</v>
      </c>
      <c r="K471" s="8">
        <v>6.9651502480842504</v>
      </c>
      <c r="L471" s="7">
        <v>48</v>
      </c>
      <c r="M471">
        <v>5.8573404947916602E-2</v>
      </c>
      <c r="N471">
        <v>23.948730185050199</v>
      </c>
      <c r="O471">
        <v>0.80018831832023796</v>
      </c>
      <c r="P471">
        <v>6.9937912501516202</v>
      </c>
      <c r="Q471">
        <v>27.1226063325933</v>
      </c>
      <c r="R471">
        <v>0.81750240250079098</v>
      </c>
      <c r="S471" s="1">
        <v>7.3874284846616103</v>
      </c>
      <c r="T471" s="7"/>
      <c r="U471" s="1"/>
      <c r="V471" s="1"/>
      <c r="W471" s="8"/>
      <c r="X471" s="7"/>
      <c r="Y471" s="1"/>
      <c r="Z471" s="1"/>
      <c r="AA471" s="8"/>
      <c r="AB471" s="7">
        <v>4</v>
      </c>
      <c r="AC471">
        <v>0.22768147786458301</v>
      </c>
      <c r="AD471">
        <v>27.994505729860101</v>
      </c>
      <c r="AE471">
        <v>0.92708813558570102</v>
      </c>
      <c r="AF471">
        <v>11.372017963677299</v>
      </c>
      <c r="AG471">
        <v>31.542900120787099</v>
      </c>
      <c r="AH471">
        <v>0.93430785057081001</v>
      </c>
      <c r="AI471" s="1">
        <v>11.824865279029099</v>
      </c>
      <c r="AJ471" s="1">
        <v>6.38258457183837</v>
      </c>
      <c r="AK471" s="1">
        <v>4.0782527923583896</v>
      </c>
      <c r="AL471" s="7"/>
      <c r="AM471" s="1"/>
      <c r="AN471" s="1"/>
      <c r="AO471" s="8"/>
      <c r="AP471" s="1"/>
      <c r="AQ471" s="1"/>
      <c r="AR471" s="1"/>
      <c r="AS471" s="8"/>
      <c r="AT471" s="7">
        <v>0.04</v>
      </c>
      <c r="AU471">
        <v>0.19073486328125</v>
      </c>
      <c r="AV471">
        <v>25.9378037698079</v>
      </c>
      <c r="AW471">
        <v>0.94477758478785101</v>
      </c>
      <c r="AX471">
        <v>12.578846029417599</v>
      </c>
      <c r="AY471">
        <v>29.020442554777802</v>
      </c>
      <c r="AZ471">
        <v>0.95110734315040002</v>
      </c>
      <c r="BA471" s="1">
        <v>13.107563623318001</v>
      </c>
      <c r="BB471" s="1">
        <v>6.1067409515380797</v>
      </c>
      <c r="BC471" s="1">
        <v>4.4225087165832502</v>
      </c>
      <c r="BD471" s="7"/>
      <c r="BE471" s="1"/>
      <c r="BF471" s="1"/>
      <c r="BG471" s="8"/>
      <c r="BH471" s="1"/>
      <c r="BI471" s="1"/>
      <c r="BJ471" s="1"/>
      <c r="BK471" s="8"/>
    </row>
    <row r="472" spans="1:63">
      <c r="A472" s="49"/>
      <c r="B472" s="7" t="s">
        <v>100</v>
      </c>
      <c r="C472" s="17">
        <v>1.5</v>
      </c>
      <c r="D472" s="7">
        <v>22</v>
      </c>
      <c r="E472">
        <v>1.4704996744791601</v>
      </c>
      <c r="F472">
        <v>41.854692175571799</v>
      </c>
      <c r="G472">
        <v>0.99373733519494001</v>
      </c>
      <c r="H472">
        <v>22.0324083230451</v>
      </c>
      <c r="I472">
        <v>45.1691997151948</v>
      </c>
      <c r="J472">
        <v>0.99660613827219802</v>
      </c>
      <c r="K472" s="8">
        <v>24.693058556176901</v>
      </c>
      <c r="L472" s="7">
        <v>19</v>
      </c>
      <c r="M472">
        <v>1.4935506184895799</v>
      </c>
      <c r="N472">
        <v>42.688053668385301</v>
      </c>
      <c r="O472">
        <v>0.99462137622065405</v>
      </c>
      <c r="P472">
        <v>22.693288324179999</v>
      </c>
      <c r="Q472">
        <v>46.083922821077302</v>
      </c>
      <c r="R472">
        <v>0.99718060722381596</v>
      </c>
      <c r="S472" s="1">
        <v>25.498444173364</v>
      </c>
      <c r="T472" s="13">
        <f>bdrate(E472:E475,F472:F475,M472:M475,N472:N475)</f>
        <v>-0.18188935008247853</v>
      </c>
      <c r="U472" s="12">
        <f>bdrate(E472:E475,H472:H475,M472:M475,P472:P475)</f>
        <v>-0.1723823748437463</v>
      </c>
      <c r="V472" s="12">
        <f>bdrate(E472:E475,I472:I475,M472:M475,Q472:Q475)</f>
        <v>-0.17965374318990912</v>
      </c>
      <c r="W472" s="14">
        <f>bdrate(E472:E475,K472:K475,M472:M475,S472:S475)</f>
        <v>-0.13783896295968689</v>
      </c>
      <c r="X472" s="13">
        <f>bdrate(E474:E477,F474:F477,M474:M477,N474:N477)</f>
        <v>-0.26320123788132199</v>
      </c>
      <c r="Y472" s="12">
        <f>bdrate(E474:E477,H474:H477,M474:M477,P474:P477)</f>
        <v>-0.26676102260670131</v>
      </c>
      <c r="Z472" s="12">
        <f>bdrate(E474:E477,I474:I477,M474:M477,Q474:Q477)</f>
        <v>-0.26800136896790738</v>
      </c>
      <c r="AA472" s="14">
        <f>bdrate(E474:E477,K474:K477,M474:M477,S474:S477)</f>
        <v>-0.20824147001389437</v>
      </c>
      <c r="AB472" s="7"/>
      <c r="AI472" s="1"/>
      <c r="AJ472" s="1"/>
      <c r="AK472" s="1"/>
      <c r="AL472" s="13" t="e">
        <f>bdrate(E472:E475,F472:F475,AC472:AC475,AD472:AD475)</f>
        <v>#VALUE!</v>
      </c>
      <c r="AM472" s="12" t="e">
        <f>bdrate(E472:E475,H472:H475,AC472:AC475,AF472:AF475)</f>
        <v>#VALUE!</v>
      </c>
      <c r="AN472" s="12" t="e">
        <f>bdrate(E472:E475,I472:I475,AC472:AC475,AG472:AG475)</f>
        <v>#VALUE!</v>
      </c>
      <c r="AO472" s="14" t="e">
        <f>bdrate(E472:E475,K472:K475,AC472:AC475,AI472:AI475)</f>
        <v>#VALUE!</v>
      </c>
      <c r="AP472" s="12">
        <f>bdrate(E474:E477,F474:F477,AC474:AC477,AD474:AD477)</f>
        <v>-0.13597837750136776</v>
      </c>
      <c r="AQ472" s="12">
        <f>bdrate(E474:E477,H474:H477,AC474:AC477,AF474:AF477)</f>
        <v>-0.27323374389280841</v>
      </c>
      <c r="AR472" s="12">
        <f>bdrate(E474:E477,I474:I477,AC474:AC477,AG474:AG477)</f>
        <v>-0.17025286946862139</v>
      </c>
      <c r="AS472" s="14">
        <f>bdrate(E474:E477,K474:K477,AC474:AC477,AI474:AI477)</f>
        <v>-0.19833232000480383</v>
      </c>
      <c r="AT472" s="7"/>
      <c r="BA472" s="1"/>
      <c r="BB472" s="1"/>
      <c r="BC472" s="1"/>
      <c r="BD472" s="13" t="e">
        <f>bdrate(E472:E475,F472:F475,AU472:AU475,AV472:AV475)</f>
        <v>#VALUE!</v>
      </c>
      <c r="BE472" s="12" t="e">
        <f>bdrate(E472:E475,H472:H475,AU472:AU475,AX472:AX475)</f>
        <v>#VALUE!</v>
      </c>
      <c r="BF472" s="12" t="e">
        <f>bdrate(E472:E475,I472:I475,AU472:AU475,AY472:AY475)</f>
        <v>#VALUE!</v>
      </c>
      <c r="BG472" s="14" t="e">
        <f>bdrate(E472:E475,K472:K475,AU472:AU475,BA472:BA475)</f>
        <v>#VALUE!</v>
      </c>
      <c r="BH472" s="12">
        <f>bdrate(E474:E477,F474:F477,AU474:AU477,AV474:AV477)</f>
        <v>1.2038594896419874</v>
      </c>
      <c r="BI472" s="12">
        <f>bdrate(E474:E477,H474:H477,AU474:AU477,AX474:AX477)</f>
        <v>-0.53284538811927318</v>
      </c>
      <c r="BJ472" s="12">
        <f>bdrate(E474:E477,I474:I477,AU474:AU477,AY474:AY477)</f>
        <v>1.0529578412689014</v>
      </c>
      <c r="BK472" s="14">
        <f>bdrate(E474:E477,K474:K477,AU474:AU477,BA474:BA477)</f>
        <v>-0.491588371960195</v>
      </c>
    </row>
    <row r="473" spans="1:63">
      <c r="A473" s="49"/>
      <c r="B473" s="7" t="s">
        <v>18</v>
      </c>
      <c r="C473" s="17">
        <v>1</v>
      </c>
      <c r="D473" s="7">
        <v>26</v>
      </c>
      <c r="E473">
        <v>0.93497721354166596</v>
      </c>
      <c r="F473">
        <v>39.263188493592502</v>
      </c>
      <c r="G473">
        <v>0.98966050490774604</v>
      </c>
      <c r="H473">
        <v>19.855006685923499</v>
      </c>
      <c r="I473">
        <v>42.448373291737497</v>
      </c>
      <c r="J473">
        <v>0.993738902906107</v>
      </c>
      <c r="K473" s="8">
        <v>22.033495613458602</v>
      </c>
      <c r="L473" s="7">
        <v>23</v>
      </c>
      <c r="M473">
        <v>0.9766845703125</v>
      </c>
      <c r="N473">
        <v>40.369487284302501</v>
      </c>
      <c r="O473">
        <v>0.99152575131988097</v>
      </c>
      <c r="P473">
        <v>20.718987956078099</v>
      </c>
      <c r="Q473">
        <v>43.5804706427827</v>
      </c>
      <c r="R473">
        <v>0.99496160272404799</v>
      </c>
      <c r="S473" s="1">
        <v>22.977075915120999</v>
      </c>
      <c r="T473" s="7"/>
      <c r="U473" s="1"/>
      <c r="V473" s="1"/>
      <c r="W473" s="8"/>
      <c r="X473" s="7"/>
      <c r="Y473" s="1"/>
      <c r="Z473" s="1"/>
      <c r="AA473" s="8"/>
      <c r="AB473" s="7">
        <v>64</v>
      </c>
      <c r="AC473">
        <v>0.60268147786458304</v>
      </c>
      <c r="AD473">
        <v>37.648702195090102</v>
      </c>
      <c r="AE473">
        <v>0.98781826551655405</v>
      </c>
      <c r="AF473">
        <v>19.142908707376598</v>
      </c>
      <c r="AG473">
        <v>40.801325557882599</v>
      </c>
      <c r="AH473">
        <v>0.99164002548576002</v>
      </c>
      <c r="AI473" s="1">
        <v>20.777950465253099</v>
      </c>
      <c r="AJ473" s="1">
        <v>9.2716569900512695</v>
      </c>
      <c r="AK473" s="1">
        <v>4.0377442836761404</v>
      </c>
      <c r="AL473" s="7"/>
      <c r="AM473" s="1"/>
      <c r="AN473" s="1"/>
      <c r="AO473" s="8"/>
      <c r="AP473" s="1"/>
      <c r="AQ473" s="1"/>
      <c r="AR473" s="1"/>
      <c r="AS473" s="8"/>
      <c r="AT473" s="7">
        <v>0.64</v>
      </c>
      <c r="AU473">
        <v>0.48085530598958298</v>
      </c>
      <c r="AV473">
        <v>31.947599318660998</v>
      </c>
      <c r="AW473">
        <v>0.99009230377435997</v>
      </c>
      <c r="AX473">
        <v>20.040273175435001</v>
      </c>
      <c r="AY473">
        <v>35.464435060188599</v>
      </c>
      <c r="AZ473">
        <v>0.99294287631725797</v>
      </c>
      <c r="BA473" s="1">
        <v>21.5137227107919</v>
      </c>
      <c r="BB473" s="1">
        <v>7.6578230857849103</v>
      </c>
      <c r="BC473" s="1">
        <v>3.7018668651580802</v>
      </c>
      <c r="BD473" s="7"/>
      <c r="BE473" s="1"/>
      <c r="BF473" s="1"/>
      <c r="BG473" s="8"/>
      <c r="BH473" s="1"/>
      <c r="BI473" s="1"/>
      <c r="BJ473" s="1"/>
      <c r="BK473" s="8"/>
    </row>
    <row r="474" spans="1:63">
      <c r="A474" s="49"/>
      <c r="B474" s="7" t="s">
        <v>18</v>
      </c>
      <c r="C474" s="17">
        <v>0.5</v>
      </c>
      <c r="D474" s="7">
        <v>31</v>
      </c>
      <c r="E474">
        <v>0.49709065755208298</v>
      </c>
      <c r="F474">
        <v>36.090577721446699</v>
      </c>
      <c r="G474">
        <v>0.98065932774626097</v>
      </c>
      <c r="H474">
        <v>17.1352843454385</v>
      </c>
      <c r="I474">
        <v>39.212569065909797</v>
      </c>
      <c r="J474">
        <v>0.98660648730002198</v>
      </c>
      <c r="K474" s="8">
        <v>18.731055061733699</v>
      </c>
      <c r="L474" s="7">
        <v>29</v>
      </c>
      <c r="M474">
        <v>0.46219889322916602</v>
      </c>
      <c r="N474">
        <v>36.759888026013698</v>
      </c>
      <c r="O474">
        <v>0.98292321698702001</v>
      </c>
      <c r="P474">
        <v>17.6759393992924</v>
      </c>
      <c r="Q474">
        <v>39.875571344324101</v>
      </c>
      <c r="R474">
        <v>0.98779729735846999</v>
      </c>
      <c r="S474" s="1">
        <v>19.135439715946202</v>
      </c>
      <c r="T474" s="7"/>
      <c r="U474" s="1"/>
      <c r="V474" s="1"/>
      <c r="W474" s="8"/>
      <c r="X474" s="7"/>
      <c r="Y474" s="1"/>
      <c r="Z474" s="1"/>
      <c r="AA474" s="8"/>
      <c r="AB474" s="7">
        <v>32</v>
      </c>
      <c r="AC474">
        <v>0.41375732421875</v>
      </c>
      <c r="AD474">
        <v>35.875610049246099</v>
      </c>
      <c r="AE474">
        <v>0.98264299505505404</v>
      </c>
      <c r="AF474">
        <v>17.605252128059401</v>
      </c>
      <c r="AG474">
        <v>39.055744854622802</v>
      </c>
      <c r="AH474">
        <v>0.98710173932346101</v>
      </c>
      <c r="AI474" s="1">
        <v>18.894688501279099</v>
      </c>
      <c r="AJ474" s="1">
        <v>12.8751370906829</v>
      </c>
      <c r="AK474" s="1">
        <v>7.4658851623535103</v>
      </c>
      <c r="AL474" s="7"/>
      <c r="AM474" s="1"/>
      <c r="AN474" s="1"/>
      <c r="AO474" s="8"/>
      <c r="AP474" s="1"/>
      <c r="AQ474" s="1"/>
      <c r="AR474" s="1"/>
      <c r="AS474" s="8"/>
      <c r="AT474" s="7">
        <v>0.32</v>
      </c>
      <c r="AU474">
        <v>0.35394287109375</v>
      </c>
      <c r="AV474">
        <v>31.2189912042383</v>
      </c>
      <c r="AW474">
        <v>0.98686639057394399</v>
      </c>
      <c r="AX474">
        <v>18.816159031261499</v>
      </c>
      <c r="AY474">
        <v>34.692982480637099</v>
      </c>
      <c r="AZ474">
        <v>0.99044659763996401</v>
      </c>
      <c r="BA474" s="1">
        <v>20.1984193071616</v>
      </c>
      <c r="BB474" s="1">
        <v>6.86217808723449</v>
      </c>
      <c r="BC474" s="1">
        <v>4.1830549240112296</v>
      </c>
      <c r="BD474" s="7"/>
      <c r="BE474" s="1"/>
      <c r="BF474" s="1"/>
      <c r="BG474" s="8"/>
      <c r="BH474" s="1"/>
      <c r="BI474" s="1"/>
      <c r="BJ474" s="1"/>
      <c r="BK474" s="8"/>
    </row>
    <row r="475" spans="1:63">
      <c r="A475" s="49"/>
      <c r="B475" s="7" t="s">
        <v>18</v>
      </c>
      <c r="C475" s="17">
        <v>0.25</v>
      </c>
      <c r="D475" s="7">
        <v>36</v>
      </c>
      <c r="E475">
        <v>0.23667399088541599</v>
      </c>
      <c r="F475">
        <v>33.0935946224999</v>
      </c>
      <c r="G475">
        <v>0.96363571946292303</v>
      </c>
      <c r="H475">
        <v>14.3932500047171</v>
      </c>
      <c r="I475">
        <v>36.205799109424198</v>
      </c>
      <c r="J475">
        <v>0.97211629824658996</v>
      </c>
      <c r="K475" s="8">
        <v>15.5464957116366</v>
      </c>
      <c r="L475" s="7">
        <v>34</v>
      </c>
      <c r="M475">
        <v>0.21830240885416599</v>
      </c>
      <c r="N475">
        <v>33.849767671197299</v>
      </c>
      <c r="O475">
        <v>0.96884048170440695</v>
      </c>
      <c r="P475">
        <v>15.064092648371799</v>
      </c>
      <c r="Q475">
        <v>36.992403058237898</v>
      </c>
      <c r="R475">
        <v>0.975074428278216</v>
      </c>
      <c r="S475" s="1">
        <v>16.0335487142078</v>
      </c>
      <c r="T475" s="7"/>
      <c r="U475" s="1"/>
      <c r="V475" s="1"/>
      <c r="W475" s="8"/>
      <c r="X475" s="7"/>
      <c r="Y475" s="1"/>
      <c r="Z475" s="1"/>
      <c r="AA475" s="8"/>
      <c r="AB475" s="7">
        <v>16</v>
      </c>
      <c r="AC475">
        <v>0.26580810546875</v>
      </c>
      <c r="AD475">
        <v>34.064897026839297</v>
      </c>
      <c r="AE475">
        <v>0.97365787218400301</v>
      </c>
      <c r="AF475">
        <v>15.7934914731568</v>
      </c>
      <c r="AG475">
        <v>37.295189083827303</v>
      </c>
      <c r="AH475">
        <v>0.97928158958635103</v>
      </c>
      <c r="AI475" s="1">
        <v>16.836435681866099</v>
      </c>
      <c r="AJ475" s="1">
        <v>7.3826334476470903</v>
      </c>
      <c r="AK475" s="1">
        <v>4.1556472778320304</v>
      </c>
      <c r="AL475" s="7"/>
      <c r="AM475" s="1"/>
      <c r="AN475" s="1"/>
      <c r="AO475" s="8"/>
      <c r="AP475" s="1"/>
      <c r="AQ475" s="1"/>
      <c r="AR475" s="1"/>
      <c r="AS475" s="8"/>
      <c r="AT475" s="7">
        <v>0.16</v>
      </c>
      <c r="AU475">
        <v>0.24652099609375</v>
      </c>
      <c r="AV475">
        <v>30.514887567006699</v>
      </c>
      <c r="AW475">
        <v>0.98192526111075695</v>
      </c>
      <c r="AX475">
        <v>17.429279678801901</v>
      </c>
      <c r="AY475">
        <v>33.827897793400297</v>
      </c>
      <c r="AZ475">
        <v>0.98617756854368899</v>
      </c>
      <c r="BA475" s="1">
        <v>18.594155549952799</v>
      </c>
      <c r="BB475" s="1">
        <v>6.0487740039825404</v>
      </c>
      <c r="BC475" s="1">
        <v>3.6570081710815399</v>
      </c>
      <c r="BD475" s="7"/>
      <c r="BE475" s="1"/>
      <c r="BF475" s="1"/>
      <c r="BG475" s="8"/>
      <c r="BH475" s="1"/>
      <c r="BI475" s="1"/>
      <c r="BJ475" s="1"/>
      <c r="BK475" s="8"/>
    </row>
    <row r="476" spans="1:63">
      <c r="A476" s="49"/>
      <c r="B476" s="7" t="s">
        <v>18</v>
      </c>
      <c r="C476" s="17">
        <v>0.12</v>
      </c>
      <c r="D476" s="7">
        <v>41</v>
      </c>
      <c r="E476">
        <v>0.10107421875</v>
      </c>
      <c r="F476">
        <v>30.337717357769201</v>
      </c>
      <c r="G476">
        <v>0.93303561798673595</v>
      </c>
      <c r="H476">
        <v>11.7415613473534</v>
      </c>
      <c r="I476">
        <v>33.436067511750998</v>
      </c>
      <c r="J476">
        <v>0.94387371461664604</v>
      </c>
      <c r="K476" s="8">
        <v>12.5083369982371</v>
      </c>
      <c r="L476" s="7">
        <v>38</v>
      </c>
      <c r="M476">
        <v>0.11887613932291601</v>
      </c>
      <c r="N476">
        <v>31.855426007692198</v>
      </c>
      <c r="O476">
        <v>0.95257115328211595</v>
      </c>
      <c r="P476">
        <v>13.2395743554523</v>
      </c>
      <c r="Q476">
        <v>34.994671186685402</v>
      </c>
      <c r="R476">
        <v>0.95951612649081197</v>
      </c>
      <c r="S476" s="1">
        <v>13.927179407536199</v>
      </c>
      <c r="T476" s="7"/>
      <c r="U476" s="1"/>
      <c r="V476" s="1"/>
      <c r="W476" s="8"/>
      <c r="X476" s="7"/>
      <c r="Y476" s="1"/>
      <c r="Z476" s="1"/>
      <c r="AA476" s="8"/>
      <c r="AB476" s="7">
        <v>8</v>
      </c>
      <c r="AC476">
        <v>0.17177327473958301</v>
      </c>
      <c r="AD476">
        <v>32.4975127505339</v>
      </c>
      <c r="AE476">
        <v>0.96475010425907304</v>
      </c>
      <c r="AF476">
        <v>14.528421631891</v>
      </c>
      <c r="AG476">
        <v>35.802244778110001</v>
      </c>
      <c r="AH476">
        <v>0.96997504488484698</v>
      </c>
      <c r="AI476" s="1">
        <v>15.2251763315923</v>
      </c>
      <c r="AJ476" s="1">
        <v>6.2945873737335196</v>
      </c>
      <c r="AK476" s="1">
        <v>3.6796126365661599</v>
      </c>
      <c r="AL476" s="7"/>
      <c r="AM476" s="1"/>
      <c r="AN476" s="1"/>
      <c r="AO476" s="8"/>
      <c r="AP476" s="1"/>
      <c r="AQ476" s="1"/>
      <c r="AR476" s="1"/>
      <c r="AS476" s="8"/>
      <c r="AT476" s="7">
        <v>0.08</v>
      </c>
      <c r="AU476">
        <v>0.16371663411458301</v>
      </c>
      <c r="AV476">
        <v>29.5856180346405</v>
      </c>
      <c r="AW476">
        <v>0.97349185877474398</v>
      </c>
      <c r="AX476">
        <v>15.7662072431959</v>
      </c>
      <c r="AY476">
        <v>32.8866661082305</v>
      </c>
      <c r="AZ476">
        <v>0.97899484539930504</v>
      </c>
      <c r="BA476" s="1">
        <v>16.776741176498302</v>
      </c>
      <c r="BB476" s="1">
        <v>6.3848991394042898</v>
      </c>
      <c r="BC476" s="1">
        <v>3.8992164134979199</v>
      </c>
      <c r="BD476" s="7"/>
      <c r="BE476" s="1"/>
      <c r="BF476" s="1"/>
      <c r="BG476" s="8"/>
      <c r="BH476" s="1"/>
      <c r="BI476" s="1"/>
      <c r="BJ476" s="1"/>
      <c r="BK476" s="8"/>
    </row>
    <row r="477" spans="1:63">
      <c r="A477" s="49"/>
      <c r="B477" s="7" t="s">
        <v>18</v>
      </c>
      <c r="C477" s="17">
        <v>0.06</v>
      </c>
      <c r="D477" s="7">
        <v>45</v>
      </c>
      <c r="E477">
        <v>5.303955078125E-2</v>
      </c>
      <c r="F477">
        <v>28.612969771455798</v>
      </c>
      <c r="G477">
        <v>0.907693006119622</v>
      </c>
      <c r="H477">
        <v>10.347653922721999</v>
      </c>
      <c r="I477">
        <v>31.680535283046101</v>
      </c>
      <c r="J477">
        <v>0.92278669419923398</v>
      </c>
      <c r="K477" s="8">
        <v>11.1230785331816</v>
      </c>
      <c r="L477" s="7">
        <v>43</v>
      </c>
      <c r="M477">
        <v>5.3792317708333301E-2</v>
      </c>
      <c r="N477">
        <v>29.596065254184801</v>
      </c>
      <c r="O477">
        <v>0.92282226221828301</v>
      </c>
      <c r="P477">
        <v>11.125079555303101</v>
      </c>
      <c r="Q477">
        <v>32.681932157946399</v>
      </c>
      <c r="R477">
        <v>0.93122359284064704</v>
      </c>
      <c r="S477" s="1">
        <v>11.6256051521977</v>
      </c>
      <c r="T477" s="7"/>
      <c r="U477" s="1"/>
      <c r="V477" s="1"/>
      <c r="W477" s="8"/>
      <c r="X477" s="7"/>
      <c r="Y477" s="1"/>
      <c r="Z477" s="1"/>
      <c r="AA477" s="8"/>
      <c r="AB477" s="7">
        <v>4</v>
      </c>
      <c r="AC477">
        <v>0.11029052734375</v>
      </c>
      <c r="AD477">
        <v>31.049744585464499</v>
      </c>
      <c r="AE477">
        <v>0.94919923830390396</v>
      </c>
      <c r="AF477">
        <v>12.9412977594578</v>
      </c>
      <c r="AG477">
        <v>34.3727265070413</v>
      </c>
      <c r="AH477">
        <v>0.95498650075323899</v>
      </c>
      <c r="AI477" s="1">
        <v>13.4665722468675</v>
      </c>
      <c r="AJ477" s="1">
        <v>6.36838579177856</v>
      </c>
      <c r="AK477" s="1">
        <v>4.2836329936981201</v>
      </c>
      <c r="AL477" s="7"/>
      <c r="AM477" s="1"/>
      <c r="AN477" s="1"/>
      <c r="AO477" s="8"/>
      <c r="AP477" s="1"/>
      <c r="AQ477" s="1"/>
      <c r="AR477" s="1"/>
      <c r="AS477" s="8"/>
      <c r="AT477" s="7">
        <v>0.04</v>
      </c>
      <c r="AU477">
        <v>0.10662841796875</v>
      </c>
      <c r="AV477">
        <v>28.6312889058491</v>
      </c>
      <c r="AW477">
        <v>0.96255858188270305</v>
      </c>
      <c r="AX477">
        <v>14.266477104453299</v>
      </c>
      <c r="AY477">
        <v>31.789196417932601</v>
      </c>
      <c r="AZ477">
        <v>0.96931494176703203</v>
      </c>
      <c r="BA477" s="1">
        <v>15.1307304819127</v>
      </c>
      <c r="BB477" s="1">
        <v>6.2666163444518999</v>
      </c>
      <c r="BC477" s="1">
        <v>4.1164531707763601</v>
      </c>
      <c r="BD477" s="7"/>
      <c r="BE477" s="1"/>
      <c r="BF477" s="1"/>
      <c r="BG477" s="8"/>
      <c r="BH477" s="1"/>
      <c r="BI477" s="1"/>
      <c r="BJ477" s="1"/>
      <c r="BK477" s="8"/>
    </row>
    <row r="478" spans="1:63">
      <c r="A478" s="49"/>
      <c r="B478" s="7" t="s">
        <v>101</v>
      </c>
      <c r="C478" s="17">
        <v>1.5</v>
      </c>
      <c r="D478" s="7">
        <v>23</v>
      </c>
      <c r="E478">
        <v>1.41314697265625</v>
      </c>
      <c r="F478">
        <v>41.444131590354601</v>
      </c>
      <c r="G478">
        <v>0.99414447312603504</v>
      </c>
      <c r="H478">
        <v>22.324340214864499</v>
      </c>
      <c r="I478">
        <v>44.565815338568697</v>
      </c>
      <c r="J478">
        <v>0.99675277791955097</v>
      </c>
      <c r="K478" s="8">
        <v>24.884880085667898</v>
      </c>
      <c r="L478" s="7">
        <v>20</v>
      </c>
      <c r="M478">
        <v>1.41015625</v>
      </c>
      <c r="N478">
        <v>42.279444879293202</v>
      </c>
      <c r="O478">
        <v>0.995161784311696</v>
      </c>
      <c r="P478">
        <v>23.153147746364098</v>
      </c>
      <c r="Q478">
        <v>45.489617300735198</v>
      </c>
      <c r="R478">
        <v>0.99728618928534996</v>
      </c>
      <c r="S478" s="1">
        <v>25.6642044718843</v>
      </c>
      <c r="T478" s="13">
        <f>bdrate(E478:E481,F478:F481,M478:M481,N478:N481)</f>
        <v>-0.16565409426569455</v>
      </c>
      <c r="U478" s="12">
        <f>bdrate(E478:E481,H478:H481,M478:M481,P478:P481)</f>
        <v>-0.17417382915684665</v>
      </c>
      <c r="V478" s="12">
        <f>bdrate(E478:E481,I478:I481,M478:M481,Q478:Q481)</f>
        <v>-0.18842130097469756</v>
      </c>
      <c r="W478" s="14">
        <f>bdrate(E478:E481,K478:K481,M478:M481,S478:S481)</f>
        <v>-0.11849577144049384</v>
      </c>
      <c r="X478" s="13">
        <f>bdrate(E480:E483,F480:F483,M480:M483,N480:N483)</f>
        <v>-0.1953384460857035</v>
      </c>
      <c r="Y478" s="12">
        <f>bdrate(E480:E483,H480:H483,M480:M483,P480:P483)</f>
        <v>-0.18120881825351043</v>
      </c>
      <c r="Z478" s="12">
        <f>bdrate(E480:E483,I480:I483,M480:M483,Q480:Q483)</f>
        <v>-0.26407908067133279</v>
      </c>
      <c r="AA478" s="14">
        <f>bdrate(E480:E483,K480:K483,M480:M483,S480:S483)</f>
        <v>-0.12836049398961413</v>
      </c>
      <c r="AB478" s="7"/>
      <c r="AI478" s="1"/>
      <c r="AJ478" s="1"/>
      <c r="AK478" s="1"/>
      <c r="AL478" s="13" t="e">
        <f>bdrate(E478:E481,F478:F481,AC478:AC481,AD478:AD481)</f>
        <v>#VALUE!</v>
      </c>
      <c r="AM478" s="12" t="e">
        <f>bdrate(E478:E481,H478:H481,AC478:AC481,AF478:AF481)</f>
        <v>#VALUE!</v>
      </c>
      <c r="AN478" s="12" t="e">
        <f>bdrate(E478:E481,I478:I481,AC478:AC481,AG478:AG481)</f>
        <v>#VALUE!</v>
      </c>
      <c r="AO478" s="14" t="e">
        <f>bdrate(E478:E481,K478:K481,AC478:AC481,AI478:AI481)</f>
        <v>#VALUE!</v>
      </c>
      <c r="AP478" s="12">
        <f>bdrate(E480:E483,F480:F483,AC480:AC483,AD480:AD483)</f>
        <v>-0.13713366071115285</v>
      </c>
      <c r="AQ478" s="12">
        <f>bdrate(E480:E483,H480:H483,AC480:AC483,AF480:AF483)</f>
        <v>-0.20704446155107292</v>
      </c>
      <c r="AR478" s="12">
        <f>bdrate(E480:E483,I480:I483,AC480:AC483,AG480:AG483)</f>
        <v>-0.24025512918978975</v>
      </c>
      <c r="AS478" s="14">
        <f>bdrate(E480:E483,K480:K483,AC480:AC483,AI480:AI483)</f>
        <v>-0.13743870348338827</v>
      </c>
      <c r="AT478" s="7"/>
      <c r="BA478" s="1"/>
      <c r="BB478" s="1"/>
      <c r="BC478" s="1"/>
      <c r="BD478" s="13" t="e">
        <f>bdrate(E478:E481,F478:F481,AU478:AU481,AV478:AV481)</f>
        <v>#VALUE!</v>
      </c>
      <c r="BE478" s="12" t="e">
        <f>bdrate(E478:E481,H478:H481,AU478:AU481,AX478:AX481)</f>
        <v>#VALUE!</v>
      </c>
      <c r="BF478" s="12" t="e">
        <f>bdrate(E478:E481,I478:I481,AU478:AU481,AY478:AY481)</f>
        <v>#VALUE!</v>
      </c>
      <c r="BG478" s="14" t="e">
        <f>bdrate(E478:E481,K478:K481,AU478:AU481,BA478:BA481)</f>
        <v>#VALUE!</v>
      </c>
      <c r="BH478" s="12">
        <f>bdrate(E480:E483,F480:F483,AU480:AU483,AV480:AV483)</f>
        <v>0.96274350935760711</v>
      </c>
      <c r="BI478" s="12">
        <f>bdrate(E480:E483,H480:H483,AU480:AU483,AX480:AX483)</f>
        <v>-0.49932890856431744</v>
      </c>
      <c r="BJ478" s="12">
        <f>bdrate(E480:E483,I480:I483,AU480:AU483,AY480:AY483)</f>
        <v>0.75955751238575808</v>
      </c>
      <c r="BK478" s="14">
        <f>bdrate(E480:E483,K480:K483,AU480:AU483,BA480:BA483)</f>
        <v>-0.44890703114696295</v>
      </c>
    </row>
    <row r="479" spans="1:63">
      <c r="A479" s="49"/>
      <c r="B479" s="7" t="s">
        <v>18</v>
      </c>
      <c r="C479" s="17">
        <v>1</v>
      </c>
      <c r="D479" s="7">
        <v>27</v>
      </c>
      <c r="E479">
        <v>0.93123372395833304</v>
      </c>
      <c r="F479">
        <v>38.783091499658397</v>
      </c>
      <c r="G479">
        <v>0.98980827233648605</v>
      </c>
      <c r="H479">
        <v>19.917521897784901</v>
      </c>
      <c r="I479">
        <v>41.864698013154097</v>
      </c>
      <c r="J479">
        <v>0.99349927312630204</v>
      </c>
      <c r="K479" s="8">
        <v>21.870380803438199</v>
      </c>
      <c r="L479" s="7">
        <v>24</v>
      </c>
      <c r="M479">
        <v>0.94883219401041596</v>
      </c>
      <c r="N479">
        <v>39.898457578937403</v>
      </c>
      <c r="O479">
        <v>0.99213741704677505</v>
      </c>
      <c r="P479">
        <v>21.044347595514498</v>
      </c>
      <c r="Q479">
        <v>43.040674728269899</v>
      </c>
      <c r="R479">
        <v>0.99481864766472805</v>
      </c>
      <c r="S479" s="1">
        <v>22.855568744062499</v>
      </c>
      <c r="T479" s="7"/>
      <c r="U479" s="1"/>
      <c r="V479" s="1"/>
      <c r="W479" s="8"/>
      <c r="X479" s="7"/>
      <c r="Y479" s="1"/>
      <c r="Z479" s="1"/>
      <c r="AA479" s="8"/>
      <c r="AB479" s="7">
        <v>64</v>
      </c>
      <c r="AC479">
        <v>0.69195556640625</v>
      </c>
      <c r="AD479">
        <v>37.851955871054699</v>
      </c>
      <c r="AE479">
        <v>0.98890902154521498</v>
      </c>
      <c r="AF479">
        <v>19.5503013836218</v>
      </c>
      <c r="AG479">
        <v>41.114576987680302</v>
      </c>
      <c r="AH479">
        <v>0.99162139513546699</v>
      </c>
      <c r="AI479" s="1">
        <v>20.768282904481101</v>
      </c>
      <c r="AJ479" s="1">
        <v>8.7380597591400093</v>
      </c>
      <c r="AK479" s="1">
        <v>4.7724487781524596</v>
      </c>
      <c r="AL479" s="7"/>
      <c r="AM479" s="1"/>
      <c r="AN479" s="1"/>
      <c r="AO479" s="8"/>
      <c r="AP479" s="1"/>
      <c r="AQ479" s="1"/>
      <c r="AR479" s="1"/>
      <c r="AS479" s="8"/>
      <c r="AT479" s="7">
        <v>0.64</v>
      </c>
      <c r="AU479">
        <v>0.53725179036458304</v>
      </c>
      <c r="AV479">
        <v>32.131360284425803</v>
      </c>
      <c r="AW479">
        <v>0.99087393269873503</v>
      </c>
      <c r="AX479">
        <v>20.397163327954399</v>
      </c>
      <c r="AY479">
        <v>36.296818359120799</v>
      </c>
      <c r="AZ479">
        <v>0.99269217899077999</v>
      </c>
      <c r="BA479" s="1">
        <v>21.362120983830401</v>
      </c>
      <c r="BB479" s="1">
        <v>8.1117150783538801</v>
      </c>
      <c r="BC479" s="1">
        <v>4.1003088951110804</v>
      </c>
      <c r="BD479" s="7"/>
      <c r="BE479" s="1"/>
      <c r="BF479" s="1"/>
      <c r="BG479" s="8"/>
      <c r="BH479" s="1"/>
      <c r="BI479" s="1"/>
      <c r="BJ479" s="1"/>
      <c r="BK479" s="8"/>
    </row>
    <row r="480" spans="1:63">
      <c r="A480" s="49"/>
      <c r="B480" s="7" t="s">
        <v>18</v>
      </c>
      <c r="C480" s="17">
        <v>0.5</v>
      </c>
      <c r="D480" s="7">
        <v>32</v>
      </c>
      <c r="E480">
        <v>0.49778238932291602</v>
      </c>
      <c r="F480">
        <v>35.345325012701501</v>
      </c>
      <c r="G480">
        <v>0.97824932813251897</v>
      </c>
      <c r="H480">
        <v>16.6252732336071</v>
      </c>
      <c r="I480">
        <v>38.556452842675803</v>
      </c>
      <c r="J480">
        <v>0.98355136801562404</v>
      </c>
      <c r="K480" s="8">
        <v>17.8387021603269</v>
      </c>
      <c r="L480" s="7">
        <v>30</v>
      </c>
      <c r="M480">
        <v>0.47117106119791602</v>
      </c>
      <c r="N480">
        <v>36.024948011453297</v>
      </c>
      <c r="O480">
        <v>0.98152732177982605</v>
      </c>
      <c r="P480">
        <v>17.3347013477518</v>
      </c>
      <c r="Q480">
        <v>39.363608696780901</v>
      </c>
      <c r="R480">
        <v>0.98514525636721095</v>
      </c>
      <c r="S480" s="1">
        <v>18.281348389680701</v>
      </c>
      <c r="T480" s="7"/>
      <c r="U480" s="1"/>
      <c r="V480" s="1"/>
      <c r="W480" s="8"/>
      <c r="X480" s="7"/>
      <c r="Y480" s="1"/>
      <c r="Z480" s="1"/>
      <c r="AA480" s="8"/>
      <c r="AB480" s="7">
        <v>32</v>
      </c>
      <c r="AC480">
        <v>0.46710205078125</v>
      </c>
      <c r="AD480">
        <v>35.7421765898453</v>
      </c>
      <c r="AE480">
        <v>0.98234071213249496</v>
      </c>
      <c r="AF480">
        <v>17.5302681386428</v>
      </c>
      <c r="AG480">
        <v>39.212836294041097</v>
      </c>
      <c r="AH480">
        <v>0.98539255819009197</v>
      </c>
      <c r="AI480" s="1">
        <v>18.354258350663901</v>
      </c>
      <c r="AJ480" s="1">
        <v>15.078130960464399</v>
      </c>
      <c r="AK480" s="1">
        <v>7.3669342994689897</v>
      </c>
      <c r="AL480" s="7"/>
      <c r="AM480" s="1"/>
      <c r="AN480" s="1"/>
      <c r="AO480" s="8"/>
      <c r="AP480" s="1"/>
      <c r="AQ480" s="1"/>
      <c r="AR480" s="1"/>
      <c r="AS480" s="8"/>
      <c r="AT480" s="7">
        <v>0.32</v>
      </c>
      <c r="AU480">
        <v>0.40696207682291602</v>
      </c>
      <c r="AV480">
        <v>31.580473813418699</v>
      </c>
      <c r="AW480">
        <v>0.98755624447877999</v>
      </c>
      <c r="AX480">
        <v>19.050485299346299</v>
      </c>
      <c r="AY480">
        <v>35.713477673360799</v>
      </c>
      <c r="AZ480">
        <v>0.98965746329180604</v>
      </c>
      <c r="BA480" s="1">
        <v>19.853729290123301</v>
      </c>
      <c r="BB480" s="1">
        <v>6.54105472564697</v>
      </c>
      <c r="BC480" s="1">
        <v>3.9528675079345699</v>
      </c>
      <c r="BD480" s="7"/>
      <c r="BE480" s="1"/>
      <c r="BF480" s="1"/>
      <c r="BG480" s="8"/>
      <c r="BH480" s="1"/>
      <c r="BI480" s="1"/>
      <c r="BJ480" s="1"/>
      <c r="BK480" s="8"/>
    </row>
    <row r="481" spans="1:63">
      <c r="A481" s="49"/>
      <c r="B481" s="7" t="s">
        <v>18</v>
      </c>
      <c r="C481" s="17">
        <v>0.25</v>
      </c>
      <c r="D481" s="7">
        <v>37</v>
      </c>
      <c r="E481">
        <v>0.23158772786458301</v>
      </c>
      <c r="F481">
        <v>32.181117700036097</v>
      </c>
      <c r="G481">
        <v>0.95441134953419204</v>
      </c>
      <c r="H481">
        <v>13.411432637736301</v>
      </c>
      <c r="I481">
        <v>35.5675846795273</v>
      </c>
      <c r="J481">
        <v>0.96105022925682304</v>
      </c>
      <c r="K481" s="8">
        <v>14.0949509422418</v>
      </c>
      <c r="L481" s="7">
        <v>35</v>
      </c>
      <c r="M481">
        <v>0.22971598307291599</v>
      </c>
      <c r="N481">
        <v>32.901061172193302</v>
      </c>
      <c r="O481">
        <v>0.96115014759371398</v>
      </c>
      <c r="P481">
        <v>14.106106267795999</v>
      </c>
      <c r="Q481">
        <v>36.498930522057002</v>
      </c>
      <c r="R481">
        <v>0.965379104809026</v>
      </c>
      <c r="S481" s="1">
        <v>14.60661706782</v>
      </c>
      <c r="T481" s="7"/>
      <c r="U481" s="1"/>
      <c r="V481" s="1"/>
      <c r="W481" s="8"/>
      <c r="X481" s="7"/>
      <c r="Y481" s="1"/>
      <c r="Z481" s="1"/>
      <c r="AA481" s="8"/>
      <c r="AB481" s="7">
        <v>16</v>
      </c>
      <c r="AC481">
        <v>0.28810628255208298</v>
      </c>
      <c r="AD481">
        <v>33.584930054194899</v>
      </c>
      <c r="AE481">
        <v>0.97029344541683304</v>
      </c>
      <c r="AF481">
        <v>15.2714771548978</v>
      </c>
      <c r="AG481">
        <v>37.268508051112597</v>
      </c>
      <c r="AH481">
        <v>0.97357668945303999</v>
      </c>
      <c r="AI481" s="1">
        <v>15.780127710437499</v>
      </c>
      <c r="AJ481" s="1">
        <v>7.0820510387420601</v>
      </c>
      <c r="AK481" s="1">
        <v>3.7609899044036799</v>
      </c>
      <c r="AL481" s="7"/>
      <c r="AM481" s="1"/>
      <c r="AN481" s="1"/>
      <c r="AO481" s="8"/>
      <c r="AP481" s="1"/>
      <c r="AQ481" s="1"/>
      <c r="AR481" s="1"/>
      <c r="AS481" s="8"/>
      <c r="AT481" s="7">
        <v>0.16</v>
      </c>
      <c r="AU481">
        <v>0.28501383463541602</v>
      </c>
      <c r="AV481">
        <v>30.658956783335899</v>
      </c>
      <c r="AW481">
        <v>0.98123743892578397</v>
      </c>
      <c r="AX481">
        <v>17.267078810697001</v>
      </c>
      <c r="AY481">
        <v>34.677639569050697</v>
      </c>
      <c r="AZ481">
        <v>0.98380015683294497</v>
      </c>
      <c r="BA481" s="1">
        <v>17.904891899025898</v>
      </c>
      <c r="BB481" s="1">
        <v>6.5874993801116899</v>
      </c>
      <c r="BC481" s="1">
        <v>3.7240028381347599</v>
      </c>
      <c r="BD481" s="7"/>
      <c r="BE481" s="1"/>
      <c r="BF481" s="1"/>
      <c r="BG481" s="8"/>
      <c r="BH481" s="1"/>
      <c r="BI481" s="1"/>
      <c r="BJ481" s="1"/>
      <c r="BK481" s="8"/>
    </row>
    <row r="482" spans="1:63">
      <c r="A482" s="49"/>
      <c r="B482" s="7" t="s">
        <v>18</v>
      </c>
      <c r="C482" s="17">
        <v>0.12</v>
      </c>
      <c r="D482" s="7">
        <v>41</v>
      </c>
      <c r="E482">
        <v>0.11468505859375</v>
      </c>
      <c r="F482">
        <v>29.9719847359924</v>
      </c>
      <c r="G482">
        <v>0.92082682133903004</v>
      </c>
      <c r="H482">
        <v>11.0142191856658</v>
      </c>
      <c r="I482">
        <v>33.4330135253865</v>
      </c>
      <c r="J482">
        <v>0.92868632784057603</v>
      </c>
      <c r="K482" s="8">
        <v>11.468271998231801</v>
      </c>
      <c r="L482" s="7">
        <v>39</v>
      </c>
      <c r="M482">
        <v>0.11578369140625</v>
      </c>
      <c r="N482">
        <v>30.6703802546599</v>
      </c>
      <c r="O482">
        <v>0.93214388108929902</v>
      </c>
      <c r="P482">
        <v>11.6841098382836</v>
      </c>
      <c r="Q482">
        <v>34.424259055240803</v>
      </c>
      <c r="R482">
        <v>0.93664715431299495</v>
      </c>
      <c r="S482" s="1">
        <v>11.982338726762499</v>
      </c>
      <c r="T482" s="7"/>
      <c r="U482" s="1"/>
      <c r="V482" s="1"/>
      <c r="W482" s="8"/>
      <c r="X482" s="7"/>
      <c r="Y482" s="1"/>
      <c r="Z482" s="1"/>
      <c r="AA482" s="8"/>
      <c r="AB482" s="7">
        <v>8</v>
      </c>
      <c r="AC482">
        <v>0.17498779296875</v>
      </c>
      <c r="AD482">
        <v>31.7202627227819</v>
      </c>
      <c r="AE482">
        <v>0.95232656670356097</v>
      </c>
      <c r="AF482">
        <v>13.2172357037197</v>
      </c>
      <c r="AG482">
        <v>35.611450711224101</v>
      </c>
      <c r="AH482">
        <v>0.95582830483997305</v>
      </c>
      <c r="AI482" s="1">
        <v>13.548559336707701</v>
      </c>
      <c r="AJ482" s="1">
        <v>5.8965482711791903</v>
      </c>
      <c r="AK482" s="1">
        <v>3.8090941905975302</v>
      </c>
      <c r="AL482" s="7"/>
      <c r="AM482" s="1"/>
      <c r="AN482" s="1"/>
      <c r="AO482" s="8"/>
      <c r="AP482" s="1"/>
      <c r="AQ482" s="1"/>
      <c r="AR482" s="1"/>
      <c r="AS482" s="8"/>
      <c r="AT482" s="7">
        <v>0.08</v>
      </c>
      <c r="AU482">
        <v>0.18963623046875</v>
      </c>
      <c r="AV482">
        <v>29.532328321327999</v>
      </c>
      <c r="AW482">
        <v>0.97107806022416798</v>
      </c>
      <c r="AX482">
        <v>15.387725825501001</v>
      </c>
      <c r="AY482">
        <v>33.164344681887499</v>
      </c>
      <c r="AZ482">
        <v>0.97426148492293496</v>
      </c>
      <c r="BA482" s="1">
        <v>15.8941651230495</v>
      </c>
      <c r="BB482" s="1">
        <v>5.8541102409362704</v>
      </c>
      <c r="BC482" s="1">
        <v>4.0570983886718697</v>
      </c>
      <c r="BD482" s="7"/>
      <c r="BE482" s="1"/>
      <c r="BF482" s="1"/>
      <c r="BG482" s="8"/>
      <c r="BH482" s="1"/>
      <c r="BI482" s="1"/>
      <c r="BJ482" s="1"/>
      <c r="BK482" s="8"/>
    </row>
    <row r="483" spans="1:63">
      <c r="A483" s="49"/>
      <c r="B483" s="7" t="s">
        <v>18</v>
      </c>
      <c r="C483" s="17">
        <v>0.06</v>
      </c>
      <c r="D483" s="7">
        <v>45</v>
      </c>
      <c r="E483">
        <v>5.01708984375E-2</v>
      </c>
      <c r="F483">
        <v>28.020991283452599</v>
      </c>
      <c r="G483">
        <v>0.87070036334784195</v>
      </c>
      <c r="H483">
        <v>8.8840269553866698</v>
      </c>
      <c r="I483">
        <v>31.593174955699901</v>
      </c>
      <c r="J483">
        <v>0.87896257482348605</v>
      </c>
      <c r="K483" s="8">
        <v>9.1708032361281102</v>
      </c>
      <c r="L483" s="7">
        <v>43</v>
      </c>
      <c r="M483">
        <v>5.3019205729166602E-2</v>
      </c>
      <c r="N483">
        <v>28.659842886369699</v>
      </c>
      <c r="O483">
        <v>0.88879476600858698</v>
      </c>
      <c r="P483">
        <v>9.5387477174591098</v>
      </c>
      <c r="Q483">
        <v>32.508946854805103</v>
      </c>
      <c r="R483">
        <v>0.89356513632854795</v>
      </c>
      <c r="S483" s="1">
        <v>9.7291609177725196</v>
      </c>
      <c r="T483" s="7"/>
      <c r="U483" s="1"/>
      <c r="V483" s="1"/>
      <c r="W483" s="8"/>
      <c r="X483" s="7"/>
      <c r="Y483" s="1"/>
      <c r="Z483" s="1"/>
      <c r="AA483" s="8"/>
      <c r="AB483" s="7">
        <v>4</v>
      </c>
      <c r="AC483">
        <v>0.10422770182291601</v>
      </c>
      <c r="AD483">
        <v>30.056061034339098</v>
      </c>
      <c r="AE483">
        <v>0.92570861104348501</v>
      </c>
      <c r="AF483">
        <v>11.2906152197825</v>
      </c>
      <c r="AG483">
        <v>34.131940763457301</v>
      </c>
      <c r="AH483">
        <v>0.92924396394426401</v>
      </c>
      <c r="AI483" s="1">
        <v>11.5023650543079</v>
      </c>
      <c r="AJ483" s="1">
        <v>6.2567546367645201</v>
      </c>
      <c r="AK483" s="1">
        <v>4.4302020072937003</v>
      </c>
      <c r="AL483" s="7"/>
      <c r="AM483" s="1"/>
      <c r="AN483" s="1"/>
      <c r="AO483" s="8"/>
      <c r="AP483" s="1"/>
      <c r="AQ483" s="1"/>
      <c r="AR483" s="1"/>
      <c r="AS483" s="8"/>
      <c r="AT483" s="7">
        <v>0.04</v>
      </c>
      <c r="AU483">
        <v>0.12567138671875</v>
      </c>
      <c r="AV483">
        <v>28.624623352010801</v>
      </c>
      <c r="AW483">
        <v>0.95739842710123302</v>
      </c>
      <c r="AX483">
        <v>13.705743659525799</v>
      </c>
      <c r="AY483">
        <v>31.964248495266801</v>
      </c>
      <c r="AZ483">
        <v>0.96107427854647298</v>
      </c>
      <c r="BA483" s="1">
        <v>14.097633294244</v>
      </c>
      <c r="BB483" s="1">
        <v>6.3259823322296098</v>
      </c>
      <c r="BC483" s="1">
        <v>4.2913365364074698</v>
      </c>
      <c r="BD483" s="7"/>
      <c r="BE483" s="1"/>
      <c r="BF483" s="1"/>
      <c r="BG483" s="8"/>
      <c r="BH483" s="1"/>
      <c r="BI483" s="1"/>
      <c r="BJ483" s="1"/>
      <c r="BK483" s="8"/>
    </row>
    <row r="484" spans="1:63">
      <c r="A484" s="49"/>
      <c r="B484" s="7" t="s">
        <v>102</v>
      </c>
      <c r="C484" s="17">
        <v>1.5</v>
      </c>
      <c r="D484" s="7">
        <v>22</v>
      </c>
      <c r="E484">
        <v>1.4500935872395799</v>
      </c>
      <c r="F484">
        <v>41.601143975009798</v>
      </c>
      <c r="G484">
        <v>0.99494673317069604</v>
      </c>
      <c r="H484">
        <v>22.964277689625298</v>
      </c>
      <c r="I484">
        <v>44.752085496482003</v>
      </c>
      <c r="J484">
        <v>0.99704461127786803</v>
      </c>
      <c r="K484" s="8">
        <v>25.293853882941299</v>
      </c>
      <c r="L484" s="7">
        <v>19</v>
      </c>
      <c r="M484">
        <v>1.4518636067708299</v>
      </c>
      <c r="N484">
        <v>42.258647217343899</v>
      </c>
      <c r="O484">
        <v>0.99556298143831501</v>
      </c>
      <c r="P484">
        <v>23.529087544656701</v>
      </c>
      <c r="Q484">
        <v>45.551091891483601</v>
      </c>
      <c r="R484">
        <v>0.99753963920086897</v>
      </c>
      <c r="S484" s="1">
        <v>26.090012011966301</v>
      </c>
      <c r="T484" s="13">
        <f>bdrate(E484:E487,F484:F487,M484:M487,N484:N487)</f>
        <v>-0.1892830040080854</v>
      </c>
      <c r="U484" s="12">
        <f>bdrate(E484:E487,H484:H487,M484:M487,P484:P487)</f>
        <v>-0.16912212430367624</v>
      </c>
      <c r="V484" s="12">
        <f>bdrate(E484:E487,I484:I487,M484:M487,Q484:Q487)</f>
        <v>-0.20575512112519168</v>
      </c>
      <c r="W484" s="14">
        <f>bdrate(E484:E487,K484:K487,M484:M487,S484:S487)</f>
        <v>-0.15241308955269284</v>
      </c>
      <c r="X484" s="13">
        <f>bdrate(E486:E489,F486:F489,M486:M489,N486:N489)</f>
        <v>-0.22822262072629906</v>
      </c>
      <c r="Y484" s="12">
        <f>bdrate(E486:E489,H486:H489,M486:M489,P486:P489)</f>
        <v>-0.16465937664637309</v>
      </c>
      <c r="Z484" s="12">
        <f>bdrate(E486:E489,I486:I489,M486:M489,Q486:Q489)</f>
        <v>-0.26857983410024766</v>
      </c>
      <c r="AA484" s="14">
        <f>bdrate(E486:E489,K486:K489,M486:M489,S486:S489)</f>
        <v>-0.14095854144577558</v>
      </c>
      <c r="AB484" s="7"/>
      <c r="AI484" s="1"/>
      <c r="AJ484" s="1"/>
      <c r="AK484" s="1"/>
      <c r="AL484" s="13" t="e">
        <f>bdrate(E484:E487,F484:F487,AC484:AC487,AD484:AD487)</f>
        <v>#VALUE!</v>
      </c>
      <c r="AM484" s="12" t="e">
        <f>bdrate(E484:E487,H484:H487,AC484:AC487,AF484:AF487)</f>
        <v>#VALUE!</v>
      </c>
      <c r="AN484" s="12" t="e">
        <f>bdrate(E484:E487,I484:I487,AC484:AC487,AG484:AG487)</f>
        <v>#VALUE!</v>
      </c>
      <c r="AO484" s="14" t="e">
        <f>bdrate(E484:E487,K484:K487,AC484:AC487,AI484:AI487)</f>
        <v>#VALUE!</v>
      </c>
      <c r="AP484" s="12">
        <f>bdrate(E486:E489,F486:F489,AC486:AC489,AD486:AD489)</f>
        <v>-0.20191305421120287</v>
      </c>
      <c r="AQ484" s="12">
        <f>bdrate(E486:E489,H486:H489,AC486:AC489,AF486:AF489)</f>
        <v>-0.21979440862351485</v>
      </c>
      <c r="AR484" s="12">
        <f>bdrate(E486:E489,I486:I489,AC486:AC489,AG486:AG489)</f>
        <v>-0.26106511767369334</v>
      </c>
      <c r="AS484" s="14">
        <f>bdrate(E486:E489,K486:K489,AC486:AC489,AI486:AI489)</f>
        <v>-0.16987151942850565</v>
      </c>
      <c r="AT484" s="7"/>
      <c r="BA484" s="1"/>
      <c r="BB484" s="1"/>
      <c r="BC484" s="1"/>
      <c r="BD484" s="13" t="e">
        <f>bdrate(E484:E487,F484:F487,AU484:AU487,AV484:AV487)</f>
        <v>#VALUE!</v>
      </c>
      <c r="BE484" s="12" t="e">
        <f>bdrate(E484:E487,H484:H487,AU484:AU487,AX484:AX487)</f>
        <v>#VALUE!</v>
      </c>
      <c r="BF484" s="12" t="e">
        <f>bdrate(E484:E487,I484:I487,AU484:AU487,AY484:AY487)</f>
        <v>#VALUE!</v>
      </c>
      <c r="BG484" s="14" t="e">
        <f>bdrate(E484:E487,K484:K487,AU484:AU487,BA484:BA487)</f>
        <v>#VALUE!</v>
      </c>
      <c r="BH484" s="12">
        <f>bdrate(E486:E489,F486:F489,AU486:AU489,AV486:AV489)</f>
        <v>0.34830954971190176</v>
      </c>
      <c r="BI484" s="12">
        <f>bdrate(E486:E489,H486:H489,AU486:AU489,AX486:AX489)</f>
        <v>-0.48736879065335903</v>
      </c>
      <c r="BJ484" s="12">
        <f>bdrate(E486:E489,I486:I489,AU486:AU489,AY486:AY489)</f>
        <v>0.2712282681977316</v>
      </c>
      <c r="BK484" s="14">
        <f>bdrate(E486:E489,K486:K489,AU486:AU489,BA486:BA489)</f>
        <v>-0.45267999241433821</v>
      </c>
    </row>
    <row r="485" spans="1:63">
      <c r="A485" s="49"/>
      <c r="B485" s="7" t="s">
        <v>18</v>
      </c>
      <c r="C485" s="17">
        <v>1</v>
      </c>
      <c r="D485" s="7">
        <v>26</v>
      </c>
      <c r="E485">
        <v>0.94386800130208304</v>
      </c>
      <c r="F485">
        <v>39.273306303789099</v>
      </c>
      <c r="G485">
        <v>0.99196763630918405</v>
      </c>
      <c r="H485">
        <v>20.9515663568977</v>
      </c>
      <c r="I485">
        <v>42.370763261112202</v>
      </c>
      <c r="J485">
        <v>0.994784675418666</v>
      </c>
      <c r="K485" s="8">
        <v>22.827186576122099</v>
      </c>
      <c r="L485" s="7">
        <v>23</v>
      </c>
      <c r="M485">
        <v>0.94053141276041596</v>
      </c>
      <c r="N485">
        <v>40.155352407567896</v>
      </c>
      <c r="O485">
        <v>0.99321309804880797</v>
      </c>
      <c r="P485">
        <v>21.683284249154799</v>
      </c>
      <c r="Q485">
        <v>43.343364966451198</v>
      </c>
      <c r="R485">
        <v>0.99569601923407902</v>
      </c>
      <c r="S485" s="1">
        <v>23.661296781579701</v>
      </c>
      <c r="T485" s="7"/>
      <c r="U485" s="1"/>
      <c r="V485" s="1"/>
      <c r="W485" s="8"/>
      <c r="X485" s="7"/>
      <c r="Y485" s="1"/>
      <c r="Z485" s="1"/>
      <c r="AA485" s="8"/>
      <c r="AB485" s="7">
        <v>64</v>
      </c>
      <c r="AC485">
        <v>0.58530680338541596</v>
      </c>
      <c r="AD485">
        <v>37.701650525823901</v>
      </c>
      <c r="AE485">
        <v>0.98997464716390704</v>
      </c>
      <c r="AF485">
        <v>19.989003337131201</v>
      </c>
      <c r="AG485">
        <v>40.8651126626023</v>
      </c>
      <c r="AH485">
        <v>0.99280089656138404</v>
      </c>
      <c r="AI485" s="1">
        <v>21.427215863335501</v>
      </c>
      <c r="AJ485" s="1">
        <v>8.4026036262512207</v>
      </c>
      <c r="AK485" s="1">
        <v>4.5772171020507804</v>
      </c>
      <c r="AL485" s="7"/>
      <c r="AM485" s="1"/>
      <c r="AN485" s="1"/>
      <c r="AO485" s="8"/>
      <c r="AP485" s="1"/>
      <c r="AQ485" s="1"/>
      <c r="AR485" s="1"/>
      <c r="AS485" s="8"/>
      <c r="AT485" s="7">
        <v>0.64</v>
      </c>
      <c r="AU485">
        <v>0.49818929036458298</v>
      </c>
      <c r="AV485">
        <v>33.298140385912099</v>
      </c>
      <c r="AW485">
        <v>0.99250272939764905</v>
      </c>
      <c r="AX485">
        <v>21.250968136854901</v>
      </c>
      <c r="AY485">
        <v>36.854211828779299</v>
      </c>
      <c r="AZ485">
        <v>0.99418250090229698</v>
      </c>
      <c r="BA485" s="1">
        <v>22.352636754005399</v>
      </c>
      <c r="BB485" s="1">
        <v>6.7860543727874703</v>
      </c>
      <c r="BC485" s="1">
        <v>4.0005834102630597</v>
      </c>
      <c r="BD485" s="7"/>
      <c r="BE485" s="1"/>
      <c r="BF485" s="1"/>
      <c r="BG485" s="8"/>
      <c r="BH485" s="1"/>
      <c r="BI485" s="1"/>
      <c r="BJ485" s="1"/>
      <c r="BK485" s="8"/>
    </row>
    <row r="486" spans="1:63">
      <c r="A486" s="49"/>
      <c r="B486" s="7" t="s">
        <v>18</v>
      </c>
      <c r="C486" s="17">
        <v>0.5</v>
      </c>
      <c r="D486" s="7">
        <v>32</v>
      </c>
      <c r="E486">
        <v>0.46714274088541602</v>
      </c>
      <c r="F486">
        <v>35.596516236072702</v>
      </c>
      <c r="G486">
        <v>0.98230481472935705</v>
      </c>
      <c r="H486">
        <v>17.521448858890601</v>
      </c>
      <c r="I486">
        <v>38.711435450566299</v>
      </c>
      <c r="J486">
        <v>0.98662066178996899</v>
      </c>
      <c r="K486" s="8">
        <v>18.735653677968799</v>
      </c>
      <c r="L486" s="7">
        <v>29</v>
      </c>
      <c r="M486">
        <v>0.47593180338541602</v>
      </c>
      <c r="N486">
        <v>36.826633050660497</v>
      </c>
      <c r="O486">
        <v>0.98610158836092199</v>
      </c>
      <c r="P486">
        <v>18.570348296595402</v>
      </c>
      <c r="Q486">
        <v>40.028807971527499</v>
      </c>
      <c r="R486">
        <v>0.98963406287641398</v>
      </c>
      <c r="S486" s="1">
        <v>19.843914297780501</v>
      </c>
      <c r="T486" s="7"/>
      <c r="U486" s="1"/>
      <c r="V486" s="1"/>
      <c r="W486" s="8"/>
      <c r="X486" s="7"/>
      <c r="Y486" s="1"/>
      <c r="Z486" s="1"/>
      <c r="AA486" s="8"/>
      <c r="AB486" s="7">
        <v>32</v>
      </c>
      <c r="AC486">
        <v>0.41554768880208298</v>
      </c>
      <c r="AD486">
        <v>36.084114767584801</v>
      </c>
      <c r="AE486">
        <v>0.98525343520594899</v>
      </c>
      <c r="AF486">
        <v>18.313091366174799</v>
      </c>
      <c r="AG486">
        <v>39.316901277055898</v>
      </c>
      <c r="AH486">
        <v>0.98841302085788996</v>
      </c>
      <c r="AI486" s="1">
        <v>19.360297748143601</v>
      </c>
      <c r="AJ486" s="1">
        <v>14.4089765548706</v>
      </c>
      <c r="AK486" s="1">
        <v>8.7126951217651296</v>
      </c>
      <c r="AL486" s="7"/>
      <c r="AM486" s="1"/>
      <c r="AN486" s="1"/>
      <c r="AO486" s="8"/>
      <c r="AP486" s="1"/>
      <c r="AQ486" s="1"/>
      <c r="AR486" s="1"/>
      <c r="AS486" s="8"/>
      <c r="AT486" s="7">
        <v>0.32</v>
      </c>
      <c r="AU486">
        <v>0.36419677734375</v>
      </c>
      <c r="AV486">
        <v>32.469221205832902</v>
      </c>
      <c r="AW486">
        <v>0.98929354771941802</v>
      </c>
      <c r="AX486">
        <v>19.7035441434208</v>
      </c>
      <c r="AY486">
        <v>36.0256881048618</v>
      </c>
      <c r="AZ486">
        <v>0.991410055462983</v>
      </c>
      <c r="BA486" s="1">
        <v>20.660096402834501</v>
      </c>
      <c r="BB486" s="1">
        <v>6.5935466289520201</v>
      </c>
      <c r="BC486" s="1">
        <v>4.0288941860198904</v>
      </c>
      <c r="BD486" s="7"/>
      <c r="BE486" s="1"/>
      <c r="BF486" s="1"/>
      <c r="BG486" s="8"/>
      <c r="BH486" s="1"/>
      <c r="BI486" s="1"/>
      <c r="BJ486" s="1"/>
      <c r="BK486" s="8"/>
    </row>
    <row r="487" spans="1:63">
      <c r="A487" s="49"/>
      <c r="B487" s="7" t="s">
        <v>18</v>
      </c>
      <c r="C487" s="17">
        <v>0.25</v>
      </c>
      <c r="D487" s="7">
        <v>37</v>
      </c>
      <c r="E487">
        <v>0.24210611979166599</v>
      </c>
      <c r="F487">
        <v>32.6037997715692</v>
      </c>
      <c r="G487">
        <v>0.96579131342669999</v>
      </c>
      <c r="H487">
        <v>14.658636000306201</v>
      </c>
      <c r="I487">
        <v>35.779505693161298</v>
      </c>
      <c r="J487">
        <v>0.97156058590959304</v>
      </c>
      <c r="K487" s="8">
        <v>15.460793551969999</v>
      </c>
      <c r="L487" s="7">
        <v>35</v>
      </c>
      <c r="M487">
        <v>0.22686767578125</v>
      </c>
      <c r="N487">
        <v>33.459940430760597</v>
      </c>
      <c r="O487">
        <v>0.96971248015007006</v>
      </c>
      <c r="P487">
        <v>15.1873628822506</v>
      </c>
      <c r="Q487">
        <v>36.785766984848301</v>
      </c>
      <c r="R487">
        <v>0.97426936111692197</v>
      </c>
      <c r="S487" s="1">
        <v>15.895494302704</v>
      </c>
      <c r="T487" s="7"/>
      <c r="U487" s="1"/>
      <c r="V487" s="1"/>
      <c r="W487" s="8"/>
      <c r="X487" s="7"/>
      <c r="Y487" s="1"/>
      <c r="Z487" s="1"/>
      <c r="AA487" s="8"/>
      <c r="AB487" s="7">
        <v>16</v>
      </c>
      <c r="AC487">
        <v>0.28029378255208298</v>
      </c>
      <c r="AD487">
        <v>34.271261624512903</v>
      </c>
      <c r="AE487">
        <v>0.97718095825433304</v>
      </c>
      <c r="AF487">
        <v>16.4170259713548</v>
      </c>
      <c r="AG487">
        <v>37.637202910193402</v>
      </c>
      <c r="AH487">
        <v>0.98067178231375596</v>
      </c>
      <c r="AI487" s="1">
        <v>17.138081917405501</v>
      </c>
      <c r="AJ487" s="1">
        <v>6.42295050621032</v>
      </c>
      <c r="AK487" s="1">
        <v>4.0239701271057102</v>
      </c>
      <c r="AL487" s="7"/>
      <c r="AM487" s="1"/>
      <c r="AN487" s="1"/>
      <c r="AO487" s="8"/>
      <c r="AP487" s="1"/>
      <c r="AQ487" s="1"/>
      <c r="AR487" s="1"/>
      <c r="AS487" s="8"/>
      <c r="AT487" s="7">
        <v>0.16</v>
      </c>
      <c r="AU487">
        <v>0.25368245442708298</v>
      </c>
      <c r="AV487">
        <v>31.472587388405898</v>
      </c>
      <c r="AW487">
        <v>0.983765616589106</v>
      </c>
      <c r="AX487">
        <v>17.8956420142243</v>
      </c>
      <c r="AY487">
        <v>34.989521032615201</v>
      </c>
      <c r="AZ487">
        <v>0.98649384377323202</v>
      </c>
      <c r="BA487" s="1">
        <v>18.694682310684701</v>
      </c>
      <c r="BB487" s="1">
        <v>6.3607792854309002</v>
      </c>
      <c r="BC487" s="1">
        <v>3.6785194873809801</v>
      </c>
      <c r="BD487" s="7"/>
      <c r="BE487" s="1"/>
      <c r="BF487" s="1"/>
      <c r="BG487" s="8"/>
      <c r="BH487" s="1"/>
      <c r="BI487" s="1"/>
      <c r="BJ487" s="1"/>
      <c r="BK487" s="8"/>
    </row>
    <row r="488" spans="1:63">
      <c r="A488" s="49"/>
      <c r="B488" s="7" t="s">
        <v>18</v>
      </c>
      <c r="C488" s="17">
        <v>0.12</v>
      </c>
      <c r="D488" s="7">
        <v>42</v>
      </c>
      <c r="E488">
        <v>0.119140625</v>
      </c>
      <c r="F488">
        <v>29.859361025565399</v>
      </c>
      <c r="G488">
        <v>0.93727425465286296</v>
      </c>
      <c r="H488">
        <v>12.0255416941988</v>
      </c>
      <c r="I488">
        <v>33.143617457599902</v>
      </c>
      <c r="J488">
        <v>0.94412698441116005</v>
      </c>
      <c r="K488" s="8">
        <v>12.527978881843101</v>
      </c>
      <c r="L488" s="7">
        <v>40</v>
      </c>
      <c r="M488">
        <v>0.11503092447916601</v>
      </c>
      <c r="N488">
        <v>30.686375541517101</v>
      </c>
      <c r="O488">
        <v>0.94400437147332905</v>
      </c>
      <c r="P488">
        <v>12.5184587622325</v>
      </c>
      <c r="Q488">
        <v>34.169060776594797</v>
      </c>
      <c r="R488">
        <v>0.94951690568659897</v>
      </c>
      <c r="S488" s="1">
        <v>12.968540332795801</v>
      </c>
      <c r="T488" s="7"/>
      <c r="U488" s="1"/>
      <c r="V488" s="1"/>
      <c r="W488" s="8"/>
      <c r="X488" s="7"/>
      <c r="Y488" s="1"/>
      <c r="Z488" s="1"/>
      <c r="AA488" s="8"/>
      <c r="AB488" s="7">
        <v>8</v>
      </c>
      <c r="AC488">
        <v>0.19020589192708301</v>
      </c>
      <c r="AD488">
        <v>32.539424865856297</v>
      </c>
      <c r="AE488">
        <v>0.96602243562842705</v>
      </c>
      <c r="AF488">
        <v>14.688077560702</v>
      </c>
      <c r="AG488">
        <v>36.099809971541603</v>
      </c>
      <c r="AH488">
        <v>0.96963854728822096</v>
      </c>
      <c r="AI488" s="1">
        <v>15.1767745248619</v>
      </c>
      <c r="AJ488" s="1">
        <v>6.4952747821807799</v>
      </c>
      <c r="AK488" s="1">
        <v>3.99414682388305</v>
      </c>
      <c r="AL488" s="7"/>
      <c r="AM488" s="1"/>
      <c r="AN488" s="1"/>
      <c r="AO488" s="8"/>
      <c r="AP488" s="1"/>
      <c r="AQ488" s="1"/>
      <c r="AR488" s="1"/>
      <c r="AS488" s="8"/>
      <c r="AT488" s="7">
        <v>0.08</v>
      </c>
      <c r="AU488">
        <v>0.17576090494791599</v>
      </c>
      <c r="AV488">
        <v>30.3170131640953</v>
      </c>
      <c r="AW488">
        <v>0.97568990797990596</v>
      </c>
      <c r="AX488">
        <v>16.142133972346901</v>
      </c>
      <c r="AY488">
        <v>33.753891235913699</v>
      </c>
      <c r="AZ488">
        <v>0.97915449447634995</v>
      </c>
      <c r="BA488" s="1">
        <v>16.8098756834917</v>
      </c>
      <c r="BB488" s="1">
        <v>6.7306668758392298</v>
      </c>
      <c r="BC488" s="1">
        <v>4.4155673980712802</v>
      </c>
      <c r="BD488" s="7"/>
      <c r="BE488" s="1"/>
      <c r="BF488" s="1"/>
      <c r="BG488" s="8"/>
      <c r="BH488" s="1"/>
      <c r="BI488" s="1"/>
      <c r="BJ488" s="1"/>
      <c r="BK488" s="8"/>
    </row>
    <row r="489" spans="1:63">
      <c r="A489" s="49"/>
      <c r="B489" s="7" t="s">
        <v>18</v>
      </c>
      <c r="C489" s="17">
        <v>0.06</v>
      </c>
      <c r="D489" s="7">
        <v>47</v>
      </c>
      <c r="E489">
        <v>5.560302734375E-2</v>
      </c>
      <c r="F489">
        <v>27.282150267047498</v>
      </c>
      <c r="G489">
        <v>0.88913579327753001</v>
      </c>
      <c r="H489">
        <v>9.5520864620456205</v>
      </c>
      <c r="I489">
        <v>30.678963694903199</v>
      </c>
      <c r="J489">
        <v>0.896470698577299</v>
      </c>
      <c r="K489" s="8">
        <v>9.8493671643692995</v>
      </c>
      <c r="L489" s="7">
        <v>45</v>
      </c>
      <c r="M489">
        <v>5.56640625E-2</v>
      </c>
      <c r="N489">
        <v>28.105784070177499</v>
      </c>
      <c r="O489">
        <v>0.89917538411036801</v>
      </c>
      <c r="P489">
        <v>9.9643342384383704</v>
      </c>
      <c r="Q489">
        <v>31.700314924592799</v>
      </c>
      <c r="R489">
        <v>0.90505361152696995</v>
      </c>
      <c r="S489" s="1">
        <v>10.2252155010615</v>
      </c>
      <c r="T489" s="7"/>
      <c r="U489" s="1"/>
      <c r="V489" s="1"/>
      <c r="W489" s="8"/>
      <c r="X489" s="7"/>
      <c r="Y489" s="1"/>
      <c r="Z489" s="1"/>
      <c r="AA489" s="8"/>
      <c r="AB489" s="7">
        <v>4</v>
      </c>
      <c r="AC489">
        <v>0.12689208984375</v>
      </c>
      <c r="AD489">
        <v>30.8490866843294</v>
      </c>
      <c r="AE489">
        <v>0.94860088244220198</v>
      </c>
      <c r="AF489">
        <v>12.8904433709556</v>
      </c>
      <c r="AG489">
        <v>34.511096639462501</v>
      </c>
      <c r="AH489">
        <v>0.95279607537986</v>
      </c>
      <c r="AI489" s="1">
        <v>13.2602189183173</v>
      </c>
      <c r="AJ489" s="1">
        <v>6.7462913990020699</v>
      </c>
      <c r="AK489" s="1">
        <v>4.4873645305633501</v>
      </c>
      <c r="AL489" s="7"/>
      <c r="AM489" s="1"/>
      <c r="AN489" s="1"/>
      <c r="AO489" s="8"/>
      <c r="AP489" s="1"/>
      <c r="AQ489" s="1"/>
      <c r="AR489" s="1"/>
      <c r="AS489" s="8"/>
      <c r="AT489" s="7">
        <v>0.04</v>
      </c>
      <c r="AU489">
        <v>0.12070719401041601</v>
      </c>
      <c r="AV489">
        <v>29.126478026222401</v>
      </c>
      <c r="AW489">
        <v>0.96378501412376205</v>
      </c>
      <c r="AX489">
        <v>14.4111167983709</v>
      </c>
      <c r="AY489">
        <v>32.4578291189477</v>
      </c>
      <c r="AZ489">
        <v>0.968109989774255</v>
      </c>
      <c r="BA489" s="1">
        <v>14.9634534149759</v>
      </c>
      <c r="BB489" s="1">
        <v>6.98549103736877</v>
      </c>
      <c r="BC489" s="1">
        <v>4.5101194381713796</v>
      </c>
      <c r="BD489" s="7"/>
      <c r="BE489" s="1"/>
      <c r="BF489" s="1"/>
      <c r="BG489" s="8"/>
      <c r="BH489" s="1"/>
      <c r="BI489" s="1"/>
      <c r="BJ489" s="1"/>
      <c r="BK489" s="8"/>
    </row>
    <row r="490" spans="1:63">
      <c r="A490" s="49"/>
      <c r="B490" s="7" t="s">
        <v>103</v>
      </c>
      <c r="C490" s="17">
        <v>1.5</v>
      </c>
      <c r="D490" s="7">
        <v>29</v>
      </c>
      <c r="E490">
        <v>1.39495849609375</v>
      </c>
      <c r="F490">
        <v>35.607091142117703</v>
      </c>
      <c r="G490">
        <v>0.98643259041116504</v>
      </c>
      <c r="H490">
        <v>18.6750306381158</v>
      </c>
      <c r="I490">
        <v>38.697627825214603</v>
      </c>
      <c r="J490">
        <v>0.99145728647090003</v>
      </c>
      <c r="K490" s="8">
        <v>20.6840415700085</v>
      </c>
      <c r="L490" s="7">
        <v>26</v>
      </c>
      <c r="M490">
        <v>1.4036661783854101</v>
      </c>
      <c r="N490">
        <v>36.638593565214897</v>
      </c>
      <c r="O490">
        <v>0.98897904030080197</v>
      </c>
      <c r="P490">
        <v>19.5778058570944</v>
      </c>
      <c r="Q490">
        <v>39.793087306822201</v>
      </c>
      <c r="R490">
        <v>0.99313946834661704</v>
      </c>
      <c r="S490" s="1">
        <v>21.636422275609199</v>
      </c>
      <c r="T490" s="13">
        <f>bdrate(E490:E493,F490:F493,M490:M493,N490:N493)</f>
        <v>-0.17148010167975547</v>
      </c>
      <c r="U490" s="12">
        <f>bdrate(E490:E493,H490:H493,M490:M493,P490:P493)</f>
        <v>-0.17695175859210699</v>
      </c>
      <c r="V490" s="12">
        <f>bdrate(E490:E493,I490:I493,M490:M493,Q490:Q493)</f>
        <v>-0.18157343653777247</v>
      </c>
      <c r="W490" s="14">
        <f>bdrate(E490:E493,K490:K493,M490:M493,S490:S493)</f>
        <v>-0.13825745295691116</v>
      </c>
      <c r="X490" s="13">
        <f>bdrate(E492:E495,F492:F495,M492:M495,N492:N495)</f>
        <v>-0.18637962114436457</v>
      </c>
      <c r="Y490" s="12">
        <f>bdrate(E492:E495,H492:H495,M492:M495,P492:P495)</f>
        <v>-0.16749149167744304</v>
      </c>
      <c r="Z490" s="12">
        <f>bdrate(E492:E495,I492:I495,M492:M495,Q492:Q495)</f>
        <v>-0.21226308970246999</v>
      </c>
      <c r="AA490" s="14">
        <f>bdrate(E492:E495,K492:K495,M492:M495,S492:S495)</f>
        <v>-0.12758888408379976</v>
      </c>
      <c r="AB490" s="7"/>
      <c r="AI490" s="1"/>
      <c r="AJ490" s="1"/>
      <c r="AK490" s="1"/>
      <c r="AL490" s="13" t="e">
        <f>bdrate(E490:E493,F490:F493,AC490:AC493,AD490:AD493)</f>
        <v>#VALUE!</v>
      </c>
      <c r="AM490" s="12" t="e">
        <f>bdrate(E490:E493,H490:H493,AC490:AC493,AF490:AF493)</f>
        <v>#VALUE!</v>
      </c>
      <c r="AN490" s="12" t="e">
        <f>bdrate(E490:E493,I490:I493,AC490:AC493,AG490:AG493)</f>
        <v>#VALUE!</v>
      </c>
      <c r="AO490" s="14" t="e">
        <f>bdrate(E490:E493,K490:K493,AC490:AC493,AI490:AI493)</f>
        <v>#VALUE!</v>
      </c>
      <c r="AP490" s="12">
        <f>bdrate(E492:E495,F492:F495,AC492:AC495,AD492:AD495)</f>
        <v>-0.18802820917178453</v>
      </c>
      <c r="AQ490" s="12">
        <f>bdrate(E492:E495,H492:H495,AC492:AC495,AF492:AF495)</f>
        <v>-0.2581026046867525</v>
      </c>
      <c r="AR490" s="12">
        <f>bdrate(E492:E495,I492:I495,AC492:AC495,AG492:AG495)</f>
        <v>-0.24971848945140795</v>
      </c>
      <c r="AS490" s="14">
        <f>bdrate(E492:E495,K492:K495,AC492:AC495,AI492:AI495)</f>
        <v>-0.1748166504462414</v>
      </c>
      <c r="AT490" s="7"/>
      <c r="BA490" s="1"/>
      <c r="BB490" s="1"/>
      <c r="BC490" s="1"/>
      <c r="BD490" s="13" t="e">
        <f>bdrate(E490:E493,F490:F493,AU490:AU493,AV490:AV493)</f>
        <v>#VALUE!</v>
      </c>
      <c r="BE490" s="12" t="e">
        <f>bdrate(E490:E493,H490:H493,AU490:AU493,AX490:AX493)</f>
        <v>#VALUE!</v>
      </c>
      <c r="BF490" s="12" t="e">
        <f>bdrate(E490:E493,I490:I493,AU490:AU493,AY490:AY493)</f>
        <v>#VALUE!</v>
      </c>
      <c r="BG490" s="14" t="e">
        <f>bdrate(E490:E493,K490:K493,AU490:AU493,BA490:BA493)</f>
        <v>#VALUE!</v>
      </c>
      <c r="BH490" s="12">
        <f>bdrate(E492:E495,F492:F495,AU492:AU495,AV492:AV495)</f>
        <v>0.36576992449925871</v>
      </c>
      <c r="BI490" s="12">
        <f>bdrate(E492:E495,H492:H495,AU492:AU495,AX492:AX495)</f>
        <v>-0.52579210324648651</v>
      </c>
      <c r="BJ490" s="12">
        <f>bdrate(E492:E495,I492:I495,AU492:AU495,AY492:AY495)</f>
        <v>0.23877831978049313</v>
      </c>
      <c r="BK490" s="14">
        <f>bdrate(E492:E495,K492:K495,AU492:AU495,BA492:BA495)</f>
        <v>-0.46800906446210666</v>
      </c>
    </row>
    <row r="491" spans="1:63">
      <c r="A491" s="49"/>
      <c r="B491" s="7" t="s">
        <v>18</v>
      </c>
      <c r="C491" s="17">
        <v>1</v>
      </c>
      <c r="D491" s="7">
        <v>33</v>
      </c>
      <c r="E491">
        <v>0.89853922526041596</v>
      </c>
      <c r="F491">
        <v>32.814660051971998</v>
      </c>
      <c r="G491">
        <v>0.97624599308997195</v>
      </c>
      <c r="H491">
        <v>16.242631215281001</v>
      </c>
      <c r="I491">
        <v>35.869080685646303</v>
      </c>
      <c r="J491">
        <v>0.98446550154143897</v>
      </c>
      <c r="K491" s="8">
        <v>18.0870276366397</v>
      </c>
      <c r="L491" s="7">
        <v>30</v>
      </c>
      <c r="M491">
        <v>0.92685953776041596</v>
      </c>
      <c r="N491">
        <v>34.060919977704302</v>
      </c>
      <c r="O491">
        <v>0.98171886438984501</v>
      </c>
      <c r="P491">
        <v>17.3799682972335</v>
      </c>
      <c r="Q491">
        <v>37.163727534326497</v>
      </c>
      <c r="R491">
        <v>0.98774116052203198</v>
      </c>
      <c r="S491" s="1">
        <v>19.1155064174019</v>
      </c>
      <c r="T491" s="7"/>
      <c r="U491" s="1"/>
      <c r="V491" s="1"/>
      <c r="W491" s="8"/>
      <c r="X491" s="7"/>
      <c r="Y491" s="1"/>
      <c r="Z491" s="1"/>
      <c r="AA491" s="8"/>
      <c r="AB491" s="7">
        <v>64</v>
      </c>
      <c r="AC491">
        <v>1.1480509440104101</v>
      </c>
      <c r="AD491">
        <v>34.9454410392011</v>
      </c>
      <c r="AE491">
        <v>0.98765303350800504</v>
      </c>
      <c r="AF491">
        <v>19.084397304702101</v>
      </c>
      <c r="AG491">
        <v>38.025404169185201</v>
      </c>
      <c r="AH491">
        <v>0.99248524869626498</v>
      </c>
      <c r="AI491" s="1">
        <v>21.240853875591402</v>
      </c>
      <c r="AJ491" s="1">
        <v>9.6053140163421595</v>
      </c>
      <c r="AK491" s="1">
        <v>4.5002231597900302</v>
      </c>
      <c r="AL491" s="7"/>
      <c r="AM491" s="1"/>
      <c r="AN491" s="1"/>
      <c r="AO491" s="8"/>
      <c r="AP491" s="1"/>
      <c r="AQ491" s="1"/>
      <c r="AR491" s="1"/>
      <c r="AS491" s="8"/>
      <c r="AT491" s="7">
        <v>0.64</v>
      </c>
      <c r="AU491">
        <v>0.73170979817708304</v>
      </c>
      <c r="AV491">
        <v>28.523767856612999</v>
      </c>
      <c r="AW491">
        <v>0.98765908108113898</v>
      </c>
      <c r="AX491">
        <v>19.086525010376199</v>
      </c>
      <c r="AY491">
        <v>32.142566245407401</v>
      </c>
      <c r="AZ491">
        <v>0.99076923203742595</v>
      </c>
      <c r="BA491" s="1">
        <v>20.347621659260099</v>
      </c>
      <c r="BB491" s="1">
        <v>6.9634735584258998</v>
      </c>
      <c r="BC491" s="1">
        <v>4.1777486801147399</v>
      </c>
      <c r="BD491" s="7"/>
      <c r="BE491" s="1"/>
      <c r="BF491" s="1"/>
      <c r="BG491" s="8"/>
      <c r="BH491" s="1"/>
      <c r="BI491" s="1"/>
      <c r="BJ491" s="1"/>
      <c r="BK491" s="8"/>
    </row>
    <row r="492" spans="1:63">
      <c r="A492" s="49"/>
      <c r="B492" s="7" t="s">
        <v>18</v>
      </c>
      <c r="C492" s="17">
        <v>0.5</v>
      </c>
      <c r="D492" s="7">
        <v>38</v>
      </c>
      <c r="E492">
        <v>0.461669921875</v>
      </c>
      <c r="F492">
        <v>29.4154260048889</v>
      </c>
      <c r="G492">
        <v>0.95059429169756904</v>
      </c>
      <c r="H492">
        <v>13.062228700839301</v>
      </c>
      <c r="I492">
        <v>32.463792758630198</v>
      </c>
      <c r="J492">
        <v>0.96431824091409701</v>
      </c>
      <c r="K492" s="8">
        <v>14.475537433522801</v>
      </c>
      <c r="L492" s="7">
        <v>36</v>
      </c>
      <c r="M492">
        <v>0.44222005208333298</v>
      </c>
      <c r="N492">
        <v>30.115903486556402</v>
      </c>
      <c r="O492">
        <v>0.958084307504245</v>
      </c>
      <c r="P492">
        <v>13.7762335439848</v>
      </c>
      <c r="Q492">
        <v>33.233221194103798</v>
      </c>
      <c r="R492">
        <v>0.968561866187439</v>
      </c>
      <c r="S492" s="1">
        <v>15.0254324186168</v>
      </c>
      <c r="T492" s="7"/>
      <c r="U492" s="1"/>
      <c r="V492" s="1"/>
      <c r="W492" s="8"/>
      <c r="X492" s="7"/>
      <c r="Y492" s="1"/>
      <c r="Z492" s="1"/>
      <c r="AA492" s="8"/>
      <c r="AB492" s="7">
        <v>32</v>
      </c>
      <c r="AC492">
        <v>0.85614013671875</v>
      </c>
      <c r="AD492">
        <v>33.494472216118702</v>
      </c>
      <c r="AE492">
        <v>0.98241534468027403</v>
      </c>
      <c r="AF492">
        <v>17.5486613995485</v>
      </c>
      <c r="AG492">
        <v>36.582355726146297</v>
      </c>
      <c r="AH492">
        <v>0.98808056880220596</v>
      </c>
      <c r="AI492" s="1">
        <v>19.237444688871701</v>
      </c>
      <c r="AJ492" s="1">
        <v>11.2732460498809</v>
      </c>
      <c r="AK492" s="1">
        <v>8.1456234455108607</v>
      </c>
      <c r="AL492" s="7"/>
      <c r="AM492" s="1"/>
      <c r="AN492" s="1"/>
      <c r="AO492" s="8"/>
      <c r="AP492" s="1"/>
      <c r="AQ492" s="1"/>
      <c r="AR492" s="1"/>
      <c r="AS492" s="8"/>
      <c r="AT492" s="7">
        <v>0.32</v>
      </c>
      <c r="AU492">
        <v>0.57021077473958304</v>
      </c>
      <c r="AV492">
        <v>28.109945535430999</v>
      </c>
      <c r="AW492">
        <v>0.98378055403386699</v>
      </c>
      <c r="AX492">
        <v>17.899639847710301</v>
      </c>
      <c r="AY492">
        <v>31.673049538691899</v>
      </c>
      <c r="AZ492">
        <v>0.98760839295200797</v>
      </c>
      <c r="BA492" s="1">
        <v>19.068723670043799</v>
      </c>
      <c r="BB492" s="1">
        <v>6.0969829559326101</v>
      </c>
      <c r="BC492" s="1">
        <v>4.2864933013915998</v>
      </c>
      <c r="BD492" s="7"/>
      <c r="BE492" s="1"/>
      <c r="BF492" s="1"/>
      <c r="BG492" s="8"/>
      <c r="BH492" s="1"/>
      <c r="BI492" s="1"/>
      <c r="BJ492" s="1"/>
      <c r="BK492" s="8"/>
    </row>
    <row r="493" spans="1:63">
      <c r="A493" s="49"/>
      <c r="B493" s="7" t="s">
        <v>18</v>
      </c>
      <c r="C493" s="17">
        <v>0.25</v>
      </c>
      <c r="D493" s="7">
        <v>42</v>
      </c>
      <c r="E493">
        <v>0.23720296223958301</v>
      </c>
      <c r="F493">
        <v>26.8785779144511</v>
      </c>
      <c r="G493">
        <v>0.91096235686413496</v>
      </c>
      <c r="H493">
        <v>10.5042634448012</v>
      </c>
      <c r="I493">
        <v>29.976491893664701</v>
      </c>
      <c r="J493">
        <v>0.92871731844390804</v>
      </c>
      <c r="K493" s="8">
        <v>11.470159711049</v>
      </c>
      <c r="L493" s="7">
        <v>40</v>
      </c>
      <c r="M493">
        <v>0.23600260416666599</v>
      </c>
      <c r="N493">
        <v>27.553723452909999</v>
      </c>
      <c r="O493">
        <v>0.92399469148498403</v>
      </c>
      <c r="P493">
        <v>11.191560737946601</v>
      </c>
      <c r="Q493">
        <v>30.7255611175637</v>
      </c>
      <c r="R493">
        <v>0.93779223199976502</v>
      </c>
      <c r="S493" s="1">
        <v>12.061553807594199</v>
      </c>
      <c r="T493" s="7"/>
      <c r="U493" s="1"/>
      <c r="V493" s="1"/>
      <c r="W493" s="8"/>
      <c r="X493" s="7"/>
      <c r="Y493" s="1"/>
      <c r="Z493" s="1"/>
      <c r="AA493" s="8"/>
      <c r="AB493" s="7">
        <v>16</v>
      </c>
      <c r="AC493">
        <v>0.59979248046875</v>
      </c>
      <c r="AD493">
        <v>31.6327917926581</v>
      </c>
      <c r="AE493">
        <v>0.97326357975905597</v>
      </c>
      <c r="AF493">
        <v>15.7289674119063</v>
      </c>
      <c r="AG493">
        <v>34.806566107914698</v>
      </c>
      <c r="AH493">
        <v>0.98012696748718597</v>
      </c>
      <c r="AI493" s="1">
        <v>17.017358569418999</v>
      </c>
      <c r="AJ493" s="1">
        <v>6.6477084159851003</v>
      </c>
      <c r="AK493" s="1">
        <v>4.2933275699615399</v>
      </c>
      <c r="AL493" s="7"/>
      <c r="AM493" s="1"/>
      <c r="AN493" s="1"/>
      <c r="AO493" s="8"/>
      <c r="AP493" s="1"/>
      <c r="AQ493" s="1"/>
      <c r="AR493" s="1"/>
      <c r="AS493" s="8"/>
      <c r="AT493" s="7">
        <v>0.16</v>
      </c>
      <c r="AU493">
        <v>0.41668701171875</v>
      </c>
      <c r="AV493">
        <v>27.532794192472601</v>
      </c>
      <c r="AW493">
        <v>0.976358619332795</v>
      </c>
      <c r="AX493">
        <v>16.2632716405816</v>
      </c>
      <c r="AY493">
        <v>31.010350548713902</v>
      </c>
      <c r="AZ493">
        <v>0.98143531565975795</v>
      </c>
      <c r="BA493" s="1">
        <v>17.313124307877501</v>
      </c>
      <c r="BB493" s="1">
        <v>6.1521182060241699</v>
      </c>
      <c r="BC493" s="1">
        <v>4.0868756771087602</v>
      </c>
      <c r="BD493" s="7"/>
      <c r="BE493" s="1"/>
      <c r="BF493" s="1"/>
      <c r="BG493" s="8"/>
      <c r="BH493" s="1"/>
      <c r="BI493" s="1"/>
      <c r="BJ493" s="1"/>
      <c r="BK493" s="8"/>
    </row>
    <row r="494" spans="1:63">
      <c r="A494" s="49"/>
      <c r="B494" s="7" t="s">
        <v>18</v>
      </c>
      <c r="C494" s="17">
        <v>0.12</v>
      </c>
      <c r="D494" s="7">
        <v>46</v>
      </c>
      <c r="E494">
        <v>0.10508219401041601</v>
      </c>
      <c r="F494">
        <v>24.690328779944601</v>
      </c>
      <c r="G494">
        <v>0.84425740086822998</v>
      </c>
      <c r="H494">
        <v>8.0759258179624602</v>
      </c>
      <c r="I494">
        <v>27.823156760793101</v>
      </c>
      <c r="J494">
        <v>0.86526533543948103</v>
      </c>
      <c r="K494" s="8">
        <v>8.7052065453272203</v>
      </c>
      <c r="L494" s="7">
        <v>44</v>
      </c>
      <c r="M494">
        <v>0.112325032552083</v>
      </c>
      <c r="N494">
        <v>25.3353401083655</v>
      </c>
      <c r="O494">
        <v>0.86447599256561503</v>
      </c>
      <c r="P494">
        <v>8.6798376476936205</v>
      </c>
      <c r="Q494">
        <v>28.558364435788398</v>
      </c>
      <c r="R494">
        <v>0.88104975410040398</v>
      </c>
      <c r="S494" s="1">
        <v>9.2463465583161408</v>
      </c>
      <c r="T494" s="7"/>
      <c r="U494" s="1"/>
      <c r="V494" s="1"/>
      <c r="W494" s="8"/>
      <c r="X494" s="7"/>
      <c r="Y494" s="1"/>
      <c r="Z494" s="1"/>
      <c r="AA494" s="8"/>
      <c r="AB494" s="7">
        <v>8</v>
      </c>
      <c r="AC494">
        <v>0.40122477213541602</v>
      </c>
      <c r="AD494">
        <v>29.696734096646601</v>
      </c>
      <c r="AE494">
        <v>0.95871914498123101</v>
      </c>
      <c r="AF494">
        <v>13.8425131607833</v>
      </c>
      <c r="AG494">
        <v>33.009068388178498</v>
      </c>
      <c r="AH494">
        <v>0.96668323099360098</v>
      </c>
      <c r="AI494" s="1">
        <v>14.7733712223312</v>
      </c>
      <c r="AJ494" s="1">
        <v>6.2553164958953804</v>
      </c>
      <c r="AK494" s="1">
        <v>4.2577145099639804</v>
      </c>
      <c r="AL494" s="7"/>
      <c r="AM494" s="1"/>
      <c r="AN494" s="1"/>
      <c r="AO494" s="8"/>
      <c r="AP494" s="1"/>
      <c r="AQ494" s="1"/>
      <c r="AR494" s="1"/>
      <c r="AS494" s="8"/>
      <c r="AT494" s="7">
        <v>0.08</v>
      </c>
      <c r="AU494">
        <v>0.29246012369791602</v>
      </c>
      <c r="AV494">
        <v>26.679401320870198</v>
      </c>
      <c r="AW494">
        <v>0.963963960969489</v>
      </c>
      <c r="AX494">
        <v>14.4326295137027</v>
      </c>
      <c r="AY494">
        <v>30.0729861695167</v>
      </c>
      <c r="AZ494">
        <v>0.97077059001868105</v>
      </c>
      <c r="BA494" s="1">
        <v>15.341799511305499</v>
      </c>
      <c r="BB494" s="1">
        <v>6.6740601062774596</v>
      </c>
      <c r="BC494" s="1">
        <v>4.6306207180023096</v>
      </c>
      <c r="BD494" s="7"/>
      <c r="BE494" s="1"/>
      <c r="BF494" s="1"/>
      <c r="BG494" s="8"/>
      <c r="BH494" s="1"/>
      <c r="BI494" s="1"/>
      <c r="BJ494" s="1"/>
      <c r="BK494" s="8"/>
    </row>
    <row r="495" spans="1:63">
      <c r="A495" s="49"/>
      <c r="B495" s="7" t="s">
        <v>18</v>
      </c>
      <c r="C495" s="17">
        <v>0.06</v>
      </c>
      <c r="D495" s="7">
        <v>49</v>
      </c>
      <c r="E495">
        <v>5.3324381510416602E-2</v>
      </c>
      <c r="F495">
        <v>23.395555249804701</v>
      </c>
      <c r="G495">
        <v>0.78353440734565205</v>
      </c>
      <c r="H495">
        <v>6.6461112521308303</v>
      </c>
      <c r="I495">
        <v>26.535380332913899</v>
      </c>
      <c r="J495">
        <v>0.80308920930362004</v>
      </c>
      <c r="K495" s="8">
        <v>7.0573048390512296</v>
      </c>
      <c r="L495" s="7">
        <v>47</v>
      </c>
      <c r="M495">
        <v>5.8003743489583301E-2</v>
      </c>
      <c r="N495">
        <v>23.915758977084199</v>
      </c>
      <c r="O495">
        <v>0.80512000573124798</v>
      </c>
      <c r="P495">
        <v>7.1023274181943501</v>
      </c>
      <c r="Q495">
        <v>27.1567317895888</v>
      </c>
      <c r="R495">
        <v>0.82220453784253</v>
      </c>
      <c r="S495" s="1">
        <v>7.5007932764656999</v>
      </c>
      <c r="T495" s="7"/>
      <c r="U495" s="1"/>
      <c r="V495" s="1"/>
      <c r="W495" s="8"/>
      <c r="X495" s="7"/>
      <c r="Y495" s="1"/>
      <c r="Z495" s="1"/>
      <c r="AA495" s="8"/>
      <c r="AB495" s="7">
        <v>4</v>
      </c>
      <c r="AC495">
        <v>0.25486246744791602</v>
      </c>
      <c r="AD495">
        <v>27.799518441001201</v>
      </c>
      <c r="AE495">
        <v>0.93341963000025796</v>
      </c>
      <c r="AF495">
        <v>11.7665379571585</v>
      </c>
      <c r="AG495">
        <v>31.2171769209878</v>
      </c>
      <c r="AH495">
        <v>0.94360998562392995</v>
      </c>
      <c r="AI495" s="1">
        <v>12.487977946926</v>
      </c>
      <c r="AJ495" s="1">
        <v>6.8688385486602703</v>
      </c>
      <c r="AK495" s="1">
        <v>4.2880506515502903</v>
      </c>
      <c r="AL495" s="7"/>
      <c r="AM495" s="1"/>
      <c r="AN495" s="1"/>
      <c r="AO495" s="8"/>
      <c r="AP495" s="1"/>
      <c r="AQ495" s="1"/>
      <c r="AR495" s="1"/>
      <c r="AS495" s="8"/>
      <c r="AT495" s="7">
        <v>0.04</v>
      </c>
      <c r="AU495">
        <v>0.19525146484375</v>
      </c>
      <c r="AV495">
        <v>25.6781359463785</v>
      </c>
      <c r="AW495">
        <v>0.94448397895497904</v>
      </c>
      <c r="AX495">
        <v>12.5558166827575</v>
      </c>
      <c r="AY495">
        <v>29.012463298667399</v>
      </c>
      <c r="AZ495">
        <v>0.95361549984465199</v>
      </c>
      <c r="BA495" s="1">
        <v>13.336271190480501</v>
      </c>
      <c r="BB495" s="1">
        <v>6.8461418151855398</v>
      </c>
      <c r="BC495" s="1">
        <v>4.9243369102478001</v>
      </c>
      <c r="BD495" s="7"/>
      <c r="BE495" s="1"/>
      <c r="BF495" s="1"/>
      <c r="BG495" s="8"/>
      <c r="BH495" s="1"/>
      <c r="BI495" s="1"/>
      <c r="BJ495" s="1"/>
      <c r="BK495" s="8"/>
    </row>
    <row r="496" spans="1:63">
      <c r="A496" s="49"/>
      <c r="B496" s="7" t="s">
        <v>104</v>
      </c>
      <c r="C496" s="17">
        <v>1.5</v>
      </c>
      <c r="D496" s="7">
        <v>25</v>
      </c>
      <c r="E496">
        <v>1.3686319986979101</v>
      </c>
      <c r="F496">
        <v>39.390285661982702</v>
      </c>
      <c r="G496">
        <v>0.99131476773148297</v>
      </c>
      <c r="H496">
        <v>20.612185627567499</v>
      </c>
      <c r="I496">
        <v>42.488954156895403</v>
      </c>
      <c r="J496">
        <v>0.99505779748405598</v>
      </c>
      <c r="K496" s="8">
        <v>23.060794625448999</v>
      </c>
      <c r="L496" s="7">
        <v>21</v>
      </c>
      <c r="M496">
        <v>1.49871826171875</v>
      </c>
      <c r="N496">
        <v>40.767193651418303</v>
      </c>
      <c r="O496">
        <v>0.99346157157721604</v>
      </c>
      <c r="P496">
        <v>21.845266261914201</v>
      </c>
      <c r="Q496">
        <v>43.973509169804402</v>
      </c>
      <c r="R496">
        <v>0.99637307416125598</v>
      </c>
      <c r="S496" s="1">
        <v>24.404613245280601</v>
      </c>
      <c r="T496" s="13">
        <f>bdrate(E496:E499,F496:F499,M496:M499,N496:N499)</f>
        <v>-0.19641598849467323</v>
      </c>
      <c r="U496" s="12">
        <f>bdrate(E496:E499,H496:H499,M496:M499,P496:P499)</f>
        <v>-0.22074097243652613</v>
      </c>
      <c r="V496" s="12">
        <f>bdrate(E496:E499,I496:I499,M496:M499,Q496:Q499)</f>
        <v>-0.21554550835988551</v>
      </c>
      <c r="W496" s="14">
        <f>bdrate(E496:E499,K496:K499,M496:M499,S496:S499)</f>
        <v>-0.13639847418420625</v>
      </c>
      <c r="X496" s="13">
        <f>bdrate(E498:E501,F498:F501,M498:M501,N498:N501)</f>
        <v>-0.26944825225426683</v>
      </c>
      <c r="Y496" s="12">
        <f>bdrate(E498:E501,H498:H501,M498:M501,P498:P501)</f>
        <v>-0.23890432466668887</v>
      </c>
      <c r="Z496" s="12">
        <f>bdrate(E498:E501,I498:I501,M498:M501,Q498:Q501)</f>
        <v>-0.32449067340930604</v>
      </c>
      <c r="AA496" s="14">
        <f>bdrate(E498:E501,K498:K501,M498:M501,S498:S501)</f>
        <v>-0.17234692351910552</v>
      </c>
      <c r="AB496" s="7"/>
      <c r="AI496" s="1"/>
      <c r="AJ496" s="1"/>
      <c r="AK496" s="1"/>
      <c r="AL496" s="13" t="e">
        <f>bdrate(E496:E499,F496:F499,AC496:AC499,AD496:AD499)</f>
        <v>#VALUE!</v>
      </c>
      <c r="AM496" s="12" t="e">
        <f>bdrate(E496:E499,H496:H499,AC496:AC499,AF496:AF499)</f>
        <v>#VALUE!</v>
      </c>
      <c r="AN496" s="12" t="e">
        <f>bdrate(E496:E499,I496:I499,AC496:AC499,AG496:AG499)</f>
        <v>#VALUE!</v>
      </c>
      <c r="AO496" s="14" t="e">
        <f>bdrate(E496:E499,K496:K499,AC496:AC499,AI496:AI499)</f>
        <v>#VALUE!</v>
      </c>
      <c r="AP496" s="12">
        <f>bdrate(E498:E501,F498:F501,AC498:AC501,AD498:AD501)</f>
        <v>-0.16685619531428109</v>
      </c>
      <c r="AQ496" s="12">
        <f>bdrate(E498:E501,H498:H501,AC498:AC501,AF498:AF501)</f>
        <v>-0.23183439681052609</v>
      </c>
      <c r="AR496" s="12">
        <f>bdrate(E498:E501,I498:I501,AC498:AC501,AG498:AG501)</f>
        <v>-0.247397100828746</v>
      </c>
      <c r="AS496" s="14">
        <f>bdrate(E498:E501,K498:K501,AC498:AC501,AI498:AI501)</f>
        <v>-0.14482295272327961</v>
      </c>
      <c r="AT496" s="7"/>
      <c r="BA496" s="1"/>
      <c r="BB496" s="1"/>
      <c r="BC496" s="1"/>
      <c r="BD496" s="13" t="e">
        <f>bdrate(E496:E499,F496:F499,AU496:AU499,AV496:AV499)</f>
        <v>#VALUE!</v>
      </c>
      <c r="BE496" s="12" t="e">
        <f>bdrate(E496:E499,H496:H499,AU496:AU499,AX496:AX499)</f>
        <v>#VALUE!</v>
      </c>
      <c r="BF496" s="12" t="e">
        <f>bdrate(E496:E499,I496:I499,AU496:AU499,AY496:AY499)</f>
        <v>#VALUE!</v>
      </c>
      <c r="BG496" s="14" t="e">
        <f>bdrate(E496:E499,K496:K499,AU496:AU499,BA496:BA499)</f>
        <v>#VALUE!</v>
      </c>
      <c r="BH496" s="12">
        <f>bdrate(E498:E501,F498:F501,AU498:AU501,AV498:AV501)</f>
        <v>0.75256009186823092</v>
      </c>
      <c r="BI496" s="12">
        <f>bdrate(E498:E501,H498:H501,AU498:AU501,AX498:AX501)</f>
        <v>-0.53745145415624618</v>
      </c>
      <c r="BJ496" s="12">
        <f>bdrate(E498:E501,I498:I501,AU498:AU501,AY498:AY501)</f>
        <v>0.64518762873878144</v>
      </c>
      <c r="BK496" s="14">
        <f>bdrate(E498:E501,K498:K501,AU498:AU501,BA498:BA501)</f>
        <v>-0.48914500687962503</v>
      </c>
    </row>
    <row r="497" spans="1:63">
      <c r="A497" s="49"/>
      <c r="B497" s="7" t="s">
        <v>18</v>
      </c>
      <c r="C497" s="17">
        <v>1</v>
      </c>
      <c r="D497" s="7">
        <v>28</v>
      </c>
      <c r="E497">
        <v>0.9881591796875</v>
      </c>
      <c r="F497">
        <v>37.3862695937637</v>
      </c>
      <c r="G497">
        <v>0.98737762560127096</v>
      </c>
      <c r="H497">
        <v>18.988589421385399</v>
      </c>
      <c r="I497">
        <v>40.439587440441898</v>
      </c>
      <c r="J497">
        <v>0.99221571273847298</v>
      </c>
      <c r="K497" s="8">
        <v>21.087811457877802</v>
      </c>
      <c r="L497" s="7">
        <v>26</v>
      </c>
      <c r="M497">
        <v>0.89532470703125</v>
      </c>
      <c r="N497">
        <v>37.885988850520903</v>
      </c>
      <c r="O497">
        <v>0.98898751901687898</v>
      </c>
      <c r="P497">
        <v>19.5811482853975</v>
      </c>
      <c r="Q497">
        <v>40.9902583290366</v>
      </c>
      <c r="R497">
        <v>0.99261548645063202</v>
      </c>
      <c r="S497" s="1">
        <v>21.316781083118801</v>
      </c>
      <c r="T497" s="7"/>
      <c r="U497" s="1"/>
      <c r="V497" s="1"/>
      <c r="W497" s="8"/>
      <c r="X497" s="7"/>
      <c r="Y497" s="1"/>
      <c r="Z497" s="1"/>
      <c r="AA497" s="8"/>
      <c r="AB497" s="7">
        <v>64</v>
      </c>
      <c r="AC497">
        <v>0.80006917317708304</v>
      </c>
      <c r="AD497">
        <v>36.882217539004699</v>
      </c>
      <c r="AE497">
        <v>0.98792290218041501</v>
      </c>
      <c r="AF497">
        <v>19.180374160764401</v>
      </c>
      <c r="AG497">
        <v>39.991687161736401</v>
      </c>
      <c r="AH497">
        <v>0.99153202589318601</v>
      </c>
      <c r="AI497" s="1">
        <v>20.722204786267799</v>
      </c>
      <c r="AJ497" s="1">
        <v>9.7454402446746808</v>
      </c>
      <c r="AK497" s="1">
        <v>4.2797367572784397</v>
      </c>
      <c r="AL497" s="7"/>
      <c r="AM497" s="1"/>
      <c r="AN497" s="1"/>
      <c r="AO497" s="8"/>
      <c r="AP497" s="1"/>
      <c r="AQ497" s="1"/>
      <c r="AR497" s="1"/>
      <c r="AS497" s="8"/>
      <c r="AT497" s="7">
        <v>0.64</v>
      </c>
      <c r="AU497">
        <v>0.55230712890625</v>
      </c>
      <c r="AV497">
        <v>31.7784249680026</v>
      </c>
      <c r="AW497">
        <v>0.98946238149723997</v>
      </c>
      <c r="AX497">
        <v>19.7725752839991</v>
      </c>
      <c r="AY497">
        <v>35.347043611739601</v>
      </c>
      <c r="AZ497">
        <v>0.99204187427361101</v>
      </c>
      <c r="BA497" s="1">
        <v>20.991892039373699</v>
      </c>
      <c r="BB497" s="1">
        <v>7.5296068191528303</v>
      </c>
      <c r="BC497" s="1">
        <v>4.4446568489074698</v>
      </c>
      <c r="BD497" s="7"/>
      <c r="BE497" s="1"/>
      <c r="BF497" s="1"/>
      <c r="BG497" s="8"/>
      <c r="BH497" s="1"/>
      <c r="BI497" s="1"/>
      <c r="BJ497" s="1"/>
      <c r="BK497" s="8"/>
    </row>
    <row r="498" spans="1:63">
      <c r="A498" s="49"/>
      <c r="B498" s="7" t="s">
        <v>18</v>
      </c>
      <c r="C498" s="17">
        <v>0.5</v>
      </c>
      <c r="D498" s="7">
        <v>34</v>
      </c>
      <c r="E498">
        <v>0.44179280598958298</v>
      </c>
      <c r="F498">
        <v>33.296178812749197</v>
      </c>
      <c r="G498">
        <v>0.97128567693011802</v>
      </c>
      <c r="H498">
        <v>15.4190141760257</v>
      </c>
      <c r="I498">
        <v>36.4275019659067</v>
      </c>
      <c r="J498">
        <v>0.97869124125102003</v>
      </c>
      <c r="K498" s="8">
        <v>16.714418475250699</v>
      </c>
      <c r="L498" s="7">
        <v>31</v>
      </c>
      <c r="M498">
        <v>0.47267659505208298</v>
      </c>
      <c r="N498">
        <v>34.662743282606797</v>
      </c>
      <c r="O498">
        <v>0.97928200693488798</v>
      </c>
      <c r="P498">
        <v>16.836523166373201</v>
      </c>
      <c r="Q498">
        <v>37.879881851315098</v>
      </c>
      <c r="R498">
        <v>0.98352570884707902</v>
      </c>
      <c r="S498" s="1">
        <v>17.831932629250201</v>
      </c>
      <c r="T498" s="7"/>
      <c r="U498" s="1"/>
      <c r="V498" s="1"/>
      <c r="W498" s="8"/>
      <c r="X498" s="7"/>
      <c r="Y498" s="1"/>
      <c r="Z498" s="1"/>
      <c r="AA498" s="8"/>
      <c r="AB498" s="7">
        <v>32</v>
      </c>
      <c r="AC498">
        <v>0.55739339192708304</v>
      </c>
      <c r="AD498">
        <v>35.040593447267398</v>
      </c>
      <c r="AE498">
        <v>0.982645728278016</v>
      </c>
      <c r="AF498">
        <v>17.605936069283199</v>
      </c>
      <c r="AG498">
        <v>38.257035749088203</v>
      </c>
      <c r="AH498">
        <v>0.98652319066490801</v>
      </c>
      <c r="AI498" s="1">
        <v>18.7041291582611</v>
      </c>
      <c r="AJ498" s="1">
        <v>14.196365594863799</v>
      </c>
      <c r="AK498" s="1">
        <v>8.4965405464172292</v>
      </c>
      <c r="AL498" s="7"/>
      <c r="AM498" s="1"/>
      <c r="AN498" s="1"/>
      <c r="AO498" s="8"/>
      <c r="AP498" s="1"/>
      <c r="AQ498" s="1"/>
      <c r="AR498" s="1"/>
      <c r="AS498" s="8"/>
      <c r="AT498" s="7">
        <v>0.32</v>
      </c>
      <c r="AU498">
        <v>0.40122477213541602</v>
      </c>
      <c r="AV498">
        <v>30.964231761073599</v>
      </c>
      <c r="AW498">
        <v>0.98591033219045598</v>
      </c>
      <c r="AX498">
        <v>18.510992460803301</v>
      </c>
      <c r="AY498">
        <v>34.498652683336701</v>
      </c>
      <c r="AZ498">
        <v>0.98900492312065902</v>
      </c>
      <c r="BA498" s="1">
        <v>19.588017296358998</v>
      </c>
      <c r="BB498" s="1">
        <v>6.5662577152252197</v>
      </c>
      <c r="BC498" s="1">
        <v>3.9117152690887398</v>
      </c>
      <c r="BD498" s="7"/>
      <c r="BE498" s="1"/>
      <c r="BF498" s="1"/>
      <c r="BG498" s="8"/>
      <c r="BH498" s="1"/>
      <c r="BI498" s="1"/>
      <c r="BJ498" s="1"/>
      <c r="BK498" s="8"/>
    </row>
    <row r="499" spans="1:63">
      <c r="A499" s="49"/>
      <c r="B499" s="7" t="s">
        <v>18</v>
      </c>
      <c r="C499" s="17">
        <v>0.25</v>
      </c>
      <c r="D499" s="7">
        <v>38</v>
      </c>
      <c r="E499">
        <v>0.22977701822916599</v>
      </c>
      <c r="F499">
        <v>30.8182003575759</v>
      </c>
      <c r="G499">
        <v>0.94845677546043705</v>
      </c>
      <c r="H499">
        <v>12.878284155108799</v>
      </c>
      <c r="I499">
        <v>34.057634654564097</v>
      </c>
      <c r="J499">
        <v>0.95687420122978994</v>
      </c>
      <c r="K499" s="8">
        <v>13.652628479005401</v>
      </c>
      <c r="L499" s="7">
        <v>36</v>
      </c>
      <c r="M499">
        <v>0.21445719401041599</v>
      </c>
      <c r="N499">
        <v>31.554542545574101</v>
      </c>
      <c r="O499">
        <v>0.955848115597148</v>
      </c>
      <c r="P499">
        <v>13.5505075599817</v>
      </c>
      <c r="Q499">
        <v>34.999967724441397</v>
      </c>
      <c r="R499">
        <v>0.96063095485920502</v>
      </c>
      <c r="S499" s="1">
        <v>14.048451184867</v>
      </c>
      <c r="T499" s="7"/>
      <c r="U499" s="1"/>
      <c r="V499" s="1"/>
      <c r="W499" s="8"/>
      <c r="X499" s="7"/>
      <c r="Y499" s="1"/>
      <c r="Z499" s="1"/>
      <c r="AA499" s="8"/>
      <c r="AB499" s="7">
        <v>16</v>
      </c>
      <c r="AC499">
        <v>0.34027099609375</v>
      </c>
      <c r="AD499">
        <v>32.856848605399698</v>
      </c>
      <c r="AE499">
        <v>0.97175305524254196</v>
      </c>
      <c r="AF499">
        <v>15.4902851941031</v>
      </c>
      <c r="AG499">
        <v>36.255125622610201</v>
      </c>
      <c r="AH499">
        <v>0.97580740589352999</v>
      </c>
      <c r="AI499" s="1">
        <v>16.163175609179198</v>
      </c>
      <c r="AJ499" s="1">
        <v>7.2770633697509703</v>
      </c>
      <c r="AK499" s="1">
        <v>4.3597512245178196</v>
      </c>
      <c r="AL499" s="7"/>
      <c r="AM499" s="1"/>
      <c r="AN499" s="1"/>
      <c r="AO499" s="8"/>
      <c r="AP499" s="1"/>
      <c r="AQ499" s="1"/>
      <c r="AR499" s="1"/>
      <c r="AS499" s="8"/>
      <c r="AT499" s="7">
        <v>0.16</v>
      </c>
      <c r="AU499">
        <v>0.28981526692708298</v>
      </c>
      <c r="AV499">
        <v>29.897055053836102</v>
      </c>
      <c r="AW499">
        <v>0.98044852917815895</v>
      </c>
      <c r="AX499">
        <v>17.088205658496001</v>
      </c>
      <c r="AY499">
        <v>33.410727041084201</v>
      </c>
      <c r="AZ499">
        <v>0.98407955563957195</v>
      </c>
      <c r="BA499" s="1">
        <v>17.980448147020802</v>
      </c>
      <c r="BB499" s="1">
        <v>5.9987163543701101</v>
      </c>
      <c r="BC499" s="1">
        <v>3.7959847450256299</v>
      </c>
      <c r="BD499" s="7"/>
      <c r="BE499" s="1"/>
      <c r="BF499" s="1"/>
      <c r="BG499" s="8"/>
      <c r="BH499" s="1"/>
      <c r="BI499" s="1"/>
      <c r="BJ499" s="1"/>
      <c r="BK499" s="8"/>
    </row>
    <row r="500" spans="1:63">
      <c r="A500" s="49"/>
      <c r="B500" s="7" t="s">
        <v>18</v>
      </c>
      <c r="C500" s="17">
        <v>0.12</v>
      </c>
      <c r="D500" s="7">
        <v>43</v>
      </c>
      <c r="E500">
        <v>0.1060791015625</v>
      </c>
      <c r="F500">
        <v>28.411185918326002</v>
      </c>
      <c r="G500">
        <v>0.90289891575133696</v>
      </c>
      <c r="H500">
        <v>10.1277592065242</v>
      </c>
      <c r="I500">
        <v>31.683503877434099</v>
      </c>
      <c r="J500">
        <v>0.91205982258006202</v>
      </c>
      <c r="K500" s="8">
        <v>10.558126625231999</v>
      </c>
      <c r="L500" s="7">
        <v>40</v>
      </c>
      <c r="M500">
        <v>0.111470540364583</v>
      </c>
      <c r="N500">
        <v>29.606698705093301</v>
      </c>
      <c r="O500">
        <v>0.92503359340497604</v>
      </c>
      <c r="P500">
        <v>11.2513330592532</v>
      </c>
      <c r="Q500">
        <v>33.117182779066901</v>
      </c>
      <c r="R500">
        <v>0.92996230872488805</v>
      </c>
      <c r="S500" s="1">
        <v>11.5466817845102</v>
      </c>
      <c r="T500" s="7"/>
      <c r="U500" s="1"/>
      <c r="V500" s="1"/>
      <c r="W500" s="8"/>
      <c r="X500" s="7"/>
      <c r="Y500" s="1"/>
      <c r="Z500" s="1"/>
      <c r="AA500" s="8"/>
      <c r="AB500" s="7">
        <v>8</v>
      </c>
      <c r="AC500">
        <v>0.20452880859375</v>
      </c>
      <c r="AD500">
        <v>31.0880306917247</v>
      </c>
      <c r="AE500">
        <v>0.95479029101214496</v>
      </c>
      <c r="AF500">
        <v>13.4476828848385</v>
      </c>
      <c r="AG500">
        <v>34.693314790770103</v>
      </c>
      <c r="AH500">
        <v>0.95879570801599201</v>
      </c>
      <c r="AI500" s="1">
        <v>13.850575439695801</v>
      </c>
      <c r="AJ500" s="1">
        <v>5.9857847690582204</v>
      </c>
      <c r="AK500" s="1">
        <v>4.2537560462951598</v>
      </c>
      <c r="AL500" s="7"/>
      <c r="AM500" s="1"/>
      <c r="AN500" s="1"/>
      <c r="AO500" s="8"/>
      <c r="AP500" s="1"/>
      <c r="AQ500" s="1"/>
      <c r="AR500" s="1"/>
      <c r="AS500" s="8"/>
      <c r="AT500" s="7">
        <v>0.08</v>
      </c>
      <c r="AU500">
        <v>0.20249430338541599</v>
      </c>
      <c r="AV500">
        <v>28.606811386325301</v>
      </c>
      <c r="AW500">
        <v>0.97157136811739797</v>
      </c>
      <c r="AX500">
        <v>15.4624404006804</v>
      </c>
      <c r="AY500">
        <v>32.020276972969398</v>
      </c>
      <c r="AZ500">
        <v>0.97592438430901896</v>
      </c>
      <c r="BA500" s="1">
        <v>16.184225977537299</v>
      </c>
      <c r="BB500" s="1">
        <v>6.7543795108795104</v>
      </c>
      <c r="BC500" s="1">
        <v>4.2038829326629603</v>
      </c>
      <c r="BD500" s="7"/>
      <c r="BE500" s="1"/>
      <c r="BF500" s="1"/>
      <c r="BG500" s="8"/>
      <c r="BH500" s="1"/>
      <c r="BI500" s="1"/>
      <c r="BJ500" s="1"/>
      <c r="BK500" s="8"/>
    </row>
    <row r="501" spans="1:63">
      <c r="A501" s="49"/>
      <c r="B501" s="7" t="s">
        <v>18</v>
      </c>
      <c r="C501" s="17">
        <v>0.06</v>
      </c>
      <c r="D501" s="7">
        <v>47</v>
      </c>
      <c r="E501">
        <v>5.7413736979166602E-2</v>
      </c>
      <c r="F501">
        <v>26.651143931566899</v>
      </c>
      <c r="G501">
        <v>0.86095611629477498</v>
      </c>
      <c r="H501">
        <v>8.5684811022658796</v>
      </c>
      <c r="I501">
        <v>29.961080828626098</v>
      </c>
      <c r="J501">
        <v>0.86955311564912596</v>
      </c>
      <c r="K501" s="8">
        <v>8.84566289314869</v>
      </c>
      <c r="L501" s="7">
        <v>45</v>
      </c>
      <c r="M501">
        <v>5.4402669270833301E-2</v>
      </c>
      <c r="N501">
        <v>27.527224647090499</v>
      </c>
      <c r="O501">
        <v>0.87777455870805898</v>
      </c>
      <c r="P501">
        <v>9.1283838605178307</v>
      </c>
      <c r="Q501">
        <v>31.0704025928266</v>
      </c>
      <c r="R501">
        <v>0.88172092678496805</v>
      </c>
      <c r="S501" s="1">
        <v>9.2709208708111301</v>
      </c>
      <c r="T501" s="7"/>
      <c r="U501" s="1"/>
      <c r="V501" s="1"/>
      <c r="W501" s="8"/>
      <c r="X501" s="7"/>
      <c r="Y501" s="1"/>
      <c r="Z501" s="1"/>
      <c r="AA501" s="8"/>
      <c r="AB501" s="7">
        <v>4</v>
      </c>
      <c r="AC501">
        <v>0.13051350911458301</v>
      </c>
      <c r="AD501">
        <v>29.658103341025001</v>
      </c>
      <c r="AE501">
        <v>0.93125510372416398</v>
      </c>
      <c r="AF501">
        <v>11.6275953897433</v>
      </c>
      <c r="AG501">
        <v>33.301957003255097</v>
      </c>
      <c r="AH501">
        <v>0.93485214013307505</v>
      </c>
      <c r="AI501" s="1">
        <v>11.8609984646331</v>
      </c>
      <c r="AJ501" s="1">
        <v>6.2360346317291198</v>
      </c>
      <c r="AK501" s="1">
        <v>4.1244399547576904</v>
      </c>
      <c r="AL501" s="7"/>
      <c r="AM501" s="1"/>
      <c r="AN501" s="1"/>
      <c r="AO501" s="8"/>
      <c r="AP501" s="1"/>
      <c r="AQ501" s="1"/>
      <c r="AR501" s="1"/>
      <c r="AS501" s="8"/>
      <c r="AT501" s="7">
        <v>0.04</v>
      </c>
      <c r="AU501">
        <v>0.13295491536458301</v>
      </c>
      <c r="AV501">
        <v>27.186574458627799</v>
      </c>
      <c r="AW501">
        <v>0.95681159697505702</v>
      </c>
      <c r="AX501">
        <v>13.646328545373001</v>
      </c>
      <c r="AY501">
        <v>30.5885464389684</v>
      </c>
      <c r="AZ501">
        <v>0.96162374399372297</v>
      </c>
      <c r="BA501" s="1">
        <v>14.1593739737355</v>
      </c>
      <c r="BB501" s="1">
        <v>6.6925904750823904</v>
      </c>
      <c r="BC501" s="1">
        <v>4.7989990711212096</v>
      </c>
      <c r="BD501" s="7"/>
      <c r="BE501" s="1"/>
      <c r="BF501" s="1"/>
      <c r="BG501" s="8"/>
      <c r="BH501" s="1"/>
      <c r="BI501" s="1"/>
      <c r="BJ501" s="1"/>
      <c r="BK501" s="8"/>
    </row>
    <row r="502" spans="1:63">
      <c r="A502" s="49"/>
      <c r="B502" s="7" t="s">
        <v>105</v>
      </c>
      <c r="C502" s="17">
        <v>1.5</v>
      </c>
      <c r="D502" s="7">
        <v>23</v>
      </c>
      <c r="E502">
        <v>1.4524332682291601</v>
      </c>
      <c r="F502">
        <v>40.514221268745899</v>
      </c>
      <c r="G502">
        <v>0.99042973000868395</v>
      </c>
      <c r="H502">
        <v>20.190758099677101</v>
      </c>
      <c r="I502">
        <v>43.727979163148703</v>
      </c>
      <c r="J502">
        <v>0.99461780216776396</v>
      </c>
      <c r="K502" s="8">
        <v>22.690403430142599</v>
      </c>
      <c r="L502" s="7">
        <v>20</v>
      </c>
      <c r="M502">
        <v>1.4905598958333299</v>
      </c>
      <c r="N502">
        <v>41.695226377079599</v>
      </c>
      <c r="O502">
        <v>0.99269596024239704</v>
      </c>
      <c r="P502">
        <v>21.364368715005099</v>
      </c>
      <c r="Q502">
        <v>44.888750719729202</v>
      </c>
      <c r="R502">
        <v>0.99578662346326696</v>
      </c>
      <c r="S502" s="1">
        <v>23.7536972755295</v>
      </c>
      <c r="T502" s="13">
        <f>bdrate(E502:E505,F502:F505,M502:M505,N502:N505)</f>
        <v>-0.22485197602467655</v>
      </c>
      <c r="U502" s="12">
        <f>bdrate(E502:E505,H502:H505,M502:M505,P502:P505)</f>
        <v>-0.232403947727849</v>
      </c>
      <c r="V502" s="12">
        <f>bdrate(E502:E505,I502:I505,M502:M505,Q502:Q505)</f>
        <v>-0.22412338721907665</v>
      </c>
      <c r="W502" s="14">
        <f>bdrate(E502:E505,K502:K505,M502:M505,S502:S505)</f>
        <v>-0.1442674519795103</v>
      </c>
      <c r="X502" s="13">
        <f>bdrate(E504:E507,F504:F507,M504:M507,N504:N507)</f>
        <v>-0.27150797849808128</v>
      </c>
      <c r="Y502" s="12">
        <f>bdrate(E504:E507,H504:H507,M504:M507,P504:P507)</f>
        <v>-0.29063337842098247</v>
      </c>
      <c r="Z502" s="12">
        <f>bdrate(E504:E507,I504:I507,M504:M507,Q504:Q507)</f>
        <v>-0.29193957493749667</v>
      </c>
      <c r="AA502" s="14">
        <f>bdrate(E504:E507,K504:K507,M504:M507,S504:S507)</f>
        <v>-0.16435715520200278</v>
      </c>
      <c r="AB502" s="7"/>
      <c r="AI502" s="1"/>
      <c r="AJ502" s="1"/>
      <c r="AK502" s="1"/>
      <c r="AL502" s="13" t="e">
        <f>bdrate(E502:E505,F502:F505,AC502:AC505,AD502:AD505)</f>
        <v>#VALUE!</v>
      </c>
      <c r="AM502" s="12" t="e">
        <f>bdrate(E502:E505,H502:H505,AC502:AC505,AF502:AF505)</f>
        <v>#VALUE!</v>
      </c>
      <c r="AN502" s="12" t="e">
        <f>bdrate(E502:E505,I502:I505,AC502:AC505,AG502:AG505)</f>
        <v>#VALUE!</v>
      </c>
      <c r="AO502" s="14" t="e">
        <f>bdrate(E502:E505,K502:K505,AC502:AC505,AI502:AI505)</f>
        <v>#VALUE!</v>
      </c>
      <c r="AP502" s="12">
        <f>bdrate(E504:E507,F504:F507,AC504:AC507,AD504:AD507)</f>
        <v>-9.9957188157876686E-2</v>
      </c>
      <c r="AQ502" s="12">
        <f>bdrate(E504:E507,H504:H507,AC504:AC507,AF504:AF507)</f>
        <v>-0.23677598518429999</v>
      </c>
      <c r="AR502" s="12">
        <f>bdrate(E504:E507,I504:I507,AC504:AC507,AG504:AG507)</f>
        <v>-0.12997929553184573</v>
      </c>
      <c r="AS502" s="14">
        <f>bdrate(E504:E507,K504:K507,AC504:AC507,AI504:AI507)</f>
        <v>-0.13945071136437337</v>
      </c>
      <c r="AT502" s="7"/>
      <c r="BA502" s="1"/>
      <c r="BB502" s="1"/>
      <c r="BC502" s="1"/>
      <c r="BD502" s="13" t="e">
        <f>bdrate(E502:E505,F502:F505,AU502:AU505,AV502:AV505)</f>
        <v>#VALUE!</v>
      </c>
      <c r="BE502" s="12" t="e">
        <f>bdrate(E502:E505,H502:H505,AU502:AU505,AX502:AX505)</f>
        <v>#VALUE!</v>
      </c>
      <c r="BF502" s="12" t="e">
        <f>bdrate(E502:E505,I502:I505,AU502:AU505,AY502:AY505)</f>
        <v>#VALUE!</v>
      </c>
      <c r="BG502" s="14" t="e">
        <f>bdrate(E502:E505,K502:K505,AU502:AU505,BA502:BA505)</f>
        <v>#VALUE!</v>
      </c>
      <c r="BH502" s="12">
        <f>bdrate(E504:E507,F504:F507,AU504:AU507,AV504:AV507)</f>
        <v>1.5036060868435328</v>
      </c>
      <c r="BI502" s="12">
        <f>bdrate(E504:E507,H504:H507,AU504:AU507,AX504:AX507)</f>
        <v>-0.48231456056384558</v>
      </c>
      <c r="BJ502" s="12">
        <f>bdrate(E504:E507,I504:I507,AU504:AU507,AY504:AY507)</f>
        <v>1.4697234975098503</v>
      </c>
      <c r="BK502" s="14">
        <f>bdrate(E504:E507,K504:K507,AU504:AU507,BA504:BA507)</f>
        <v>-0.42166034762627669</v>
      </c>
    </row>
    <row r="503" spans="1:63">
      <c r="A503" s="49"/>
      <c r="B503" s="7" t="s">
        <v>18</v>
      </c>
      <c r="C503" s="17">
        <v>1</v>
      </c>
      <c r="D503" s="7">
        <v>26</v>
      </c>
      <c r="E503">
        <v>0.99863688151041596</v>
      </c>
      <c r="F503">
        <v>38.526813500438102</v>
      </c>
      <c r="G503">
        <v>0.98483167724338805</v>
      </c>
      <c r="H503">
        <v>18.190624388454101</v>
      </c>
      <c r="I503">
        <v>41.659694356154297</v>
      </c>
      <c r="J503">
        <v>0.99074815588222798</v>
      </c>
      <c r="K503" s="8">
        <v>20.337716931692501</v>
      </c>
      <c r="L503" s="7">
        <v>24</v>
      </c>
      <c r="M503">
        <v>0.91560872395833304</v>
      </c>
      <c r="N503">
        <v>39.222551637903599</v>
      </c>
      <c r="O503">
        <v>0.98712452356590596</v>
      </c>
      <c r="P503">
        <v>18.902366916949699</v>
      </c>
      <c r="Q503">
        <v>42.320181335679898</v>
      </c>
      <c r="R503">
        <v>0.99143358793052005</v>
      </c>
      <c r="S503" s="1">
        <v>20.672010386019799</v>
      </c>
      <c r="T503" s="7"/>
      <c r="U503" s="1"/>
      <c r="V503" s="1"/>
      <c r="W503" s="8"/>
      <c r="X503" s="7"/>
      <c r="Y503" s="1"/>
      <c r="Z503" s="1"/>
      <c r="AA503" s="8"/>
      <c r="AB503" s="7">
        <v>64</v>
      </c>
      <c r="AC503">
        <v>0.62872314453125</v>
      </c>
      <c r="AD503">
        <v>36.909347887145401</v>
      </c>
      <c r="AE503">
        <v>0.98023900593866697</v>
      </c>
      <c r="AF503">
        <v>17.041912123550201</v>
      </c>
      <c r="AG503">
        <v>40.045414360498498</v>
      </c>
      <c r="AH503">
        <v>0.98737070705962604</v>
      </c>
      <c r="AI503" s="1">
        <v>18.9862096303847</v>
      </c>
      <c r="AJ503" s="1">
        <v>9.4086725711822492</v>
      </c>
      <c r="AK503" s="1">
        <v>4.5275714397430402</v>
      </c>
      <c r="AL503" s="7"/>
      <c r="AM503" s="1"/>
      <c r="AN503" s="1"/>
      <c r="AO503" s="8"/>
      <c r="AP503" s="1"/>
      <c r="AQ503" s="1"/>
      <c r="AR503" s="1"/>
      <c r="AS503" s="8"/>
      <c r="AT503" s="7">
        <v>0.64</v>
      </c>
      <c r="AU503">
        <v>0.64117431640625</v>
      </c>
      <c r="AV503">
        <v>33.2035909520865</v>
      </c>
      <c r="AW503">
        <v>0.98827978240078895</v>
      </c>
      <c r="AX503">
        <v>19.3106432507055</v>
      </c>
      <c r="AY503">
        <v>36.530253481351401</v>
      </c>
      <c r="AZ503">
        <v>0.99163162092896995</v>
      </c>
      <c r="BA503" s="1">
        <v>20.773586553496799</v>
      </c>
      <c r="BB503" s="1">
        <v>7.4278266429901096</v>
      </c>
      <c r="BC503" s="1">
        <v>4.0244567394256503</v>
      </c>
      <c r="BD503" s="7"/>
      <c r="BE503" s="1"/>
      <c r="BF503" s="1"/>
      <c r="BG503" s="8"/>
      <c r="BH503" s="1"/>
      <c r="BI503" s="1"/>
      <c r="BJ503" s="1"/>
      <c r="BK503" s="8"/>
    </row>
    <row r="504" spans="1:63">
      <c r="A504" s="49"/>
      <c r="B504" s="7" t="s">
        <v>18</v>
      </c>
      <c r="C504" s="17">
        <v>0.5</v>
      </c>
      <c r="D504" s="7">
        <v>31</v>
      </c>
      <c r="E504">
        <v>0.47084554036458298</v>
      </c>
      <c r="F504">
        <v>35.2625997695012</v>
      </c>
      <c r="G504">
        <v>0.96727610556885502</v>
      </c>
      <c r="H504">
        <v>14.8513501706335</v>
      </c>
      <c r="I504">
        <v>38.376839313209999</v>
      </c>
      <c r="J504">
        <v>0.97812891118677203</v>
      </c>
      <c r="K504" s="8">
        <v>16.601295958464</v>
      </c>
      <c r="L504" s="7">
        <v>29</v>
      </c>
      <c r="M504">
        <v>0.45491536458333298</v>
      </c>
      <c r="N504">
        <v>36.195616144947898</v>
      </c>
      <c r="O504">
        <v>0.97402839652907303</v>
      </c>
      <c r="P504">
        <v>15.855012364670401</v>
      </c>
      <c r="Q504">
        <v>39.331584560056001</v>
      </c>
      <c r="R504">
        <v>0.98080962210399802</v>
      </c>
      <c r="S504" s="1">
        <v>17.169164730742001</v>
      </c>
      <c r="T504" s="7"/>
      <c r="U504" s="1"/>
      <c r="V504" s="1"/>
      <c r="W504" s="8"/>
      <c r="X504" s="7"/>
      <c r="Y504" s="1"/>
      <c r="Z504" s="1"/>
      <c r="AA504" s="8"/>
      <c r="AB504" s="7">
        <v>32</v>
      </c>
      <c r="AC504">
        <v>0.40260823567708298</v>
      </c>
      <c r="AD504">
        <v>35.159399405128497</v>
      </c>
      <c r="AE504">
        <v>0.97036313732464596</v>
      </c>
      <c r="AF504">
        <v>15.281677721804501</v>
      </c>
      <c r="AG504">
        <v>38.315026565177902</v>
      </c>
      <c r="AH504">
        <v>0.97944315967114004</v>
      </c>
      <c r="AI504" s="1">
        <v>16.870436374002001</v>
      </c>
      <c r="AJ504" s="1">
        <v>13.3806111812591</v>
      </c>
      <c r="AK504" s="1">
        <v>7.7563946247100803</v>
      </c>
      <c r="AL504" s="7"/>
      <c r="AM504" s="1"/>
      <c r="AN504" s="1"/>
      <c r="AO504" s="8"/>
      <c r="AP504" s="1"/>
      <c r="AQ504" s="1"/>
      <c r="AR504" s="1"/>
      <c r="AS504" s="8"/>
      <c r="AT504" s="7">
        <v>0.32</v>
      </c>
      <c r="AU504">
        <v>0.48333740234375</v>
      </c>
      <c r="AV504">
        <v>32.549479815862398</v>
      </c>
      <c r="AW504">
        <v>0.98419955436625295</v>
      </c>
      <c r="AX504">
        <v>18.0133066408685</v>
      </c>
      <c r="AY504">
        <v>35.855864945927401</v>
      </c>
      <c r="AZ504">
        <v>0.98855935620411395</v>
      </c>
      <c r="BA504" s="1">
        <v>19.415495359334098</v>
      </c>
      <c r="BB504" s="1">
        <v>6.8284201622009197</v>
      </c>
      <c r="BC504" s="1">
        <v>4.3680639266967702</v>
      </c>
      <c r="BD504" s="7"/>
      <c r="BE504" s="1"/>
      <c r="BF504" s="1"/>
      <c r="BG504" s="8"/>
      <c r="BH504" s="1"/>
      <c r="BI504" s="1"/>
      <c r="BJ504" s="1"/>
      <c r="BK504" s="8"/>
    </row>
    <row r="505" spans="1:63">
      <c r="A505" s="49"/>
      <c r="B505" s="7" t="s">
        <v>18</v>
      </c>
      <c r="C505" s="17">
        <v>0.25</v>
      </c>
      <c r="D505" s="7">
        <v>35</v>
      </c>
      <c r="E505">
        <v>0.23482259114583301</v>
      </c>
      <c r="F505">
        <v>33.008469906338902</v>
      </c>
      <c r="G505">
        <v>0.94409645678740595</v>
      </c>
      <c r="H505">
        <v>12.525606652994201</v>
      </c>
      <c r="I505">
        <v>36.133908996100502</v>
      </c>
      <c r="J505">
        <v>0.96103916615293905</v>
      </c>
      <c r="K505" s="8">
        <v>14.0937175684214</v>
      </c>
      <c r="L505" s="7">
        <v>33</v>
      </c>
      <c r="M505">
        <v>0.23799641927083301</v>
      </c>
      <c r="N505">
        <v>33.943801773154902</v>
      </c>
      <c r="O505">
        <v>0.95648301123614299</v>
      </c>
      <c r="P505">
        <v>13.613411640563401</v>
      </c>
      <c r="Q505">
        <v>37.128591669339102</v>
      </c>
      <c r="R505">
        <v>0.96625280494835697</v>
      </c>
      <c r="S505" s="1">
        <v>14.717623183653201</v>
      </c>
      <c r="T505" s="7"/>
      <c r="U505" s="1"/>
      <c r="V505" s="1"/>
      <c r="W505" s="8"/>
      <c r="X505" s="7"/>
      <c r="Y505" s="1"/>
      <c r="Z505" s="1"/>
      <c r="AA505" s="8"/>
      <c r="AB505" s="7">
        <v>16</v>
      </c>
      <c r="AC505">
        <v>0.23887125651041599</v>
      </c>
      <c r="AD505">
        <v>33.391231977519503</v>
      </c>
      <c r="AE505">
        <v>0.95429373863509304</v>
      </c>
      <c r="AF505">
        <v>13.4002430124392</v>
      </c>
      <c r="AG505">
        <v>36.593046948829901</v>
      </c>
      <c r="AH505">
        <v>0.96609984940221705</v>
      </c>
      <c r="AI505" s="1">
        <v>14.6979837248598</v>
      </c>
      <c r="AJ505" s="1">
        <v>6.0864741802215496</v>
      </c>
      <c r="AK505" s="1">
        <v>3.9812014102935702</v>
      </c>
      <c r="AL505" s="7"/>
      <c r="AM505" s="1"/>
      <c r="AN505" s="1"/>
      <c r="AO505" s="8"/>
      <c r="AP505" s="1"/>
      <c r="AQ505" s="1"/>
      <c r="AR505" s="1"/>
      <c r="AS505" s="8"/>
      <c r="AT505" s="7">
        <v>0.16</v>
      </c>
      <c r="AU505">
        <v>0.32737223307291602</v>
      </c>
      <c r="AV505">
        <v>31.501103790982199</v>
      </c>
      <c r="AW505">
        <v>0.97576863141100301</v>
      </c>
      <c r="AX505">
        <v>16.156220561941598</v>
      </c>
      <c r="AY505">
        <v>34.710828423129598</v>
      </c>
      <c r="AZ505">
        <v>0.98217619102444997</v>
      </c>
      <c r="BA505" s="1">
        <v>17.489994809783799</v>
      </c>
      <c r="BB505" s="1">
        <v>6.0944573879241899</v>
      </c>
      <c r="BC505" s="1">
        <v>4.00449466705322</v>
      </c>
      <c r="BD505" s="7"/>
      <c r="BE505" s="1"/>
      <c r="BF505" s="1"/>
      <c r="BG505" s="8"/>
      <c r="BH505" s="1"/>
      <c r="BI505" s="1"/>
      <c r="BJ505" s="1"/>
      <c r="BK505" s="8"/>
    </row>
    <row r="506" spans="1:63">
      <c r="A506" s="49"/>
      <c r="B506" s="7" t="s">
        <v>18</v>
      </c>
      <c r="C506" s="17">
        <v>0.12</v>
      </c>
      <c r="D506" s="7">
        <v>39</v>
      </c>
      <c r="E506">
        <v>0.10858154296875</v>
      </c>
      <c r="F506">
        <v>31.049176522821998</v>
      </c>
      <c r="G506">
        <v>0.912235583385968</v>
      </c>
      <c r="H506">
        <v>10.5668152965806</v>
      </c>
      <c r="I506">
        <v>34.184095615103097</v>
      </c>
      <c r="J506">
        <v>0.93657061891674498</v>
      </c>
      <c r="K506" s="8">
        <v>11.977095262414799</v>
      </c>
      <c r="L506" s="7">
        <v>37</v>
      </c>
      <c r="M506">
        <v>0.114501953125</v>
      </c>
      <c r="N506">
        <v>31.964254473884399</v>
      </c>
      <c r="O506">
        <v>0.929730065014301</v>
      </c>
      <c r="P506">
        <v>11.532304482752901</v>
      </c>
      <c r="Q506">
        <v>35.1848679351071</v>
      </c>
      <c r="R506">
        <v>0.94462802172381899</v>
      </c>
      <c r="S506" s="1">
        <v>12.567099601600599</v>
      </c>
      <c r="T506" s="7"/>
      <c r="U506" s="1"/>
      <c r="V506" s="1"/>
      <c r="W506" s="8"/>
      <c r="X506" s="7"/>
      <c r="Y506" s="1"/>
      <c r="Z506" s="1"/>
      <c r="AA506" s="8"/>
      <c r="AB506" s="7">
        <v>8</v>
      </c>
      <c r="AC506">
        <v>0.14910888671875</v>
      </c>
      <c r="AD506">
        <v>32.048985108565198</v>
      </c>
      <c r="AE506">
        <v>0.937922761899042</v>
      </c>
      <c r="AF506">
        <v>12.070676136602501</v>
      </c>
      <c r="AG506">
        <v>35.301603893304197</v>
      </c>
      <c r="AH506">
        <v>0.95133364168420198</v>
      </c>
      <c r="AI506" s="1">
        <v>13.1277115062368</v>
      </c>
      <c r="AJ506" s="1">
        <v>6.1811225414276096</v>
      </c>
      <c r="AK506" s="1">
        <v>4.1959176063537598</v>
      </c>
      <c r="AL506" s="7"/>
      <c r="AM506" s="1"/>
      <c r="AN506" s="1"/>
      <c r="AO506" s="8"/>
      <c r="AP506" s="1"/>
      <c r="AQ506" s="1"/>
      <c r="AR506" s="1"/>
      <c r="AS506" s="8"/>
      <c r="AT506" s="7">
        <v>0.08</v>
      </c>
      <c r="AU506">
        <v>0.19932047526041599</v>
      </c>
      <c r="AV506">
        <v>30.319869663909</v>
      </c>
      <c r="AW506">
        <v>0.96143332458638198</v>
      </c>
      <c r="AX506">
        <v>14.1378779726959</v>
      </c>
      <c r="AY506">
        <v>33.427450611083401</v>
      </c>
      <c r="AZ506">
        <v>0.97117473016435196</v>
      </c>
      <c r="BA506" s="1">
        <v>15.4022661854899</v>
      </c>
      <c r="BB506" s="1">
        <v>6.0856394767761204</v>
      </c>
      <c r="BC506" s="1">
        <v>4.61449766159057</v>
      </c>
      <c r="BD506" s="7"/>
      <c r="BE506" s="1"/>
      <c r="BF506" s="1"/>
      <c r="BG506" s="8"/>
      <c r="BH506" s="1"/>
      <c r="BI506" s="1"/>
      <c r="BJ506" s="1"/>
      <c r="BK506" s="8"/>
    </row>
    <row r="507" spans="1:63">
      <c r="A507" s="49"/>
      <c r="B507" s="7" t="s">
        <v>18</v>
      </c>
      <c r="C507" s="17">
        <v>0.06</v>
      </c>
      <c r="D507" s="7">
        <v>43</v>
      </c>
      <c r="E507">
        <v>5.0069173177083301E-2</v>
      </c>
      <c r="F507">
        <v>29.352836574998499</v>
      </c>
      <c r="G507">
        <v>0.87638418997382195</v>
      </c>
      <c r="H507">
        <v>9.0792598096219503</v>
      </c>
      <c r="I507">
        <v>32.495033711146903</v>
      </c>
      <c r="J507">
        <v>0.90734672672563799</v>
      </c>
      <c r="K507" s="8">
        <v>10.3313923322709</v>
      </c>
      <c r="L507" s="7">
        <v>41</v>
      </c>
      <c r="M507">
        <v>5.419921875E-2</v>
      </c>
      <c r="N507">
        <v>30.307078994393802</v>
      </c>
      <c r="O507">
        <v>0.89592434248616704</v>
      </c>
      <c r="P507">
        <v>9.8265083671091897</v>
      </c>
      <c r="Q507">
        <v>33.521173745464999</v>
      </c>
      <c r="R507">
        <v>0.91741607676215398</v>
      </c>
      <c r="S507" s="1">
        <v>10.8310448934609</v>
      </c>
      <c r="T507" s="7"/>
      <c r="U507" s="1"/>
      <c r="V507" s="1"/>
      <c r="W507" s="8"/>
      <c r="X507" s="7"/>
      <c r="Y507" s="1"/>
      <c r="Z507" s="1"/>
      <c r="AA507" s="8"/>
      <c r="AB507" s="7">
        <v>4</v>
      </c>
      <c r="AC507">
        <v>9.1898600260416602E-2</v>
      </c>
      <c r="AD507">
        <v>30.8105654057686</v>
      </c>
      <c r="AE507">
        <v>0.91408649800767405</v>
      </c>
      <c r="AF507">
        <v>10.659385779619701</v>
      </c>
      <c r="AG507">
        <v>34.0785625803736</v>
      </c>
      <c r="AH507">
        <v>0.932399832808815</v>
      </c>
      <c r="AI507" s="1">
        <v>11.700522299441699</v>
      </c>
      <c r="AJ507" s="1">
        <v>6.4876027107238698</v>
      </c>
      <c r="AK507" s="1">
        <v>4.6301314830780003</v>
      </c>
      <c r="AL507" s="7"/>
      <c r="AM507" s="1"/>
      <c r="AN507" s="1"/>
      <c r="AO507" s="8"/>
      <c r="AP507" s="1"/>
      <c r="AQ507" s="1"/>
      <c r="AR507" s="1"/>
      <c r="AS507" s="8"/>
      <c r="AT507" s="7">
        <v>0.04</v>
      </c>
      <c r="AU507">
        <v>0.12884521484375</v>
      </c>
      <c r="AV507">
        <v>29.374015206848</v>
      </c>
      <c r="AW507">
        <v>0.94509136504045099</v>
      </c>
      <c r="AX507">
        <v>12.6035935281046</v>
      </c>
      <c r="AY507">
        <v>32.439692378281997</v>
      </c>
      <c r="AZ507">
        <v>0.95866050627129396</v>
      </c>
      <c r="BA507" s="1">
        <v>13.836348463389999</v>
      </c>
      <c r="BB507" s="1">
        <v>6.4827394485473597</v>
      </c>
      <c r="BC507" s="1">
        <v>4.4159505367278999</v>
      </c>
      <c r="BD507" s="7"/>
      <c r="BE507" s="1"/>
      <c r="BF507" s="1"/>
      <c r="BG507" s="8"/>
      <c r="BH507" s="1"/>
      <c r="BI507" s="1"/>
      <c r="BJ507" s="1"/>
      <c r="BK507" s="8"/>
    </row>
    <row r="508" spans="1:63">
      <c r="A508" s="49"/>
      <c r="B508" s="7" t="s">
        <v>106</v>
      </c>
      <c r="C508" s="17">
        <v>1.5</v>
      </c>
      <c r="D508" s="7">
        <v>20</v>
      </c>
      <c r="E508">
        <v>1.4891764322916601</v>
      </c>
      <c r="F508">
        <v>43.029180550422303</v>
      </c>
      <c r="G508">
        <v>0.99493968109642605</v>
      </c>
      <c r="H508">
        <v>22.958221128641199</v>
      </c>
      <c r="I508">
        <v>47.253848471921003</v>
      </c>
      <c r="J508">
        <v>0.99844553316842799</v>
      </c>
      <c r="K508" s="8">
        <v>28.0841854027843</v>
      </c>
      <c r="L508" s="7">
        <v>18</v>
      </c>
      <c r="M508">
        <v>1.3652140299479101</v>
      </c>
      <c r="N508">
        <v>43.079810831762998</v>
      </c>
      <c r="O508">
        <v>0.99498354416093904</v>
      </c>
      <c r="P508">
        <v>22.996030065884302</v>
      </c>
      <c r="Q508">
        <v>47.480724317627597</v>
      </c>
      <c r="R508">
        <v>0.99853482049065401</v>
      </c>
      <c r="S508" s="1">
        <v>28.341091636085299</v>
      </c>
      <c r="T508" s="13">
        <f>bdrate(E508:E511,F508:F511,M508:M511,N508:N511)</f>
        <v>-0.16285596489593746</v>
      </c>
      <c r="U508" s="12">
        <f>bdrate(E508:E511,H508:H511,M508:M511,P508:P511)</f>
        <v>-0.13833087622977269</v>
      </c>
      <c r="V508" s="12">
        <f>bdrate(E508:E511,I508:I511,M508:M511,Q508:Q511)</f>
        <v>-0.17035192341664296</v>
      </c>
      <c r="W508" s="14">
        <f>bdrate(E508:E511,K508:K511,M508:M511,S508:S511)</f>
        <v>-0.12994808172547045</v>
      </c>
      <c r="X508" s="13">
        <f>bdrate(E510:E513,F510:F513,M510:M513,N510:N513)</f>
        <v>-0.24398395452175503</v>
      </c>
      <c r="Y508" s="12">
        <f>bdrate(E510:E513,H510:H513,M510:M513,P510:P513)</f>
        <v>-0.19854137113331527</v>
      </c>
      <c r="Z508" s="12">
        <f>bdrate(E510:E513,I510:I513,M510:M513,Q510:Q513)</f>
        <v>-0.26553610074542466</v>
      </c>
      <c r="AA508" s="14">
        <f>bdrate(E510:E513,K510:K513,M510:M513,S510:S513)</f>
        <v>-0.15482908224065184</v>
      </c>
      <c r="AB508" s="7"/>
      <c r="AI508" s="1"/>
      <c r="AJ508" s="1"/>
      <c r="AK508" s="1"/>
      <c r="AL508" s="13" t="e">
        <f>bdrate(E508:E511,F508:F511,AC508:AC511,AD508:AD511)</f>
        <v>#VALUE!</v>
      </c>
      <c r="AM508" s="12" t="e">
        <f>bdrate(E508:E511,H508:H511,AC508:AC511,AF508:AF511)</f>
        <v>#VALUE!</v>
      </c>
      <c r="AN508" s="12" t="e">
        <f>bdrate(E508:E511,I508:I511,AC508:AC511,AG508:AG511)</f>
        <v>#VALUE!</v>
      </c>
      <c r="AO508" s="14" t="e">
        <f>bdrate(E508:E511,K508:K511,AC508:AC511,AI508:AI511)</f>
        <v>#VALUE!</v>
      </c>
      <c r="AP508" s="12">
        <f>bdrate(E510:E513,F510:F513,AC510:AC513,AD510:AD513)</f>
        <v>-0.1571036789621274</v>
      </c>
      <c r="AQ508" s="12">
        <f>bdrate(E510:E513,H510:H513,AC510:AC513,AF510:AF513)</f>
        <v>-0.21062230342069865</v>
      </c>
      <c r="AR508" s="12">
        <f>bdrate(E510:E513,I510:I513,AC510:AC513,AG510:AG513)</f>
        <v>-0.19901090963588008</v>
      </c>
      <c r="AS508" s="14">
        <f>bdrate(E510:E513,K510:K513,AC510:AC513,AI510:AI513)</f>
        <v>-0.12440438426946443</v>
      </c>
      <c r="AT508" s="7"/>
      <c r="BA508" s="1"/>
      <c r="BB508" s="1"/>
      <c r="BC508" s="1"/>
      <c r="BD508" s="13" t="e">
        <f>bdrate(E508:E511,F508:F511,AU508:AU511,AV508:AV511)</f>
        <v>#VALUE!</v>
      </c>
      <c r="BE508" s="12" t="e">
        <f>bdrate(E508:E511,H508:H511,AU508:AU511,AX508:AX511)</f>
        <v>#VALUE!</v>
      </c>
      <c r="BF508" s="12" t="e">
        <f>bdrate(E508:E511,I508:I511,AU508:AU511,AY508:AY511)</f>
        <v>#VALUE!</v>
      </c>
      <c r="BG508" s="14" t="e">
        <f>bdrate(E508:E511,K508:K511,AU508:AU511,BA508:BA511)</f>
        <v>#VALUE!</v>
      </c>
      <c r="BH508" s="12">
        <f>bdrate(E510:E513,F510:F513,AU510:AU513,AV510:AV513)</f>
        <v>0.81648433754655203</v>
      </c>
      <c r="BI508" s="12">
        <f>bdrate(E510:E513,H510:H513,AU510:AU513,AX510:AX513)</f>
        <v>-0.52907158941751276</v>
      </c>
      <c r="BJ508" s="12">
        <f>bdrate(E510:E513,I510:I513,AU510:AU513,AY510:AY513)</f>
        <v>0.70833397312115221</v>
      </c>
      <c r="BK508" s="14">
        <f>bdrate(E510:E513,K510:K513,AU510:AU513,BA510:BA513)</f>
        <v>-0.4525542840555058</v>
      </c>
    </row>
    <row r="509" spans="1:63">
      <c r="A509" s="49"/>
      <c r="B509" s="7" t="s">
        <v>18</v>
      </c>
      <c r="C509" s="17">
        <v>1</v>
      </c>
      <c r="D509" s="7">
        <v>24</v>
      </c>
      <c r="E509">
        <v>0.98311360677083304</v>
      </c>
      <c r="F509">
        <v>40.991129303038598</v>
      </c>
      <c r="G509">
        <v>0.99227844935757303</v>
      </c>
      <c r="H509">
        <v>21.1229547585273</v>
      </c>
      <c r="I509">
        <v>44.676236050209098</v>
      </c>
      <c r="J509">
        <v>0.99729676967243597</v>
      </c>
      <c r="K509" s="8">
        <v>25.681169488524599</v>
      </c>
      <c r="L509" s="7">
        <v>21</v>
      </c>
      <c r="M509">
        <v>0.96885172526041596</v>
      </c>
      <c r="N509">
        <v>41.543715068573</v>
      </c>
      <c r="O509">
        <v>0.99265298316205097</v>
      </c>
      <c r="P509">
        <v>21.338889648351302</v>
      </c>
      <c r="Q509">
        <v>45.4645737833903</v>
      </c>
      <c r="R509">
        <v>0.99756279288226002</v>
      </c>
      <c r="S509" s="1">
        <v>26.1310756221079</v>
      </c>
      <c r="T509" s="7"/>
      <c r="U509" s="1"/>
      <c r="V509" s="1"/>
      <c r="W509" s="8"/>
      <c r="X509" s="7"/>
      <c r="Y509" s="1"/>
      <c r="Z509" s="1"/>
      <c r="AA509" s="8"/>
      <c r="AB509" s="7">
        <v>64</v>
      </c>
      <c r="AC509">
        <v>0.54494222005208304</v>
      </c>
      <c r="AD509">
        <v>38.400265540588897</v>
      </c>
      <c r="AE509">
        <v>0.99035216951952498</v>
      </c>
      <c r="AF509">
        <v>20.155703360124999</v>
      </c>
      <c r="AG509">
        <v>41.652048158986297</v>
      </c>
      <c r="AH509">
        <v>0.99581400563653399</v>
      </c>
      <c r="AI509" s="1">
        <v>23.7820136078407</v>
      </c>
      <c r="AJ509" s="1">
        <v>9.7432465553283691</v>
      </c>
      <c r="AK509" s="1">
        <v>4.3955123424530003</v>
      </c>
      <c r="AL509" s="7"/>
      <c r="AM509" s="1"/>
      <c r="AN509" s="1"/>
      <c r="AO509" s="8"/>
      <c r="AP509" s="1"/>
      <c r="AQ509" s="1"/>
      <c r="AR509" s="1"/>
      <c r="AS509" s="8"/>
      <c r="AT509" s="7">
        <v>0.64</v>
      </c>
      <c r="AU509">
        <v>0.38393147786458298</v>
      </c>
      <c r="AV509">
        <v>32.590843044764</v>
      </c>
      <c r="AW509">
        <v>0.99176839459493304</v>
      </c>
      <c r="AX509">
        <v>20.845154563347201</v>
      </c>
      <c r="AY509">
        <v>36.032899501040902</v>
      </c>
      <c r="AZ509">
        <v>0.99513606760334505</v>
      </c>
      <c r="BA509" s="1">
        <v>23.130124699121499</v>
      </c>
      <c r="BB509" s="1">
        <v>6.9693210124969402</v>
      </c>
      <c r="BC509" s="1">
        <v>4.4850199222564697</v>
      </c>
      <c r="BD509" s="7"/>
      <c r="BE509" s="1"/>
      <c r="BF509" s="1"/>
      <c r="BG509" s="8"/>
      <c r="BH509" s="1"/>
      <c r="BI509" s="1"/>
      <c r="BJ509" s="1"/>
      <c r="BK509" s="8"/>
    </row>
    <row r="510" spans="1:63">
      <c r="A510" s="49"/>
      <c r="B510" s="7" t="s">
        <v>18</v>
      </c>
      <c r="C510" s="17">
        <v>0.5</v>
      </c>
      <c r="D510" s="7">
        <v>31</v>
      </c>
      <c r="E510">
        <v>0.45033772786458298</v>
      </c>
      <c r="F510">
        <v>36.795312992259802</v>
      </c>
      <c r="G510">
        <v>0.986346631509878</v>
      </c>
      <c r="H510">
        <v>18.6476018846238</v>
      </c>
      <c r="I510">
        <v>39.978576397546099</v>
      </c>
      <c r="J510">
        <v>0.99326093839870799</v>
      </c>
      <c r="K510" s="8">
        <v>21.714005737546099</v>
      </c>
      <c r="L510" s="7">
        <v>28</v>
      </c>
      <c r="M510">
        <v>0.46714274088541602</v>
      </c>
      <c r="N510">
        <v>38.040487351760397</v>
      </c>
      <c r="O510">
        <v>0.98855267448288697</v>
      </c>
      <c r="P510">
        <v>19.412959673707199</v>
      </c>
      <c r="Q510">
        <v>41.337056069999299</v>
      </c>
      <c r="R510">
        <v>0.99469258579824504</v>
      </c>
      <c r="S510" s="1">
        <v>22.751170177942399</v>
      </c>
      <c r="T510" s="7"/>
      <c r="U510" s="1"/>
      <c r="V510" s="1"/>
      <c r="W510" s="8"/>
      <c r="X510" s="7"/>
      <c r="Y510" s="1"/>
      <c r="Z510" s="1"/>
      <c r="AA510" s="8"/>
      <c r="AB510" s="7">
        <v>32</v>
      </c>
      <c r="AC510">
        <v>0.38283284505208298</v>
      </c>
      <c r="AD510">
        <v>36.525177193526503</v>
      </c>
      <c r="AE510">
        <v>0.98750718207026</v>
      </c>
      <c r="AF510">
        <v>19.033395893839199</v>
      </c>
      <c r="AG510">
        <v>39.807978804219097</v>
      </c>
      <c r="AH510">
        <v>0.99332706481123101</v>
      </c>
      <c r="AI510" s="1">
        <v>21.756830932365901</v>
      </c>
      <c r="AJ510" s="1">
        <v>12.287793636322</v>
      </c>
      <c r="AK510" s="1">
        <v>7.24452471733093</v>
      </c>
      <c r="AL510" s="7"/>
      <c r="AM510" s="1"/>
      <c r="AN510" s="1"/>
      <c r="AO510" s="8"/>
      <c r="AP510" s="1"/>
      <c r="AQ510" s="1"/>
      <c r="AR510" s="1"/>
      <c r="AS510" s="8"/>
      <c r="AT510" s="7">
        <v>0.32</v>
      </c>
      <c r="AU510">
        <v>0.27370198567708298</v>
      </c>
      <c r="AV510">
        <v>32.004398527275796</v>
      </c>
      <c r="AW510">
        <v>0.98921229849780401</v>
      </c>
      <c r="AX510">
        <v>19.670710790659001</v>
      </c>
      <c r="AY510">
        <v>35.395799387589399</v>
      </c>
      <c r="AZ510">
        <v>0.99343537798816794</v>
      </c>
      <c r="BA510" s="1">
        <v>21.827902753478</v>
      </c>
      <c r="BB510" s="1">
        <v>6.8054773807525599</v>
      </c>
      <c r="BC510" s="1">
        <v>4.2785711288452104</v>
      </c>
      <c r="BD510" s="7"/>
      <c r="BE510" s="1"/>
      <c r="BF510" s="1"/>
      <c r="BG510" s="8"/>
      <c r="BH510" s="1"/>
      <c r="BI510" s="1"/>
      <c r="BJ510" s="1"/>
      <c r="BK510" s="8"/>
    </row>
    <row r="511" spans="1:63">
      <c r="A511" s="49"/>
      <c r="B511" s="7" t="s">
        <v>18</v>
      </c>
      <c r="C511" s="17">
        <v>0.25</v>
      </c>
      <c r="D511" s="7">
        <v>36</v>
      </c>
      <c r="E511">
        <v>0.21702067057291599</v>
      </c>
      <c r="F511">
        <v>33.573467328716603</v>
      </c>
      <c r="G511">
        <v>0.97494429746107203</v>
      </c>
      <c r="H511">
        <v>16.010934155316701</v>
      </c>
      <c r="I511">
        <v>36.711111345897599</v>
      </c>
      <c r="J511">
        <v>0.98386578853316697</v>
      </c>
      <c r="K511" s="8">
        <v>17.922522551731099</v>
      </c>
      <c r="L511" s="7">
        <v>33</v>
      </c>
      <c r="M511">
        <v>0.23915608723958301</v>
      </c>
      <c r="N511">
        <v>34.9941652817785</v>
      </c>
      <c r="O511">
        <v>0.98067477044717899</v>
      </c>
      <c r="P511">
        <v>17.138753386551102</v>
      </c>
      <c r="Q511">
        <v>38.219902421000299</v>
      </c>
      <c r="R511">
        <v>0.98801399493409203</v>
      </c>
      <c r="S511" s="1">
        <v>19.213255430841201</v>
      </c>
      <c r="T511" s="7"/>
      <c r="U511" s="1"/>
      <c r="V511" s="1"/>
      <c r="W511" s="8"/>
      <c r="X511" s="7"/>
      <c r="Y511" s="1"/>
      <c r="Z511" s="1"/>
      <c r="AA511" s="8"/>
      <c r="AB511" s="7">
        <v>16</v>
      </c>
      <c r="AC511">
        <v>0.24180094401041599</v>
      </c>
      <c r="AD511">
        <v>34.692108550250701</v>
      </c>
      <c r="AE511">
        <v>0.98142088361981605</v>
      </c>
      <c r="AF511">
        <v>17.3097494482762</v>
      </c>
      <c r="AG511">
        <v>37.984112349922498</v>
      </c>
      <c r="AH511">
        <v>0.98786583204711897</v>
      </c>
      <c r="AI511" s="1">
        <v>19.1598999814222</v>
      </c>
      <c r="AJ511" s="1">
        <v>6.4468495845794598</v>
      </c>
      <c r="AK511" s="1">
        <v>4.3822038173675502</v>
      </c>
      <c r="AL511" s="7"/>
      <c r="AM511" s="1"/>
      <c r="AN511" s="1"/>
      <c r="AO511" s="8"/>
      <c r="AP511" s="1"/>
      <c r="AQ511" s="1"/>
      <c r="AR511" s="1"/>
      <c r="AS511" s="8"/>
      <c r="AT511" s="7">
        <v>0.16</v>
      </c>
      <c r="AU511">
        <v>0.19394938151041599</v>
      </c>
      <c r="AV511">
        <v>31.068615551450002</v>
      </c>
      <c r="AW511">
        <v>0.98553500944079298</v>
      </c>
      <c r="AX511">
        <v>18.3968184546472</v>
      </c>
      <c r="AY511">
        <v>34.473484875671403</v>
      </c>
      <c r="AZ511">
        <v>0.99078361394348402</v>
      </c>
      <c r="BA511" s="1">
        <v>20.354393417873201</v>
      </c>
      <c r="BB511" s="1">
        <v>5.8357906341552699</v>
      </c>
      <c r="BC511" s="1">
        <v>4.0336337089538503</v>
      </c>
      <c r="BD511" s="7"/>
      <c r="BE511" s="1"/>
      <c r="BF511" s="1"/>
      <c r="BG511" s="8"/>
      <c r="BH511" s="1"/>
      <c r="BI511" s="1"/>
      <c r="BJ511" s="1"/>
      <c r="BK511" s="8"/>
    </row>
    <row r="512" spans="1:63">
      <c r="A512" s="49"/>
      <c r="B512" s="7" t="s">
        <v>18</v>
      </c>
      <c r="C512" s="17">
        <v>0.12</v>
      </c>
      <c r="D512" s="7">
        <v>40</v>
      </c>
      <c r="E512">
        <v>0.1170654296875</v>
      </c>
      <c r="F512">
        <v>31.365281694189701</v>
      </c>
      <c r="G512">
        <v>0.95910107123138599</v>
      </c>
      <c r="H512">
        <v>13.882880669553099</v>
      </c>
      <c r="I512">
        <v>34.503823121316699</v>
      </c>
      <c r="J512">
        <v>0.96941623677495303</v>
      </c>
      <c r="K512" s="8">
        <v>15.1450907721939</v>
      </c>
      <c r="L512" s="7">
        <v>38</v>
      </c>
      <c r="M512">
        <v>0.110310872395833</v>
      </c>
      <c r="N512">
        <v>32.225639157569397</v>
      </c>
      <c r="O512">
        <v>0.96404208343259901</v>
      </c>
      <c r="P512">
        <v>14.442054796054901</v>
      </c>
      <c r="Q512">
        <v>35.495492180934697</v>
      </c>
      <c r="R512">
        <v>0.97262087800203101</v>
      </c>
      <c r="S512" s="1">
        <v>15.6258048306658</v>
      </c>
      <c r="T512" s="7"/>
      <c r="U512" s="1"/>
      <c r="V512" s="1"/>
      <c r="W512" s="8"/>
      <c r="X512" s="7"/>
      <c r="Y512" s="1"/>
      <c r="Z512" s="1"/>
      <c r="AA512" s="8"/>
      <c r="AB512" s="7">
        <v>8</v>
      </c>
      <c r="AC512">
        <v>0.15313720703125</v>
      </c>
      <c r="AD512">
        <v>32.995669116037803</v>
      </c>
      <c r="AE512">
        <v>0.972181061321294</v>
      </c>
      <c r="AF512">
        <v>15.556594428117601</v>
      </c>
      <c r="AG512">
        <v>36.396359606313197</v>
      </c>
      <c r="AH512">
        <v>0.97907693766630999</v>
      </c>
      <c r="AI512" s="1">
        <v>16.7937475110059</v>
      </c>
      <c r="AJ512" s="1">
        <v>6.2520663738250697</v>
      </c>
      <c r="AK512" s="1">
        <v>4.7275915145873997</v>
      </c>
      <c r="AL512" s="7"/>
      <c r="AM512" s="1"/>
      <c r="AN512" s="1"/>
      <c r="AO512" s="8"/>
      <c r="AP512" s="1"/>
      <c r="AQ512" s="1"/>
      <c r="AR512" s="1"/>
      <c r="AS512" s="8"/>
      <c r="AT512" s="7">
        <v>0.08</v>
      </c>
      <c r="AU512">
        <v>0.13372802734375</v>
      </c>
      <c r="AV512">
        <v>29.847017916529499</v>
      </c>
      <c r="AW512">
        <v>0.97984322812791003</v>
      </c>
      <c r="AX512">
        <v>16.9557901936912</v>
      </c>
      <c r="AY512">
        <v>33.165766078429897</v>
      </c>
      <c r="AZ512">
        <v>0.986079087569111</v>
      </c>
      <c r="BA512" s="1">
        <v>18.5633229843856</v>
      </c>
      <c r="BB512" s="1">
        <v>6.1423771381378103</v>
      </c>
      <c r="BC512" s="1">
        <v>4.2170355319976798</v>
      </c>
      <c r="BD512" s="7"/>
      <c r="BE512" s="1"/>
      <c r="BF512" s="1"/>
      <c r="BG512" s="8"/>
      <c r="BH512" s="1"/>
      <c r="BI512" s="1"/>
      <c r="BJ512" s="1"/>
      <c r="BK512" s="8"/>
    </row>
    <row r="513" spans="1:63">
      <c r="A513" s="49"/>
      <c r="B513" s="7" t="s">
        <v>18</v>
      </c>
      <c r="C513" s="17">
        <v>0.06</v>
      </c>
      <c r="D513" s="7">
        <v>45</v>
      </c>
      <c r="E513">
        <v>5.6905110677083301E-2</v>
      </c>
      <c r="F513">
        <v>28.954642209534398</v>
      </c>
      <c r="G513">
        <v>0.93365197835592695</v>
      </c>
      <c r="H513">
        <v>11.781720223379301</v>
      </c>
      <c r="I513">
        <v>32.137300866454503</v>
      </c>
      <c r="J513">
        <v>0.94777013748720695</v>
      </c>
      <c r="K513" s="8">
        <v>12.8208111737599</v>
      </c>
      <c r="L513" s="7">
        <v>43</v>
      </c>
      <c r="M513">
        <v>5.5887858072916602E-2</v>
      </c>
      <c r="N513">
        <v>29.957725953319599</v>
      </c>
      <c r="O513">
        <v>0.94149195814913</v>
      </c>
      <c r="P513">
        <v>12.327844366285101</v>
      </c>
      <c r="Q513">
        <v>33.254746235018402</v>
      </c>
      <c r="R513">
        <v>0.95253895969306202</v>
      </c>
      <c r="S513" s="1">
        <v>13.2366274663678</v>
      </c>
      <c r="T513" s="7"/>
      <c r="U513" s="1"/>
      <c r="V513" s="1"/>
      <c r="W513" s="8"/>
      <c r="X513" s="7"/>
      <c r="Y513" s="1"/>
      <c r="Z513" s="1"/>
      <c r="AA513" s="8"/>
      <c r="AB513" s="7">
        <v>4</v>
      </c>
      <c r="AC513">
        <v>0.101582845052083</v>
      </c>
      <c r="AD513">
        <v>31.541788262718502</v>
      </c>
      <c r="AE513">
        <v>0.96077152305981395</v>
      </c>
      <c r="AF513">
        <v>14.063985531835799</v>
      </c>
      <c r="AG513">
        <v>35.048828520504301</v>
      </c>
      <c r="AH513">
        <v>0.96802255954405003</v>
      </c>
      <c r="AI513" s="1">
        <v>14.9515630107581</v>
      </c>
      <c r="AJ513" s="1">
        <v>6.6984996795654297</v>
      </c>
      <c r="AK513" s="1">
        <v>4.4829971790313703</v>
      </c>
      <c r="AL513" s="7"/>
      <c r="AM513" s="1"/>
      <c r="AN513" s="1"/>
      <c r="AO513" s="8"/>
      <c r="AP513" s="1"/>
      <c r="AQ513" s="1"/>
      <c r="AR513" s="1"/>
      <c r="AS513" s="8"/>
      <c r="AT513" s="7">
        <v>0.04</v>
      </c>
      <c r="AU513">
        <v>8.7300618489583301E-2</v>
      </c>
      <c r="AV513">
        <v>28.254646998857499</v>
      </c>
      <c r="AW513">
        <v>0.971039333485611</v>
      </c>
      <c r="AX513">
        <v>15.3819144730258</v>
      </c>
      <c r="AY513">
        <v>31.602550455821401</v>
      </c>
      <c r="AZ513">
        <v>0.97800333368271697</v>
      </c>
      <c r="BA513" s="1">
        <v>16.576431332556499</v>
      </c>
      <c r="BB513" s="1">
        <v>6.6673321723937899</v>
      </c>
      <c r="BC513" s="1">
        <v>4.4627962112426696</v>
      </c>
      <c r="BD513" s="7"/>
      <c r="BE513" s="1"/>
      <c r="BF513" s="1"/>
      <c r="BG513" s="8"/>
      <c r="BH513" s="1"/>
      <c r="BI513" s="1"/>
      <c r="BJ513" s="1"/>
      <c r="BK513" s="8"/>
    </row>
    <row r="514" spans="1:63">
      <c r="A514" s="49"/>
      <c r="B514" s="7" t="s">
        <v>107</v>
      </c>
      <c r="C514" s="17">
        <v>1.5</v>
      </c>
      <c r="D514" s="7">
        <v>25</v>
      </c>
      <c r="E514">
        <v>1.4992472330729101</v>
      </c>
      <c r="F514">
        <v>39.397617118361303</v>
      </c>
      <c r="G514">
        <v>0.99102825794048999</v>
      </c>
      <c r="H514">
        <v>20.471232210166001</v>
      </c>
      <c r="I514">
        <v>42.596175043291296</v>
      </c>
      <c r="J514">
        <v>0.99493111821841596</v>
      </c>
      <c r="K514" s="8">
        <v>22.950878374418899</v>
      </c>
      <c r="L514" s="7">
        <v>22</v>
      </c>
      <c r="M514">
        <v>1.4598592122395799</v>
      </c>
      <c r="N514">
        <v>40.037780057199903</v>
      </c>
      <c r="O514">
        <v>0.99186785045860604</v>
      </c>
      <c r="P514">
        <v>20.897946437569701</v>
      </c>
      <c r="Q514">
        <v>43.320836044616399</v>
      </c>
      <c r="R514">
        <v>0.99544077304403999</v>
      </c>
      <c r="S514" s="1">
        <v>23.411087883052801</v>
      </c>
      <c r="T514" s="13">
        <f>bdrate(E514:E517,F514:F517,M514:M517,N514:N517)</f>
        <v>-0.1631122840755691</v>
      </c>
      <c r="U514" s="12">
        <f>bdrate(E514:E517,H514:H517,M514:M517,P514:P517)</f>
        <v>-0.19258477941000474</v>
      </c>
      <c r="V514" s="12">
        <f>bdrate(E514:E517,I514:I517,M514:M517,Q514:Q517)</f>
        <v>-0.17935502293292671</v>
      </c>
      <c r="W514" s="14">
        <f>bdrate(E514:E517,K514:K517,M514:M517,S514:S517)</f>
        <v>-0.13766675311887533</v>
      </c>
      <c r="X514" s="13">
        <f>bdrate(E516:E519,F516:F519,M516:M519,N516:N519)</f>
        <v>-0.208035734483484</v>
      </c>
      <c r="Y514" s="12">
        <f>bdrate(E516:E519,H516:H519,M516:M519,P516:P519)</f>
        <v>-0.20713194269710977</v>
      </c>
      <c r="Z514" s="12">
        <f>bdrate(E516:E519,I516:I519,M516:M519,Q516:Q519)</f>
        <v>-0.2636625820084878</v>
      </c>
      <c r="AA514" s="14">
        <f>bdrate(E516:E519,K516:K519,M516:M519,S516:S519)</f>
        <v>-0.143993500442128</v>
      </c>
      <c r="AB514" s="7"/>
      <c r="AI514" s="1"/>
      <c r="AJ514" s="1"/>
      <c r="AK514" s="1"/>
      <c r="AL514" s="13" t="e">
        <f>bdrate(E514:E517,F514:F517,AC514:AC517,AD514:AD517)</f>
        <v>#VALUE!</v>
      </c>
      <c r="AM514" s="12" t="e">
        <f>bdrate(E514:E517,H514:H517,AC514:AC517,AF514:AF517)</f>
        <v>#VALUE!</v>
      </c>
      <c r="AN514" s="12" t="e">
        <f>bdrate(E514:E517,I514:I517,AC514:AC517,AG514:AG517)</f>
        <v>#VALUE!</v>
      </c>
      <c r="AO514" s="14" t="e">
        <f>bdrate(E514:E517,K514:K517,AC514:AC517,AI514:AI517)</f>
        <v>#VALUE!</v>
      </c>
      <c r="AP514" s="12">
        <f>bdrate(E516:E519,F516:F519,AC516:AC519,AD516:AD519)</f>
        <v>-0.17065564452167581</v>
      </c>
      <c r="AQ514" s="12">
        <f>bdrate(E516:E519,H516:H519,AC516:AC519,AF516:AF519)</f>
        <v>-0.30751523388310664</v>
      </c>
      <c r="AR514" s="12">
        <f>bdrate(E516:E519,I516:I519,AC516:AC519,AG516:AG519)</f>
        <v>-0.2596483421799658</v>
      </c>
      <c r="AS514" s="14">
        <f>bdrate(E516:E519,K516:K519,AC516:AC519,AI516:AI519)</f>
        <v>-0.2052577877376307</v>
      </c>
      <c r="AT514" s="7"/>
      <c r="BA514" s="1"/>
      <c r="BB514" s="1"/>
      <c r="BC514" s="1"/>
      <c r="BD514" s="13" t="e">
        <f>bdrate(E514:E517,F514:F517,AU514:AU517,AV514:AV517)</f>
        <v>#VALUE!</v>
      </c>
      <c r="BE514" s="12" t="e">
        <f>bdrate(E514:E517,H514:H517,AU514:AU517,AX514:AX517)</f>
        <v>#VALUE!</v>
      </c>
      <c r="BF514" s="12" t="e">
        <f>bdrate(E514:E517,I514:I517,AU514:AU517,AY514:AY517)</f>
        <v>#VALUE!</v>
      </c>
      <c r="BG514" s="14" t="e">
        <f>bdrate(E514:E517,K514:K517,AU514:AU517,BA514:BA517)</f>
        <v>#VALUE!</v>
      </c>
      <c r="BH514" s="12">
        <f>bdrate(E516:E519,F516:F519,AU516:AU519,AV516:AV519)</f>
        <v>0.34003358560038666</v>
      </c>
      <c r="BI514" s="12">
        <f>bdrate(E516:E519,H516:H519,AU516:AU519,AX516:AX519)</f>
        <v>-0.5724966593442915</v>
      </c>
      <c r="BJ514" s="12">
        <f>bdrate(E516:E519,I516:I519,AU516:AU519,AY516:AY519)</f>
        <v>0.16919460253614771</v>
      </c>
      <c r="BK514" s="14">
        <f>bdrate(E516:E519,K516:K519,AU516:AU519,BA516:BA519)</f>
        <v>-0.51190844197430563</v>
      </c>
    </row>
    <row r="515" spans="1:63">
      <c r="A515" s="49"/>
      <c r="B515" s="7" t="s">
        <v>18</v>
      </c>
      <c r="C515" s="17">
        <v>1</v>
      </c>
      <c r="D515" s="7">
        <v>30</v>
      </c>
      <c r="E515">
        <v>0.93672688802083304</v>
      </c>
      <c r="F515">
        <v>36.163092085251698</v>
      </c>
      <c r="G515">
        <v>0.98575459932410903</v>
      </c>
      <c r="H515">
        <v>18.463253309888302</v>
      </c>
      <c r="I515">
        <v>39.3005976136062</v>
      </c>
      <c r="J515">
        <v>0.99153942010150398</v>
      </c>
      <c r="K515" s="8">
        <v>20.7259986886577</v>
      </c>
      <c r="L515" s="7">
        <v>27</v>
      </c>
      <c r="M515">
        <v>0.93538411458333304</v>
      </c>
      <c r="N515">
        <v>37.204931185758397</v>
      </c>
      <c r="O515">
        <v>0.98824696214678198</v>
      </c>
      <c r="P515">
        <v>19.298498651055102</v>
      </c>
      <c r="Q515">
        <v>40.412864354645997</v>
      </c>
      <c r="R515">
        <v>0.99271046383807104</v>
      </c>
      <c r="S515" s="1">
        <v>21.373001052518099</v>
      </c>
      <c r="T515" s="7"/>
      <c r="U515" s="1"/>
      <c r="V515" s="1"/>
      <c r="W515" s="8"/>
      <c r="X515" s="7"/>
      <c r="Y515" s="1"/>
      <c r="Z515" s="1"/>
      <c r="AA515" s="8"/>
      <c r="AB515" s="7">
        <v>64</v>
      </c>
      <c r="AC515">
        <v>0.88385009765625</v>
      </c>
      <c r="AD515">
        <v>36.569893790359302</v>
      </c>
      <c r="AE515">
        <v>0.98873402811266198</v>
      </c>
      <c r="AF515">
        <v>19.482313368206601</v>
      </c>
      <c r="AG515">
        <v>39.764760930340898</v>
      </c>
      <c r="AH515">
        <v>0.99309617663521599</v>
      </c>
      <c r="AI515" s="1">
        <v>21.609103286313498</v>
      </c>
      <c r="AJ515" s="1">
        <v>9.4947974681854195</v>
      </c>
      <c r="AK515" s="1">
        <v>4.6348583698272696</v>
      </c>
      <c r="AL515" s="7"/>
      <c r="AM515" s="1"/>
      <c r="AN515" s="1"/>
      <c r="AO515" s="8"/>
      <c r="AP515" s="1"/>
      <c r="AQ515" s="1"/>
      <c r="AR515" s="1"/>
      <c r="AS515" s="8"/>
      <c r="AT515" s="7">
        <v>0.64</v>
      </c>
      <c r="AU515">
        <v>0.55149332682291596</v>
      </c>
      <c r="AV515">
        <v>29.843576321877201</v>
      </c>
      <c r="AW515">
        <v>0.99010225083340797</v>
      </c>
      <c r="AX515">
        <v>20.0446355648014</v>
      </c>
      <c r="AY515">
        <v>33.926805882003798</v>
      </c>
      <c r="AZ515">
        <v>0.99255141060489505</v>
      </c>
      <c r="BA515" s="1">
        <v>21.279259656311702</v>
      </c>
      <c r="BB515" s="1">
        <v>7.9168052673339799</v>
      </c>
      <c r="BC515" s="1">
        <v>4.45143246650695</v>
      </c>
      <c r="BD515" s="7"/>
      <c r="BE515" s="1"/>
      <c r="BF515" s="1"/>
      <c r="BG515" s="8"/>
      <c r="BH515" s="1"/>
      <c r="BI515" s="1"/>
      <c r="BJ515" s="1"/>
      <c r="BK515" s="8"/>
    </row>
    <row r="516" spans="1:63">
      <c r="A516" s="49"/>
      <c r="B516" s="7" t="s">
        <v>18</v>
      </c>
      <c r="C516" s="17">
        <v>0.5</v>
      </c>
      <c r="D516" s="7">
        <v>36</v>
      </c>
      <c r="E516">
        <v>0.46256510416666602</v>
      </c>
      <c r="F516">
        <v>31.932162888117301</v>
      </c>
      <c r="G516">
        <v>0.97296019840176495</v>
      </c>
      <c r="H516">
        <v>15.6799649930983</v>
      </c>
      <c r="I516">
        <v>35.128945507428298</v>
      </c>
      <c r="J516">
        <v>0.98153718409695401</v>
      </c>
      <c r="K516" s="8">
        <v>17.3370206073749</v>
      </c>
      <c r="L516" s="7">
        <v>33</v>
      </c>
      <c r="M516">
        <v>0.48931884765625</v>
      </c>
      <c r="N516">
        <v>33.288908012593701</v>
      </c>
      <c r="O516">
        <v>0.978844979622704</v>
      </c>
      <c r="P516">
        <v>16.745865520040201</v>
      </c>
      <c r="Q516">
        <v>36.576143404233498</v>
      </c>
      <c r="R516">
        <v>0.98531274880423003</v>
      </c>
      <c r="S516" s="1">
        <v>18.330594773352999</v>
      </c>
      <c r="T516" s="7"/>
      <c r="U516" s="1"/>
      <c r="V516" s="1"/>
      <c r="W516" s="8"/>
      <c r="X516" s="7"/>
      <c r="Y516" s="1"/>
      <c r="Z516" s="1"/>
      <c r="AA516" s="8"/>
      <c r="AB516" s="7">
        <v>32</v>
      </c>
      <c r="AC516">
        <v>0.66872151692708304</v>
      </c>
      <c r="AD516">
        <v>34.984244626878002</v>
      </c>
      <c r="AE516">
        <v>0.98577056219627501</v>
      </c>
      <c r="AF516">
        <v>18.468122582827899</v>
      </c>
      <c r="AG516">
        <v>38.273584427466901</v>
      </c>
      <c r="AH516">
        <v>0.99051841209902303</v>
      </c>
      <c r="AI516" s="1">
        <v>20.231189243831199</v>
      </c>
      <c r="AJ516" s="1">
        <v>13.356725931167601</v>
      </c>
      <c r="AK516" s="1">
        <v>8.2675359249114901</v>
      </c>
      <c r="AL516" s="7"/>
      <c r="AM516" s="1"/>
      <c r="AN516" s="1"/>
      <c r="AO516" s="8"/>
      <c r="AP516" s="1"/>
      <c r="AQ516" s="1"/>
      <c r="AR516" s="1"/>
      <c r="AS516" s="8"/>
      <c r="AT516" s="7">
        <v>0.32</v>
      </c>
      <c r="AU516">
        <v>0.38511149088541602</v>
      </c>
      <c r="AV516">
        <v>29.193373709396699</v>
      </c>
      <c r="AW516">
        <v>0.98616115422527595</v>
      </c>
      <c r="AX516">
        <v>18.589001305853401</v>
      </c>
      <c r="AY516">
        <v>33.2083111587039</v>
      </c>
      <c r="AZ516">
        <v>0.98960483658988496</v>
      </c>
      <c r="BA516" s="1">
        <v>19.831686792470499</v>
      </c>
      <c r="BB516" s="1">
        <v>7.0823771953582701</v>
      </c>
      <c r="BC516" s="1">
        <v>3.8096609115600502</v>
      </c>
      <c r="BD516" s="7"/>
      <c r="BE516" s="1"/>
      <c r="BF516" s="1"/>
      <c r="BG516" s="8"/>
      <c r="BH516" s="1"/>
      <c r="BI516" s="1"/>
      <c r="BJ516" s="1"/>
      <c r="BK516" s="8"/>
    </row>
    <row r="517" spans="1:63">
      <c r="A517" s="49"/>
      <c r="B517" s="7" t="s">
        <v>18</v>
      </c>
      <c r="C517" s="17">
        <v>0.25</v>
      </c>
      <c r="D517" s="7">
        <v>41</v>
      </c>
      <c r="E517">
        <v>0.21868896484375</v>
      </c>
      <c r="F517">
        <v>28.603356231177901</v>
      </c>
      <c r="G517">
        <v>0.94951452369618605</v>
      </c>
      <c r="H517">
        <v>12.968335420457899</v>
      </c>
      <c r="I517">
        <v>31.911400154053698</v>
      </c>
      <c r="J517">
        <v>0.96165373752751904</v>
      </c>
      <c r="K517" s="8">
        <v>14.162769593989401</v>
      </c>
      <c r="L517" s="7">
        <v>38</v>
      </c>
      <c r="M517">
        <v>0.24696858723958301</v>
      </c>
      <c r="N517">
        <v>29.979182940290901</v>
      </c>
      <c r="O517">
        <v>0.96223663206541998</v>
      </c>
      <c r="P517">
        <v>14.229292799942799</v>
      </c>
      <c r="Q517">
        <v>33.474984889387201</v>
      </c>
      <c r="R517">
        <v>0.97028540889536197</v>
      </c>
      <c r="S517" s="1">
        <v>15.2703024158687</v>
      </c>
      <c r="T517" s="7"/>
      <c r="U517" s="1"/>
      <c r="V517" s="1"/>
      <c r="W517" s="8"/>
      <c r="X517" s="7"/>
      <c r="Y517" s="1"/>
      <c r="Z517" s="1"/>
      <c r="AA517" s="8"/>
      <c r="AB517" s="7">
        <v>16</v>
      </c>
      <c r="AC517">
        <v>0.46486409505208298</v>
      </c>
      <c r="AD517">
        <v>32.898934955128098</v>
      </c>
      <c r="AE517">
        <v>0.98026287241319499</v>
      </c>
      <c r="AF517">
        <v>17.0471605146226</v>
      </c>
      <c r="AG517">
        <v>36.354887480891399</v>
      </c>
      <c r="AH517">
        <v>0.98554025605166096</v>
      </c>
      <c r="AI517" s="1">
        <v>18.3983939741548</v>
      </c>
      <c r="AJ517" s="1">
        <v>6.5305147171020499</v>
      </c>
      <c r="AK517" s="1">
        <v>4.44596076011657</v>
      </c>
      <c r="AL517" s="7"/>
      <c r="AM517" s="1"/>
      <c r="AN517" s="1"/>
      <c r="AO517" s="8"/>
      <c r="AP517" s="1"/>
      <c r="AQ517" s="1"/>
      <c r="AR517" s="1"/>
      <c r="AS517" s="8"/>
      <c r="AT517" s="7">
        <v>0.16</v>
      </c>
      <c r="AU517">
        <v>0.27231852213541602</v>
      </c>
      <c r="AV517">
        <v>28.2747685620899</v>
      </c>
      <c r="AW517">
        <v>0.98058334314794504</v>
      </c>
      <c r="AX517">
        <v>17.118255445460399</v>
      </c>
      <c r="AY517">
        <v>32.203995772931101</v>
      </c>
      <c r="AZ517">
        <v>0.98505795887902003</v>
      </c>
      <c r="BA517" s="1">
        <v>18.2559007273281</v>
      </c>
      <c r="BB517" s="1">
        <v>6.3347885608673096</v>
      </c>
      <c r="BC517" s="1">
        <v>3.7996258735656698</v>
      </c>
      <c r="BD517" s="7"/>
      <c r="BE517" s="1"/>
      <c r="BF517" s="1"/>
      <c r="BG517" s="8"/>
      <c r="BH517" s="1"/>
      <c r="BI517" s="1"/>
      <c r="BJ517" s="1"/>
      <c r="BK517" s="8"/>
    </row>
    <row r="518" spans="1:63">
      <c r="A518" s="49"/>
      <c r="B518" s="7" t="s">
        <v>18</v>
      </c>
      <c r="C518" s="17">
        <v>0.12</v>
      </c>
      <c r="D518" s="7">
        <v>45</v>
      </c>
      <c r="E518">
        <v>0.1119384765625</v>
      </c>
      <c r="F518">
        <v>26.377272482899802</v>
      </c>
      <c r="G518">
        <v>0.91944327403519899</v>
      </c>
      <c r="H518">
        <v>10.938981929548699</v>
      </c>
      <c r="I518">
        <v>29.7568808048219</v>
      </c>
      <c r="J518">
        <v>0.93435055890905205</v>
      </c>
      <c r="K518" s="8">
        <v>11.827689669415999</v>
      </c>
      <c r="L518" s="7">
        <v>43</v>
      </c>
      <c r="M518">
        <v>0.1092529296875</v>
      </c>
      <c r="N518">
        <v>27.0601247665426</v>
      </c>
      <c r="O518">
        <v>0.92967655492607604</v>
      </c>
      <c r="P518">
        <v>11.528998617689499</v>
      </c>
      <c r="Q518">
        <v>30.686227272054602</v>
      </c>
      <c r="R518">
        <v>0.94084024851782999</v>
      </c>
      <c r="S518" s="1">
        <v>12.279736590522401</v>
      </c>
      <c r="T518" s="7"/>
      <c r="U518" s="1"/>
      <c r="V518" s="1"/>
      <c r="W518" s="8"/>
      <c r="X518" s="7"/>
      <c r="Y518" s="1"/>
      <c r="Z518" s="1"/>
      <c r="AA518" s="8"/>
      <c r="AB518" s="7">
        <v>8</v>
      </c>
      <c r="AC518">
        <v>0.30031331380208298</v>
      </c>
      <c r="AD518">
        <v>30.7007314859536</v>
      </c>
      <c r="AE518">
        <v>0.971016500760297</v>
      </c>
      <c r="AF518">
        <v>15.3784918239998</v>
      </c>
      <c r="AG518">
        <v>34.387814189727898</v>
      </c>
      <c r="AH518">
        <v>0.977049190354497</v>
      </c>
      <c r="AI518" s="1">
        <v>16.3920198906476</v>
      </c>
      <c r="AJ518" s="1">
        <v>6.6367290019988996</v>
      </c>
      <c r="AK518" s="1">
        <v>4.2502422332763601</v>
      </c>
      <c r="AL518" s="7"/>
      <c r="AM518" s="1"/>
      <c r="AN518" s="1"/>
      <c r="AO518" s="8"/>
      <c r="AP518" s="1"/>
      <c r="AQ518" s="1"/>
      <c r="AR518" s="1"/>
      <c r="AS518" s="8"/>
      <c r="AT518" s="7">
        <v>0.08</v>
      </c>
      <c r="AU518">
        <v>0.18792724609375</v>
      </c>
      <c r="AV518">
        <v>27.154835057421</v>
      </c>
      <c r="AW518">
        <v>0.97192299381326897</v>
      </c>
      <c r="AX518">
        <v>15.516492023078699</v>
      </c>
      <c r="AY518">
        <v>30.892924775217999</v>
      </c>
      <c r="AZ518">
        <v>0.97765994847429905</v>
      </c>
      <c r="BA518" s="1">
        <v>16.509158295506801</v>
      </c>
      <c r="BB518" s="1">
        <v>6.1230599880218497</v>
      </c>
      <c r="BC518" s="1">
        <v>4.3914210796356201</v>
      </c>
      <c r="BD518" s="7"/>
      <c r="BE518" s="1"/>
      <c r="BF518" s="1"/>
      <c r="BG518" s="8"/>
      <c r="BH518" s="1"/>
      <c r="BI518" s="1"/>
      <c r="BJ518" s="1"/>
      <c r="BK518" s="8"/>
    </row>
    <row r="519" spans="1:63">
      <c r="A519" s="49"/>
      <c r="B519" s="7" t="s">
        <v>18</v>
      </c>
      <c r="C519" s="17">
        <v>0.06</v>
      </c>
      <c r="D519" s="7">
        <v>49</v>
      </c>
      <c r="E519">
        <v>5.18798828125E-2</v>
      </c>
      <c r="F519">
        <v>24.455497320358798</v>
      </c>
      <c r="G519">
        <v>0.87404792197905301</v>
      </c>
      <c r="H519">
        <v>8.9979466289722492</v>
      </c>
      <c r="I519">
        <v>27.818163347992002</v>
      </c>
      <c r="J519">
        <v>0.89283912874251703</v>
      </c>
      <c r="K519" s="8">
        <v>9.6996376407484899</v>
      </c>
      <c r="L519" s="7">
        <v>47</v>
      </c>
      <c r="M519">
        <v>5.3934733072916602E-2</v>
      </c>
      <c r="N519">
        <v>25.119427923016001</v>
      </c>
      <c r="O519">
        <v>0.88879695201237996</v>
      </c>
      <c r="P519">
        <v>9.5388330892245996</v>
      </c>
      <c r="Q519">
        <v>28.7646996347715</v>
      </c>
      <c r="R519">
        <v>0.90165078952669697</v>
      </c>
      <c r="S519" s="1">
        <v>10.0722912215505</v>
      </c>
      <c r="T519" s="7"/>
      <c r="U519" s="1"/>
      <c r="V519" s="1"/>
      <c r="W519" s="8"/>
      <c r="X519" s="7"/>
      <c r="Y519" s="1"/>
      <c r="Z519" s="1"/>
      <c r="AA519" s="8"/>
      <c r="AB519" s="7">
        <v>4</v>
      </c>
      <c r="AC519">
        <v>0.19000244140625</v>
      </c>
      <c r="AD519">
        <v>28.800100978476699</v>
      </c>
      <c r="AE519">
        <v>0.95813391255535696</v>
      </c>
      <c r="AF519">
        <v>13.781376237898799</v>
      </c>
      <c r="AG519">
        <v>32.680258588345701</v>
      </c>
      <c r="AH519">
        <v>0.96484244040498901</v>
      </c>
      <c r="AI519" s="1">
        <v>14.539812783992801</v>
      </c>
      <c r="AJ519" s="1">
        <v>6.8211126327514604</v>
      </c>
      <c r="AK519" s="1">
        <v>4.2845585346221897</v>
      </c>
      <c r="AL519" s="7"/>
      <c r="AM519" s="1"/>
      <c r="AN519" s="1"/>
      <c r="AO519" s="8"/>
      <c r="AP519" s="1"/>
      <c r="AQ519" s="1"/>
      <c r="AR519" s="1"/>
      <c r="AS519" s="8"/>
      <c r="AT519" s="7">
        <v>0.04</v>
      </c>
      <c r="AU519">
        <v>0.12754313151041599</v>
      </c>
      <c r="AV519">
        <v>26.033024398201601</v>
      </c>
      <c r="AW519">
        <v>0.95989707498257304</v>
      </c>
      <c r="AX519">
        <v>13.9682394975887</v>
      </c>
      <c r="AY519">
        <v>29.614112437307899</v>
      </c>
      <c r="AZ519">
        <v>0.96686271214060004</v>
      </c>
      <c r="BA519" s="1">
        <v>14.7968303954665</v>
      </c>
      <c r="BB519" s="1">
        <v>6.5271503925323398</v>
      </c>
      <c r="BC519" s="1">
        <v>4.1815254688262904</v>
      </c>
      <c r="BD519" s="7"/>
      <c r="BE519" s="1"/>
      <c r="BF519" s="1"/>
      <c r="BG519" s="8"/>
      <c r="BH519" s="1"/>
      <c r="BI519" s="1"/>
      <c r="BJ519" s="1"/>
      <c r="BK519" s="8"/>
    </row>
    <row r="520" spans="1:63">
      <c r="A520" s="49"/>
      <c r="B520" s="7" t="s">
        <v>108</v>
      </c>
      <c r="C520" s="17">
        <v>1.5</v>
      </c>
      <c r="D520" s="7">
        <v>26</v>
      </c>
      <c r="E520">
        <v>1.47076416015625</v>
      </c>
      <c r="F520">
        <v>38.168364789319902</v>
      </c>
      <c r="G520">
        <v>0.98980601751484099</v>
      </c>
      <c r="H520">
        <v>19.9165611693189</v>
      </c>
      <c r="I520">
        <v>41.369555779921598</v>
      </c>
      <c r="J520">
        <v>0.99434790240415205</v>
      </c>
      <c r="K520" s="8">
        <v>22.477903477130202</v>
      </c>
      <c r="L520" s="7">
        <v>23</v>
      </c>
      <c r="M520">
        <v>1.4851888020833299</v>
      </c>
      <c r="N520">
        <v>39.122765201552198</v>
      </c>
      <c r="O520">
        <v>0.99136817278101497</v>
      </c>
      <c r="P520">
        <v>20.638972613965699</v>
      </c>
      <c r="Q520">
        <v>42.412162742218797</v>
      </c>
      <c r="R520">
        <v>0.99529408544707698</v>
      </c>
      <c r="S520" s="1">
        <v>23.2735596273819</v>
      </c>
      <c r="T520" s="13">
        <f>bdrate(E520:E523,F520:F523,M520:M523,N520:N523)</f>
        <v>-0.16543863947352444</v>
      </c>
      <c r="U520" s="12">
        <f>bdrate(E520:E523,H520:H523,M520:M523,P520:P523)</f>
        <v>-0.13476789742433726</v>
      </c>
      <c r="V520" s="12">
        <f>bdrate(E520:E523,I520:I523,M520:M523,Q520:Q523)</f>
        <v>-0.17224673152578518</v>
      </c>
      <c r="W520" s="14">
        <f>bdrate(E520:E523,K520:K523,M520:M523,S520:S523)</f>
        <v>-0.11728196747235398</v>
      </c>
      <c r="X520" s="13">
        <f>bdrate(E522:E525,F522:F525,M522:M525,N522:N525)</f>
        <v>-0.2122846609285709</v>
      </c>
      <c r="Y520" s="12">
        <f>bdrate(E522:E525,H522:H525,M522:M525,P522:P525)</f>
        <v>-0.16788048667024946</v>
      </c>
      <c r="Z520" s="12">
        <f>bdrate(E522:E525,I522:I525,M522:M525,Q522:Q525)</f>
        <v>-0.23081433629767389</v>
      </c>
      <c r="AA520" s="14">
        <f>bdrate(E522:E525,K522:K525,M522:M525,S522:S525)</f>
        <v>-0.13354736111561005</v>
      </c>
      <c r="AB520" s="7"/>
      <c r="AI520" s="1"/>
      <c r="AJ520" s="1"/>
      <c r="AK520" s="1"/>
      <c r="AL520" s="13" t="e">
        <f>bdrate(E520:E523,F520:F523,AC520:AC523,AD520:AD523)</f>
        <v>#VALUE!</v>
      </c>
      <c r="AM520" s="12" t="e">
        <f>bdrate(E520:E523,H520:H523,AC520:AC523,AF520:AF523)</f>
        <v>#VALUE!</v>
      </c>
      <c r="AN520" s="12" t="e">
        <f>bdrate(E520:E523,I520:I523,AC520:AC523,AG520:AG523)</f>
        <v>#VALUE!</v>
      </c>
      <c r="AO520" s="14" t="e">
        <f>bdrate(E520:E523,K520:K523,AC520:AC523,AI520:AI523)</f>
        <v>#VALUE!</v>
      </c>
      <c r="AP520" s="12">
        <f>bdrate(E522:E525,F522:F525,AC522:AC525,AD522:AD525)</f>
        <v>-0.16717375337843543</v>
      </c>
      <c r="AQ520" s="12">
        <f>bdrate(E522:E525,H522:H525,AC522:AC525,AF522:AF525)</f>
        <v>-0.20419859335987056</v>
      </c>
      <c r="AR520" s="12">
        <f>bdrate(E522:E525,I522:I525,AC522:AC525,AG522:AG525)</f>
        <v>-0.20873206869404604</v>
      </c>
      <c r="AS520" s="14">
        <f>bdrate(E522:E525,K522:K525,AC522:AC525,AI522:AI525)</f>
        <v>-0.12715239348637553</v>
      </c>
      <c r="AT520" s="7"/>
      <c r="BA520" s="1"/>
      <c r="BB520" s="1"/>
      <c r="BC520" s="1"/>
      <c r="BD520" s="13" t="e">
        <f>bdrate(E520:E523,F520:F523,AU520:AU523,AV520:AV523)</f>
        <v>#VALUE!</v>
      </c>
      <c r="BE520" s="12" t="e">
        <f>bdrate(E520:E523,H520:H523,AU520:AU523,AX520:AX523)</f>
        <v>#VALUE!</v>
      </c>
      <c r="BF520" s="12" t="e">
        <f>bdrate(E520:E523,I520:I523,AU520:AU523,AY520:AY523)</f>
        <v>#VALUE!</v>
      </c>
      <c r="BG520" s="14" t="e">
        <f>bdrate(E520:E523,K520:K523,AU520:AU523,BA520:BA523)</f>
        <v>#VALUE!</v>
      </c>
      <c r="BH520" s="12">
        <f>bdrate(E522:E525,F522:F525,AU522:AU525,AV522:AV525)</f>
        <v>0.40632811989721063</v>
      </c>
      <c r="BI520" s="12">
        <f>bdrate(E522:E525,H522:H525,AU522:AU525,AX522:AX525)</f>
        <v>-0.46200090260337945</v>
      </c>
      <c r="BJ520" s="12">
        <f>bdrate(E522:E525,I522:I525,AU522:AU525,AY522:AY525)</f>
        <v>0.42939202828676759</v>
      </c>
      <c r="BK520" s="14">
        <f>bdrate(E522:E525,K522:K525,AU522:AU525,BA522:BA525)</f>
        <v>-0.39453335880247142</v>
      </c>
    </row>
    <row r="521" spans="1:63">
      <c r="A521" s="49"/>
      <c r="B521" s="7" t="s">
        <v>18</v>
      </c>
      <c r="C521" s="17">
        <v>1</v>
      </c>
      <c r="D521" s="7">
        <v>30</v>
      </c>
      <c r="E521">
        <v>0.92045084635416596</v>
      </c>
      <c r="F521">
        <v>35.371461816417401</v>
      </c>
      <c r="G521">
        <v>0.98150507416326105</v>
      </c>
      <c r="H521">
        <v>17.329474058332998</v>
      </c>
      <c r="I521">
        <v>38.474451291432601</v>
      </c>
      <c r="J521">
        <v>0.98870778385094704</v>
      </c>
      <c r="K521" s="8">
        <v>19.472208174324699</v>
      </c>
      <c r="L521" s="7">
        <v>27</v>
      </c>
      <c r="M521">
        <v>0.96295166015625</v>
      </c>
      <c r="N521">
        <v>36.528150642924601</v>
      </c>
      <c r="O521">
        <v>0.98501823697892299</v>
      </c>
      <c r="P521">
        <v>18.244370768053098</v>
      </c>
      <c r="Q521">
        <v>39.691226384068699</v>
      </c>
      <c r="R521">
        <v>0.99094534964106995</v>
      </c>
      <c r="S521" s="1">
        <v>20.4312831510357</v>
      </c>
      <c r="T521" s="7"/>
      <c r="U521" s="1"/>
      <c r="V521" s="1"/>
      <c r="W521" s="8"/>
      <c r="X521" s="7"/>
      <c r="Y521" s="1"/>
      <c r="Z521" s="1"/>
      <c r="AA521" s="8"/>
      <c r="AB521" s="7">
        <v>64</v>
      </c>
      <c r="AC521">
        <v>0.91253662109375</v>
      </c>
      <c r="AD521">
        <v>36.028263704473602</v>
      </c>
      <c r="AE521">
        <v>0.98471567485260902</v>
      </c>
      <c r="AF521">
        <v>18.157537320268499</v>
      </c>
      <c r="AG521">
        <v>39.160013640378899</v>
      </c>
      <c r="AH521">
        <v>0.99150187910852206</v>
      </c>
      <c r="AI521" s="1">
        <v>20.706770950718301</v>
      </c>
      <c r="AJ521" s="1">
        <v>8.3571741580963099</v>
      </c>
      <c r="AK521" s="1">
        <v>4.5649359226226798</v>
      </c>
      <c r="AL521" s="7"/>
      <c r="AM521" s="1"/>
      <c r="AN521" s="1"/>
      <c r="AO521" s="8"/>
      <c r="AP521" s="1"/>
      <c r="AQ521" s="1"/>
      <c r="AR521" s="1"/>
      <c r="AS521" s="8"/>
      <c r="AT521" s="7">
        <v>0.64</v>
      </c>
      <c r="AU521">
        <v>0.67889404296875</v>
      </c>
      <c r="AV521">
        <v>31.401565944711098</v>
      </c>
      <c r="AW521">
        <v>0.98685926964062998</v>
      </c>
      <c r="AX521">
        <v>18.8138049609821</v>
      </c>
      <c r="AY521">
        <v>34.606230511384197</v>
      </c>
      <c r="AZ521">
        <v>0.99035798619607296</v>
      </c>
      <c r="BA521" s="1">
        <v>20.158322510976699</v>
      </c>
      <c r="BB521" s="1">
        <v>6.33092761039733</v>
      </c>
      <c r="BC521" s="1">
        <v>4.3708291053771902</v>
      </c>
      <c r="BD521" s="7"/>
      <c r="BE521" s="1"/>
      <c r="BF521" s="1"/>
      <c r="BG521" s="8"/>
      <c r="BH521" s="1"/>
      <c r="BI521" s="1"/>
      <c r="BJ521" s="1"/>
      <c r="BK521" s="8"/>
    </row>
    <row r="522" spans="1:63">
      <c r="A522" s="49"/>
      <c r="B522" s="7" t="s">
        <v>18</v>
      </c>
      <c r="C522" s="17">
        <v>0.5</v>
      </c>
      <c r="D522" s="7">
        <v>35</v>
      </c>
      <c r="E522">
        <v>0.44486490885416602</v>
      </c>
      <c r="F522">
        <v>31.9479504132911</v>
      </c>
      <c r="G522">
        <v>0.95887255584874198</v>
      </c>
      <c r="H522">
        <v>13.858682787109601</v>
      </c>
      <c r="I522">
        <v>35.011223005614198</v>
      </c>
      <c r="J522">
        <v>0.97146152701267297</v>
      </c>
      <c r="K522" s="8">
        <v>15.4456926846452</v>
      </c>
      <c r="L522" s="7">
        <v>32</v>
      </c>
      <c r="M522">
        <v>0.49586995442708298</v>
      </c>
      <c r="N522">
        <v>33.207460170802399</v>
      </c>
      <c r="O522">
        <v>0.96826898685500196</v>
      </c>
      <c r="P522">
        <v>14.985160610147</v>
      </c>
      <c r="Q522">
        <v>36.317102561741798</v>
      </c>
      <c r="R522">
        <v>0.97842442557555898</v>
      </c>
      <c r="S522" s="1">
        <v>16.660376328760801</v>
      </c>
      <c r="T522" s="7"/>
      <c r="U522" s="1"/>
      <c r="V522" s="1"/>
      <c r="W522" s="8"/>
      <c r="X522" s="7"/>
      <c r="Y522" s="1"/>
      <c r="Z522" s="1"/>
      <c r="AA522" s="8"/>
      <c r="AB522" s="7">
        <v>32</v>
      </c>
      <c r="AC522">
        <v>0.64524332682291596</v>
      </c>
      <c r="AD522">
        <v>34.3165548752239</v>
      </c>
      <c r="AE522">
        <v>0.977397544439773</v>
      </c>
      <c r="AF522">
        <v>16.458443759709802</v>
      </c>
      <c r="AG522">
        <v>37.433747584529101</v>
      </c>
      <c r="AH522">
        <v>0.98544955222667996</v>
      </c>
      <c r="AI522" s="1">
        <v>18.371236415584999</v>
      </c>
      <c r="AJ522" s="1">
        <v>11.8510515689849</v>
      </c>
      <c r="AK522" s="1">
        <v>7.7066702842712402</v>
      </c>
      <c r="AL522" s="7"/>
      <c r="AM522" s="1"/>
      <c r="AN522" s="1"/>
      <c r="AO522" s="8"/>
      <c r="AP522" s="1"/>
      <c r="AQ522" s="1"/>
      <c r="AR522" s="1"/>
      <c r="AS522" s="8"/>
      <c r="AT522" s="7">
        <v>0.32</v>
      </c>
      <c r="AU522">
        <v>0.51890055338541596</v>
      </c>
      <c r="AV522">
        <v>30.9054143296901</v>
      </c>
      <c r="AW522">
        <v>0.98265421717045298</v>
      </c>
      <c r="AX522">
        <v>17.608060953099301</v>
      </c>
      <c r="AY522">
        <v>34.055210423268903</v>
      </c>
      <c r="AZ522">
        <v>0.98708253728363704</v>
      </c>
      <c r="BA522" s="1">
        <v>18.888227832834801</v>
      </c>
      <c r="BB522" s="1">
        <v>6.6951973438262904</v>
      </c>
      <c r="BC522" s="1">
        <v>4.1640329360961896</v>
      </c>
      <c r="BD522" s="7"/>
      <c r="BE522" s="1"/>
      <c r="BF522" s="1"/>
      <c r="BG522" s="8"/>
      <c r="BH522" s="1"/>
      <c r="BI522" s="1"/>
      <c r="BJ522" s="1"/>
      <c r="BK522" s="8"/>
    </row>
    <row r="523" spans="1:63">
      <c r="A523" s="49"/>
      <c r="B523" s="7" t="s">
        <v>18</v>
      </c>
      <c r="C523" s="17">
        <v>0.25</v>
      </c>
      <c r="D523" s="7">
        <v>39</v>
      </c>
      <c r="E523">
        <v>0.22418212890625</v>
      </c>
      <c r="F523">
        <v>29.555894021940599</v>
      </c>
      <c r="G523">
        <v>0.92524650460432001</v>
      </c>
      <c r="H523">
        <v>11.263684953705599</v>
      </c>
      <c r="I523">
        <v>32.640073231522599</v>
      </c>
      <c r="J523">
        <v>0.94280939996714797</v>
      </c>
      <c r="K523" s="8">
        <v>12.4267534689467</v>
      </c>
      <c r="L523" s="7">
        <v>37</v>
      </c>
      <c r="M523">
        <v>0.21990966796875</v>
      </c>
      <c r="N523">
        <v>30.2073137362624</v>
      </c>
      <c r="O523">
        <v>0.93487824434157996</v>
      </c>
      <c r="P523">
        <v>11.862738995426</v>
      </c>
      <c r="Q523">
        <v>33.340503493616801</v>
      </c>
      <c r="R523">
        <v>0.94940303587966701</v>
      </c>
      <c r="S523" s="1">
        <v>12.958755405780099</v>
      </c>
      <c r="T523" s="7"/>
      <c r="U523" s="1"/>
      <c r="V523" s="1"/>
      <c r="W523" s="8"/>
      <c r="X523" s="7"/>
      <c r="Y523" s="1"/>
      <c r="Z523" s="1"/>
      <c r="AA523" s="8"/>
      <c r="AB523" s="7">
        <v>16</v>
      </c>
      <c r="AC523">
        <v>0.41094970703125</v>
      </c>
      <c r="AD523">
        <v>32.3101716275904</v>
      </c>
      <c r="AE523">
        <v>0.96375805291082794</v>
      </c>
      <c r="AF523">
        <v>14.407884780104601</v>
      </c>
      <c r="AG523">
        <v>35.459705797030097</v>
      </c>
      <c r="AH523">
        <v>0.97362749447056895</v>
      </c>
      <c r="AI523" s="1">
        <v>15.788486079420601</v>
      </c>
      <c r="AJ523" s="1">
        <v>6.7477083206176696</v>
      </c>
      <c r="AK523" s="1">
        <v>3.7957856655120801</v>
      </c>
      <c r="AL523" s="7"/>
      <c r="AM523" s="1"/>
      <c r="AN523" s="1"/>
      <c r="AO523" s="8"/>
      <c r="AP523" s="1"/>
      <c r="AQ523" s="1"/>
      <c r="AR523" s="1"/>
      <c r="AS523" s="8"/>
      <c r="AT523" s="7">
        <v>0.16</v>
      </c>
      <c r="AU523">
        <v>0.37709554036458298</v>
      </c>
      <c r="AV523">
        <v>30.103115143949701</v>
      </c>
      <c r="AW523">
        <v>0.97522599119373399</v>
      </c>
      <c r="AX523">
        <v>16.060037123656201</v>
      </c>
      <c r="AY523">
        <v>33.178736653027698</v>
      </c>
      <c r="AZ523">
        <v>0.98104079749749595</v>
      </c>
      <c r="BA523" s="1">
        <v>17.2217993472191</v>
      </c>
      <c r="BB523" s="1">
        <v>5.8914713859558097</v>
      </c>
      <c r="BC523" s="1">
        <v>3.8938319683074898</v>
      </c>
      <c r="BD523" s="7"/>
      <c r="BE523" s="1"/>
      <c r="BF523" s="1"/>
      <c r="BG523" s="8"/>
      <c r="BH523" s="1"/>
      <c r="BI523" s="1"/>
      <c r="BJ523" s="1"/>
      <c r="BK523" s="8"/>
    </row>
    <row r="524" spans="1:63">
      <c r="A524" s="49"/>
      <c r="B524" s="7" t="s">
        <v>18</v>
      </c>
      <c r="C524" s="17">
        <v>0.12</v>
      </c>
      <c r="D524" s="7">
        <v>43</v>
      </c>
      <c r="E524">
        <v>0.10380045572916601</v>
      </c>
      <c r="F524">
        <v>27.573440669251699</v>
      </c>
      <c r="G524">
        <v>0.87431484798157599</v>
      </c>
      <c r="H524">
        <v>9.0071602523644305</v>
      </c>
      <c r="I524">
        <v>30.661422389972401</v>
      </c>
      <c r="J524">
        <v>0.89535186914954701</v>
      </c>
      <c r="K524" s="8">
        <v>9.8026852431128493</v>
      </c>
      <c r="L524" s="7">
        <v>41</v>
      </c>
      <c r="M524">
        <v>0.10465494791666601</v>
      </c>
      <c r="N524">
        <v>28.1994223718293</v>
      </c>
      <c r="O524">
        <v>0.88817689188280402</v>
      </c>
      <c r="P524">
        <v>9.5146844071812708</v>
      </c>
      <c r="Q524">
        <v>31.362945589415201</v>
      </c>
      <c r="R524">
        <v>0.90563579784581505</v>
      </c>
      <c r="S524" s="1">
        <v>10.2519272768746</v>
      </c>
      <c r="T524" s="7"/>
      <c r="U524" s="1"/>
      <c r="V524" s="1"/>
      <c r="W524" s="8"/>
      <c r="X524" s="7"/>
      <c r="Y524" s="1"/>
      <c r="Z524" s="1"/>
      <c r="AA524" s="8"/>
      <c r="AB524" s="7">
        <v>8</v>
      </c>
      <c r="AC524">
        <v>0.24940999348958301</v>
      </c>
      <c r="AD524">
        <v>30.466008139287698</v>
      </c>
      <c r="AE524">
        <v>0.94339469617823701</v>
      </c>
      <c r="AF524">
        <v>12.4714287424268</v>
      </c>
      <c r="AG524">
        <v>33.712258155970098</v>
      </c>
      <c r="AH524">
        <v>0.95458659472764695</v>
      </c>
      <c r="AI524" s="1">
        <v>13.4281593180208</v>
      </c>
      <c r="AJ524" s="1">
        <v>6.6102426052093497</v>
      </c>
      <c r="AK524" s="1">
        <v>4.2155179977416903</v>
      </c>
      <c r="AL524" s="7"/>
      <c r="AM524" s="1"/>
      <c r="AN524" s="1"/>
      <c r="AO524" s="8"/>
      <c r="AP524" s="1"/>
      <c r="AQ524" s="1"/>
      <c r="AR524" s="1"/>
      <c r="AS524" s="8"/>
      <c r="AT524" s="7">
        <v>0.08</v>
      </c>
      <c r="AU524">
        <v>0.25852457682291602</v>
      </c>
      <c r="AV524">
        <v>29.020941072072201</v>
      </c>
      <c r="AW524">
        <v>0.96223970654952096</v>
      </c>
      <c r="AX524">
        <v>14.2296463928317</v>
      </c>
      <c r="AY524">
        <v>32.046788222988297</v>
      </c>
      <c r="AZ524">
        <v>0.97014616761159</v>
      </c>
      <c r="BA524" s="1">
        <v>15.2499990981756</v>
      </c>
      <c r="BB524" s="1">
        <v>5.8959543704986501</v>
      </c>
      <c r="BC524" s="1">
        <v>3.7868354320526101</v>
      </c>
      <c r="BD524" s="7"/>
      <c r="BE524" s="1"/>
      <c r="BF524" s="1"/>
      <c r="BG524" s="8"/>
      <c r="BH524" s="1"/>
      <c r="BI524" s="1"/>
      <c r="BJ524" s="1"/>
      <c r="BK524" s="8"/>
    </row>
    <row r="525" spans="1:63">
      <c r="A525" s="49"/>
      <c r="B525" s="7" t="s">
        <v>18</v>
      </c>
      <c r="C525" s="17">
        <v>0.06</v>
      </c>
      <c r="D525" s="7">
        <v>46</v>
      </c>
      <c r="E525">
        <v>5.89599609375E-2</v>
      </c>
      <c r="F525">
        <v>26.360783412302901</v>
      </c>
      <c r="G525">
        <v>0.82520923593978601</v>
      </c>
      <c r="H525">
        <v>7.5748151920537001</v>
      </c>
      <c r="I525">
        <v>29.465017069591902</v>
      </c>
      <c r="J525">
        <v>0.84883670253014498</v>
      </c>
      <c r="K525" s="8">
        <v>8.2055364297000999</v>
      </c>
      <c r="L525" s="7">
        <v>45</v>
      </c>
      <c r="M525">
        <v>5.0516764322916602E-2</v>
      </c>
      <c r="N525">
        <v>26.565950053346</v>
      </c>
      <c r="O525">
        <v>0.82766168434133702</v>
      </c>
      <c r="P525">
        <v>7.6361815592870297</v>
      </c>
      <c r="Q525">
        <v>29.7276896570527</v>
      </c>
      <c r="R525">
        <v>0.84657417265412505</v>
      </c>
      <c r="S525" s="1">
        <v>8.1410152611293007</v>
      </c>
      <c r="T525" s="7"/>
      <c r="U525" s="1"/>
      <c r="V525" s="1"/>
      <c r="W525" s="8"/>
      <c r="X525" s="7"/>
      <c r="Y525" s="1"/>
      <c r="Z525" s="1"/>
      <c r="AA525" s="8"/>
      <c r="AB525" s="7">
        <v>4</v>
      </c>
      <c r="AC525">
        <v>0.14939371744791599</v>
      </c>
      <c r="AD525">
        <v>28.949849053712999</v>
      </c>
      <c r="AE525">
        <v>0.91361995084288194</v>
      </c>
      <c r="AF525">
        <v>10.6358655314034</v>
      </c>
      <c r="AG525">
        <v>32.244160504380098</v>
      </c>
      <c r="AH525">
        <v>0.92610319200012103</v>
      </c>
      <c r="AI525" s="1">
        <v>11.313743207117801</v>
      </c>
      <c r="AJ525" s="1">
        <v>6.9952104091644198</v>
      </c>
      <c r="AK525" s="1">
        <v>4.1378490924835196</v>
      </c>
      <c r="AL525" s="7"/>
      <c r="AM525" s="1"/>
      <c r="AN525" s="1"/>
      <c r="AO525" s="8"/>
      <c r="AP525" s="1"/>
      <c r="AQ525" s="1"/>
      <c r="AR525" s="1"/>
      <c r="AS525" s="8"/>
      <c r="AT525" s="7">
        <v>0.04</v>
      </c>
      <c r="AU525">
        <v>0.16554768880208301</v>
      </c>
      <c r="AV525">
        <v>27.9394951705309</v>
      </c>
      <c r="AW525">
        <v>0.94150094676298102</v>
      </c>
      <c r="AX525">
        <v>12.3285116258903</v>
      </c>
      <c r="AY525">
        <v>30.885018553194801</v>
      </c>
      <c r="AZ525">
        <v>0.95185107414738901</v>
      </c>
      <c r="BA525" s="1">
        <v>13.174133970438501</v>
      </c>
      <c r="BB525" s="1">
        <v>6.9983382225036603</v>
      </c>
      <c r="BC525" s="1">
        <v>4.6992840766906703</v>
      </c>
      <c r="BD525" s="7"/>
      <c r="BE525" s="1"/>
      <c r="BF525" s="1"/>
      <c r="BG525" s="8"/>
      <c r="BH525" s="1"/>
      <c r="BI525" s="1"/>
      <c r="BJ525" s="1"/>
      <c r="BK525" s="8"/>
    </row>
    <row r="526" spans="1:63">
      <c r="A526" s="49"/>
      <c r="B526" s="7" t="s">
        <v>109</v>
      </c>
      <c r="C526" s="17">
        <v>1.5</v>
      </c>
      <c r="D526" s="7">
        <v>19</v>
      </c>
      <c r="E526">
        <v>1.38885498046875</v>
      </c>
      <c r="F526">
        <v>43.467884342875301</v>
      </c>
      <c r="G526">
        <v>0.99551059841282097</v>
      </c>
      <c r="H526">
        <v>23.478115442319599</v>
      </c>
      <c r="I526">
        <v>46.689664618557202</v>
      </c>
      <c r="J526">
        <v>0.99738317316347003</v>
      </c>
      <c r="K526" s="8">
        <v>25.822250150093598</v>
      </c>
      <c r="L526" s="7">
        <v>17</v>
      </c>
      <c r="M526">
        <v>1.3168741861979101</v>
      </c>
      <c r="N526">
        <v>43.720170423296999</v>
      </c>
      <c r="O526">
        <v>0.99577665337117705</v>
      </c>
      <c r="P526">
        <v>23.743432726344999</v>
      </c>
      <c r="Q526">
        <v>47.040753196760903</v>
      </c>
      <c r="R526">
        <v>0.99762642666963397</v>
      </c>
      <c r="S526" s="1">
        <v>26.245973464266498</v>
      </c>
      <c r="T526" s="13">
        <f>bdrate(E526:E529,F526:F529,M526:M529,N526:N529)</f>
        <v>-0.1959936850309475</v>
      </c>
      <c r="U526" s="12">
        <f>bdrate(E526:E529,H526:H529,M526:M529,P526:P529)</f>
        <v>-0.18507916432974658</v>
      </c>
      <c r="V526" s="12">
        <f>bdrate(E526:E529,I526:I529,M526:M529,Q526:Q529)</f>
        <v>-0.2004675971517933</v>
      </c>
      <c r="W526" s="14">
        <f>bdrate(E526:E529,K526:K529,M526:M529,S526:S529)</f>
        <v>-0.17571906370572554</v>
      </c>
      <c r="X526" s="13">
        <f>bdrate(E528:E531,F528:F531,M528:M531,N528:N531)</f>
        <v>-0.24593486960293465</v>
      </c>
      <c r="Y526" s="12">
        <f>bdrate(E528:E531,H528:H531,M528:M531,P528:P531)</f>
        <v>-0.23785830126922802</v>
      </c>
      <c r="Z526" s="12">
        <f>bdrate(E528:E531,I528:I531,M528:M531,Q528:Q531)</f>
        <v>-0.24811109878234183</v>
      </c>
      <c r="AA526" s="14">
        <f>bdrate(E528:E531,K528:K531,M528:M531,S528:S531)</f>
        <v>-0.19908034637144678</v>
      </c>
      <c r="AB526" s="7"/>
      <c r="AI526" s="1"/>
      <c r="AJ526" s="1"/>
      <c r="AK526" s="1"/>
      <c r="AL526" s="13" t="e">
        <f>bdrate(E526:E529,F526:F529,AC526:AC529,AD526:AD529)</f>
        <v>#VALUE!</v>
      </c>
      <c r="AM526" s="12" t="e">
        <f>bdrate(E526:E529,H526:H529,AC526:AC529,AF526:AF529)</f>
        <v>#VALUE!</v>
      </c>
      <c r="AN526" s="12" t="e">
        <f>bdrate(E526:E529,I526:I529,AC526:AC529,AG526:AG529)</f>
        <v>#VALUE!</v>
      </c>
      <c r="AO526" s="14" t="e">
        <f>bdrate(E526:E529,K526:K529,AC526:AC529,AI526:AI529)</f>
        <v>#VALUE!</v>
      </c>
      <c r="AP526" s="12">
        <f>bdrate(E528:E531,F528:F531,AC528:AC531,AD528:AD531)</f>
        <v>-0.25488655294309093</v>
      </c>
      <c r="AQ526" s="12">
        <f>bdrate(E528:E531,H528:H531,AC528:AC531,AF528:AF531)</f>
        <v>-0.30951893857839663</v>
      </c>
      <c r="AR526" s="12">
        <f>bdrate(E528:E531,I528:I531,AC528:AC531,AG528:AG531)</f>
        <v>-0.25307145280907395</v>
      </c>
      <c r="AS526" s="14">
        <f>bdrate(E528:E531,K528:K531,AC528:AC531,AI528:AI531)</f>
        <v>-0.24763714128076875</v>
      </c>
      <c r="AT526" s="7"/>
      <c r="BA526" s="1"/>
      <c r="BB526" s="1"/>
      <c r="BC526" s="1"/>
      <c r="BD526" s="13" t="e">
        <f>bdrate(E526:E529,F526:F529,AU526:AU529,AV526:AV529)</f>
        <v>#VALUE!</v>
      </c>
      <c r="BE526" s="12" t="e">
        <f>bdrate(E526:E529,H526:H529,AU526:AU529,AX526:AX529)</f>
        <v>#VALUE!</v>
      </c>
      <c r="BF526" s="12" t="e">
        <f>bdrate(E526:E529,I526:I529,AU526:AU529,AY526:AY529)</f>
        <v>#VALUE!</v>
      </c>
      <c r="BG526" s="14" t="e">
        <f>bdrate(E526:E529,K526:K529,AU526:AU529,BA526:BA529)</f>
        <v>#VALUE!</v>
      </c>
      <c r="BH526" s="12">
        <f>bdrate(E528:E531,F528:F531,AU528:AU531,AV528:AV531)</f>
        <v>0.43999406002345998</v>
      </c>
      <c r="BI526" s="12">
        <f>bdrate(E528:E531,H528:H531,AU528:AU531,AX528:AX531)</f>
        <v>-0.51820309680777554</v>
      </c>
      <c r="BJ526" s="12">
        <f>bdrate(E528:E531,I528:I531,AU528:AU531,AY528:AY531)</f>
        <v>0.56941472750017441</v>
      </c>
      <c r="BK526" s="14">
        <f>bdrate(E528:E531,K528:K531,AU528:AU531,BA528:BA531)</f>
        <v>-0.46579575142255181</v>
      </c>
    </row>
    <row r="527" spans="1:63">
      <c r="A527" s="49"/>
      <c r="B527" s="7" t="s">
        <v>18</v>
      </c>
      <c r="C527" s="17">
        <v>1</v>
      </c>
      <c r="D527" s="7">
        <v>22</v>
      </c>
      <c r="E527">
        <v>0.9508056640625</v>
      </c>
      <c r="F527">
        <v>42.039340743759098</v>
      </c>
      <c r="G527">
        <v>0.99393301301341797</v>
      </c>
      <c r="H527">
        <v>22.170269365973802</v>
      </c>
      <c r="I527">
        <v>45.160460283806302</v>
      </c>
      <c r="J527">
        <v>0.99620280954956197</v>
      </c>
      <c r="K527" s="8">
        <v>24.205376200053401</v>
      </c>
      <c r="L527" s="7">
        <v>19</v>
      </c>
      <c r="M527">
        <v>0.97432454427083304</v>
      </c>
      <c r="N527">
        <v>42.713192962406602</v>
      </c>
      <c r="O527">
        <v>0.99469273178204298</v>
      </c>
      <c r="P527">
        <v>22.7512896350406</v>
      </c>
      <c r="Q527">
        <v>45.927303013152901</v>
      </c>
      <c r="R527">
        <v>0.99679777305591399</v>
      </c>
      <c r="S527" s="1">
        <v>24.9454789256935</v>
      </c>
      <c r="T527" s="7"/>
      <c r="U527" s="1"/>
      <c r="V527" s="1"/>
      <c r="W527" s="8"/>
      <c r="X527" s="7"/>
      <c r="Y527" s="1"/>
      <c r="Z527" s="1"/>
      <c r="AA527" s="8"/>
      <c r="AB527" s="7">
        <v>64</v>
      </c>
      <c r="AC527">
        <v>0.35878499348958298</v>
      </c>
      <c r="AD527">
        <v>39.209413587102198</v>
      </c>
      <c r="AE527">
        <v>0.98936798713533902</v>
      </c>
      <c r="AF527">
        <v>19.733845065717301</v>
      </c>
      <c r="AG527">
        <v>42.259977500990303</v>
      </c>
      <c r="AH527">
        <v>0.99288835689287902</v>
      </c>
      <c r="AI527" s="1">
        <v>21.480300462585198</v>
      </c>
      <c r="AJ527" s="1">
        <v>9.2479999065399099</v>
      </c>
      <c r="AK527" s="1">
        <v>4.5843288898468</v>
      </c>
      <c r="AL527" s="7"/>
      <c r="AM527" s="1"/>
      <c r="AN527" s="1"/>
      <c r="AO527" s="8"/>
      <c r="AP527" s="1"/>
      <c r="AQ527" s="1"/>
      <c r="AR527" s="1"/>
      <c r="AS527" s="8"/>
      <c r="AT527" s="7">
        <v>0.64</v>
      </c>
      <c r="AU527">
        <v>0.36891682942708298</v>
      </c>
      <c r="AV527">
        <v>35.810690110998401</v>
      </c>
      <c r="AW527">
        <v>0.99284385578612899</v>
      </c>
      <c r="AX527">
        <v>21.453209159167098</v>
      </c>
      <c r="AY527">
        <v>38.553422877066502</v>
      </c>
      <c r="AZ527">
        <v>0.99467307779979697</v>
      </c>
      <c r="BA527" s="1">
        <v>22.735236460478401</v>
      </c>
      <c r="BB527" s="1">
        <v>6.2789359092712402</v>
      </c>
      <c r="BC527" s="1">
        <v>4.0456964969635001</v>
      </c>
      <c r="BD527" s="7"/>
      <c r="BE527" s="1"/>
      <c r="BF527" s="1"/>
      <c r="BG527" s="8"/>
      <c r="BH527" s="1"/>
      <c r="BI527" s="1"/>
      <c r="BJ527" s="1"/>
      <c r="BK527" s="8"/>
    </row>
    <row r="528" spans="1:63">
      <c r="A528" s="49"/>
      <c r="B528" s="7" t="s">
        <v>18</v>
      </c>
      <c r="C528" s="17">
        <v>0.5</v>
      </c>
      <c r="D528" s="7">
        <v>28</v>
      </c>
      <c r="E528">
        <v>0.47943115234375</v>
      </c>
      <c r="F528">
        <v>39.231206181085902</v>
      </c>
      <c r="G528">
        <v>0.98872206458426504</v>
      </c>
      <c r="H528">
        <v>19.4777039677289</v>
      </c>
      <c r="I528">
        <v>42.300787850735198</v>
      </c>
      <c r="J528">
        <v>0.99243026635799503</v>
      </c>
      <c r="K528" s="8">
        <v>21.2091940185298</v>
      </c>
      <c r="L528" s="7">
        <v>25</v>
      </c>
      <c r="M528">
        <v>0.47530110677083298</v>
      </c>
      <c r="N528">
        <v>40.202287593228498</v>
      </c>
      <c r="O528">
        <v>0.990795358528751</v>
      </c>
      <c r="P528">
        <v>20.359931229764602</v>
      </c>
      <c r="Q528">
        <v>43.293589194564802</v>
      </c>
      <c r="R528">
        <v>0.99384895663154804</v>
      </c>
      <c r="S528" s="1">
        <v>22.110512109354801</v>
      </c>
      <c r="T528" s="7"/>
      <c r="U528" s="1"/>
      <c r="V528" s="1"/>
      <c r="W528" s="8"/>
      <c r="X528" s="7"/>
      <c r="Y528" s="1"/>
      <c r="Z528" s="1"/>
      <c r="AA528" s="8"/>
      <c r="AB528" s="7">
        <v>32</v>
      </c>
      <c r="AC528">
        <v>0.26381429036458298</v>
      </c>
      <c r="AD528">
        <v>37.889904964121499</v>
      </c>
      <c r="AE528">
        <v>0.98583999854029802</v>
      </c>
      <c r="AF528">
        <v>18.489367018764501</v>
      </c>
      <c r="AG528">
        <v>40.937350188378304</v>
      </c>
      <c r="AH528">
        <v>0.98998429952797296</v>
      </c>
      <c r="AI528" s="1">
        <v>19.993186718823701</v>
      </c>
      <c r="AJ528" s="1">
        <v>13.522853851318301</v>
      </c>
      <c r="AK528" s="1">
        <v>9.6834540367126394</v>
      </c>
      <c r="AL528" s="7"/>
      <c r="AM528" s="1"/>
      <c r="AN528" s="1"/>
      <c r="AO528" s="8"/>
      <c r="AP528" s="1"/>
      <c r="AQ528" s="1"/>
      <c r="AR528" s="1"/>
      <c r="AS528" s="8"/>
      <c r="AT528" s="7">
        <v>0.32</v>
      </c>
      <c r="AU528">
        <v>0.26462809244791602</v>
      </c>
      <c r="AV528">
        <v>34.687612131173402</v>
      </c>
      <c r="AW528">
        <v>0.99029263660841205</v>
      </c>
      <c r="AX528">
        <v>20.128987124169701</v>
      </c>
      <c r="AY528">
        <v>37.382161796912001</v>
      </c>
      <c r="AZ528">
        <v>0.99261929436879304</v>
      </c>
      <c r="BA528" s="1">
        <v>21.319021155360801</v>
      </c>
      <c r="BB528" s="1">
        <v>6.9306874275207502</v>
      </c>
      <c r="BC528" s="1">
        <v>4.0371613502502397</v>
      </c>
      <c r="BD528" s="7"/>
      <c r="BE528" s="1"/>
      <c r="BF528" s="1"/>
      <c r="BG528" s="8"/>
      <c r="BH528" s="1"/>
      <c r="BI528" s="1"/>
      <c r="BJ528" s="1"/>
      <c r="BK528" s="8"/>
    </row>
    <row r="529" spans="1:63">
      <c r="A529" s="49"/>
      <c r="B529" s="7" t="s">
        <v>18</v>
      </c>
      <c r="C529" s="17">
        <v>0.25</v>
      </c>
      <c r="D529" s="7">
        <v>34</v>
      </c>
      <c r="E529">
        <v>0.24037679036458301</v>
      </c>
      <c r="F529">
        <v>36.155452711782203</v>
      </c>
      <c r="G529">
        <v>0.97769274324778599</v>
      </c>
      <c r="H529">
        <v>16.515538340473199</v>
      </c>
      <c r="I529">
        <v>39.204726587141998</v>
      </c>
      <c r="J529">
        <v>0.98424448161706901</v>
      </c>
      <c r="K529" s="8">
        <v>18.025673032394</v>
      </c>
      <c r="L529" s="7">
        <v>31</v>
      </c>
      <c r="M529">
        <v>0.24226888020833301</v>
      </c>
      <c r="N529">
        <v>37.405946317334198</v>
      </c>
      <c r="O529">
        <v>0.98282807826446605</v>
      </c>
      <c r="P529">
        <v>17.651810995720101</v>
      </c>
      <c r="Q529">
        <v>40.479914339237098</v>
      </c>
      <c r="R529">
        <v>0.98767704648730403</v>
      </c>
      <c r="S529" s="1">
        <v>19.092851898551601</v>
      </c>
      <c r="T529" s="7"/>
      <c r="U529" s="1"/>
      <c r="V529" s="1"/>
      <c r="W529" s="8"/>
      <c r="X529" s="7"/>
      <c r="Y529" s="1"/>
      <c r="Z529" s="1"/>
      <c r="AA529" s="8"/>
      <c r="AB529" s="7">
        <v>16</v>
      </c>
      <c r="AC529">
        <v>0.18617757161458301</v>
      </c>
      <c r="AD529">
        <v>36.324747186696499</v>
      </c>
      <c r="AE529">
        <v>0.97988863087565103</v>
      </c>
      <c r="AF529">
        <v>16.965583628736699</v>
      </c>
      <c r="AG529">
        <v>39.3500730096533</v>
      </c>
      <c r="AH529">
        <v>0.98479980281538304</v>
      </c>
      <c r="AI529" s="1">
        <v>18.181507781318299</v>
      </c>
      <c r="AJ529" s="1">
        <v>7.2919390201568604</v>
      </c>
      <c r="AK529" s="1">
        <v>4.1463551521301198</v>
      </c>
      <c r="AL529" s="7"/>
      <c r="AM529" s="1"/>
      <c r="AN529" s="1"/>
      <c r="AO529" s="8"/>
      <c r="AP529" s="1"/>
      <c r="AQ529" s="1"/>
      <c r="AR529" s="1"/>
      <c r="AS529" s="8"/>
      <c r="AT529" s="7">
        <v>0.16</v>
      </c>
      <c r="AU529">
        <v>0.18430582682291599</v>
      </c>
      <c r="AV529">
        <v>33.272890120328498</v>
      </c>
      <c r="AW529">
        <v>0.98596782405195904</v>
      </c>
      <c r="AX529">
        <v>18.528749783691499</v>
      </c>
      <c r="AY529">
        <v>35.9822818400527</v>
      </c>
      <c r="AZ529">
        <v>0.989325017317778</v>
      </c>
      <c r="BA529" s="1">
        <v>19.716328208482899</v>
      </c>
      <c r="BB529" s="1">
        <v>6.1075668334960902</v>
      </c>
      <c r="BC529" s="1">
        <v>3.9022762775421098</v>
      </c>
      <c r="BD529" s="7"/>
      <c r="BE529" s="1"/>
      <c r="BF529" s="1"/>
      <c r="BG529" s="8"/>
      <c r="BH529" s="1"/>
      <c r="BI529" s="1"/>
      <c r="BJ529" s="1"/>
      <c r="BK529" s="8"/>
    </row>
    <row r="530" spans="1:63">
      <c r="A530" s="49"/>
      <c r="B530" s="7" t="s">
        <v>18</v>
      </c>
      <c r="C530" s="17">
        <v>0.12</v>
      </c>
      <c r="D530" s="7">
        <v>40</v>
      </c>
      <c r="E530">
        <v>0.114013671875</v>
      </c>
      <c r="F530">
        <v>32.830652653347599</v>
      </c>
      <c r="G530">
        <v>0.95426155890698305</v>
      </c>
      <c r="H530">
        <v>13.397186415709401</v>
      </c>
      <c r="I530">
        <v>35.8898912858416</v>
      </c>
      <c r="J530">
        <v>0.96549231875345498</v>
      </c>
      <c r="K530" s="8">
        <v>14.620842222693099</v>
      </c>
      <c r="L530" s="7">
        <v>37</v>
      </c>
      <c r="M530">
        <v>0.119038899739583</v>
      </c>
      <c r="N530">
        <v>34.296028196126699</v>
      </c>
      <c r="O530">
        <v>0.96637084066956003</v>
      </c>
      <c r="P530">
        <v>14.7328398914432</v>
      </c>
      <c r="Q530">
        <v>37.360411117713603</v>
      </c>
      <c r="R530">
        <v>0.97374609851513005</v>
      </c>
      <c r="S530" s="1">
        <v>15.808061487362799</v>
      </c>
      <c r="T530" s="7"/>
      <c r="U530" s="1"/>
      <c r="V530" s="1"/>
      <c r="W530" s="8"/>
      <c r="X530" s="7"/>
      <c r="Y530" s="1"/>
      <c r="Z530" s="1"/>
      <c r="AA530" s="8"/>
      <c r="AB530" s="7">
        <v>8</v>
      </c>
      <c r="AC530">
        <v>0.13478597005208301</v>
      </c>
      <c r="AD530">
        <v>34.891642932838501</v>
      </c>
      <c r="AE530">
        <v>0.97303874386236699</v>
      </c>
      <c r="AF530">
        <v>15.692598776807101</v>
      </c>
      <c r="AG530">
        <v>37.9364945616353</v>
      </c>
      <c r="AH530">
        <v>0.97827178231103595</v>
      </c>
      <c r="AI530" s="1">
        <v>16.629758963022901</v>
      </c>
      <c r="AJ530" s="1">
        <v>6.3805611133575404</v>
      </c>
      <c r="AK530" s="1">
        <v>4.6855726242065403</v>
      </c>
      <c r="AL530" s="7"/>
      <c r="AM530" s="1"/>
      <c r="AN530" s="1"/>
      <c r="AO530" s="8"/>
      <c r="AP530" s="1"/>
      <c r="AQ530" s="1"/>
      <c r="AR530" s="1"/>
      <c r="AS530" s="8"/>
      <c r="AT530" s="7">
        <v>0.08</v>
      </c>
      <c r="AU530">
        <v>0.12762451171875</v>
      </c>
      <c r="AV530">
        <v>31.861741540148898</v>
      </c>
      <c r="AW530">
        <v>0.97961446275985897</v>
      </c>
      <c r="AX530">
        <v>16.9067783867077</v>
      </c>
      <c r="AY530">
        <v>34.546498148040101</v>
      </c>
      <c r="AZ530">
        <v>0.98407513858047202</v>
      </c>
      <c r="BA530" s="1">
        <v>17.9792433827023</v>
      </c>
      <c r="BB530" s="1">
        <v>5.9517827033996502</v>
      </c>
      <c r="BC530" s="1">
        <v>3.9025387763977002</v>
      </c>
      <c r="BD530" s="7"/>
      <c r="BE530" s="1"/>
      <c r="BF530" s="1"/>
      <c r="BG530" s="8"/>
      <c r="BH530" s="1"/>
      <c r="BI530" s="1"/>
      <c r="BJ530" s="1"/>
      <c r="BK530" s="8"/>
    </row>
    <row r="531" spans="1:63">
      <c r="A531" s="49"/>
      <c r="B531" s="7" t="s">
        <v>18</v>
      </c>
      <c r="C531" s="17">
        <v>0.06</v>
      </c>
      <c r="D531" s="7">
        <v>46</v>
      </c>
      <c r="E531">
        <v>5.2652994791666602E-2</v>
      </c>
      <c r="F531">
        <v>29.648240880159801</v>
      </c>
      <c r="G531">
        <v>0.91347232701761505</v>
      </c>
      <c r="H531">
        <v>10.628449757545001</v>
      </c>
      <c r="I531">
        <v>32.708458659201</v>
      </c>
      <c r="J531">
        <v>0.93146853453169498</v>
      </c>
      <c r="K531" s="8">
        <v>11.641099811843</v>
      </c>
      <c r="L531" s="7">
        <v>43</v>
      </c>
      <c r="M531">
        <v>5.7210286458333301E-2</v>
      </c>
      <c r="N531">
        <v>31.1706260466839</v>
      </c>
      <c r="O531">
        <v>0.93482866956667199</v>
      </c>
      <c r="P531">
        <v>11.859434130545001</v>
      </c>
      <c r="Q531">
        <v>34.234800433373898</v>
      </c>
      <c r="R531">
        <v>0.94620612818896799</v>
      </c>
      <c r="S531" s="1">
        <v>12.692671962712</v>
      </c>
      <c r="T531" s="7"/>
      <c r="U531" s="1"/>
      <c r="V531" s="1"/>
      <c r="W531" s="8"/>
      <c r="X531" s="7"/>
      <c r="Y531" s="1"/>
      <c r="Z531" s="1"/>
      <c r="AA531" s="8"/>
      <c r="AB531" s="7">
        <v>4</v>
      </c>
      <c r="AC531">
        <v>9.7310384114583301E-2</v>
      </c>
      <c r="AD531">
        <v>33.371021318847397</v>
      </c>
      <c r="AE531">
        <v>0.96167293634111095</v>
      </c>
      <c r="AF531">
        <v>14.164944519585401</v>
      </c>
      <c r="AG531">
        <v>36.444662937089603</v>
      </c>
      <c r="AH531">
        <v>0.96772373953913704</v>
      </c>
      <c r="AI531" s="1">
        <v>14.9111678855005</v>
      </c>
      <c r="AJ531" s="1">
        <v>6.4049873352050701</v>
      </c>
      <c r="AK531" s="1">
        <v>4.2504584789276096</v>
      </c>
      <c r="AL531" s="7"/>
      <c r="AM531" s="1"/>
      <c r="AN531" s="1"/>
      <c r="AO531" s="8"/>
      <c r="AP531" s="1"/>
      <c r="AQ531" s="1"/>
      <c r="AR531" s="1"/>
      <c r="AS531" s="8"/>
      <c r="AT531" s="7">
        <v>0.04</v>
      </c>
      <c r="AU531">
        <v>8.9864095052083301E-2</v>
      </c>
      <c r="AV531">
        <v>30.4502991978149</v>
      </c>
      <c r="AW531">
        <v>0.97120855201881096</v>
      </c>
      <c r="AX531">
        <v>15.4073649300915</v>
      </c>
      <c r="AY531">
        <v>33.1142018096538</v>
      </c>
      <c r="AZ531">
        <v>0.976863154112947</v>
      </c>
      <c r="BA531" s="1">
        <v>16.356958462145901</v>
      </c>
      <c r="BB531" s="1">
        <v>6.6699447631835902</v>
      </c>
      <c r="BC531" s="1">
        <v>4.5454065799713099</v>
      </c>
      <c r="BD531" s="7"/>
      <c r="BE531" s="1"/>
      <c r="BF531" s="1"/>
      <c r="BG531" s="8"/>
      <c r="BH531" s="1"/>
      <c r="BI531" s="1"/>
      <c r="BJ531" s="1"/>
      <c r="BK531" s="8"/>
    </row>
    <row r="532" spans="1:63">
      <c r="A532" s="49"/>
      <c r="B532" s="7" t="s">
        <v>110</v>
      </c>
      <c r="C532" s="17">
        <v>1.5</v>
      </c>
      <c r="D532" s="7">
        <v>29</v>
      </c>
      <c r="E532">
        <v>1.3744710286458299</v>
      </c>
      <c r="F532">
        <v>36.160897960883503</v>
      </c>
      <c r="G532">
        <v>0.99041594957592904</v>
      </c>
      <c r="H532">
        <v>20.184509100175799</v>
      </c>
      <c r="I532">
        <v>39.335180926991598</v>
      </c>
      <c r="J532">
        <v>0.99381304461064901</v>
      </c>
      <c r="K532" s="8">
        <v>22.085230154215299</v>
      </c>
      <c r="L532" s="7">
        <v>25</v>
      </c>
      <c r="M532">
        <v>1.45452880859375</v>
      </c>
      <c r="N532">
        <v>38.175358508854401</v>
      </c>
      <c r="O532">
        <v>0.99395969477066104</v>
      </c>
      <c r="P532">
        <v>22.189411150099598</v>
      </c>
      <c r="Q532">
        <v>41.491778754185603</v>
      </c>
      <c r="R532">
        <v>0.99618256575113195</v>
      </c>
      <c r="S532" s="1">
        <v>24.182284344549299</v>
      </c>
      <c r="T532" s="13">
        <f>bdrate(E532:E535,F532:F535,M532:M535,N532:N535)</f>
        <v>-0.20774814686906373</v>
      </c>
      <c r="U532" s="12">
        <f>bdrate(E532:E535,H532:H535,M532:M535,P532:P535)</f>
        <v>-0.21558148692012791</v>
      </c>
      <c r="V532" s="12">
        <f>bdrate(E532:E535,I532:I535,M532:M535,Q532:Q535)</f>
        <v>-0.22163537834013924</v>
      </c>
      <c r="W532" s="14">
        <f>bdrate(E532:E535,K532:K535,M532:M535,S532:S535)</f>
        <v>-0.18297197417993982</v>
      </c>
      <c r="X532" s="13">
        <f>bdrate(E534:E537,F534:F537,M534:M537,N534:N537)</f>
        <v>-0.21585674498482221</v>
      </c>
      <c r="Y532" s="12">
        <f>bdrate(E534:E537,H534:H537,M534:M537,P534:P537)</f>
        <v>-0.19882134865310841</v>
      </c>
      <c r="Z532" s="12">
        <f>bdrate(E534:E537,I534:I537,M534:M537,Q534:Q537)</f>
        <v>-0.25104054205195414</v>
      </c>
      <c r="AA532" s="14">
        <f>bdrate(E534:E537,K534:K537,M534:M537,S534:S537)</f>
        <v>-0.1642792367157847</v>
      </c>
      <c r="AB532" s="7"/>
      <c r="AI532" s="1"/>
      <c r="AJ532" s="1"/>
      <c r="AK532" s="1"/>
      <c r="AL532" s="13" t="e">
        <f>bdrate(E532:E535,F532:F535,AC532:AC535,AD532:AD535)</f>
        <v>#VALUE!</v>
      </c>
      <c r="AM532" s="12" t="e">
        <f>bdrate(E532:E535,H532:H535,AC532:AC535,AF532:AF535)</f>
        <v>#VALUE!</v>
      </c>
      <c r="AN532" s="12" t="e">
        <f>bdrate(E532:E535,I532:I535,AC532:AC535,AG532:AG535)</f>
        <v>#VALUE!</v>
      </c>
      <c r="AO532" s="14" t="e">
        <f>bdrate(E532:E535,K532:K535,AC532:AC535,AI532:AI535)</f>
        <v>#VALUE!</v>
      </c>
      <c r="AP532" s="12">
        <f>bdrate(E534:E537,F534:F537,AC534:AC537,AD534:AD537)</f>
        <v>-0.19991413207153053</v>
      </c>
      <c r="AQ532" s="12">
        <f>bdrate(E534:E537,H534:H537,AC534:AC537,AF534:AF537)</f>
        <v>-0.24419928114109268</v>
      </c>
      <c r="AR532" s="12">
        <f>bdrate(E534:E537,I534:I537,AC534:AC537,AG534:AG537)</f>
        <v>-0.25470951459930424</v>
      </c>
      <c r="AS532" s="14">
        <f>bdrate(E534:E537,K534:K537,AC534:AC537,AI534:AI537)</f>
        <v>-0.17996580992689382</v>
      </c>
      <c r="AT532" s="7"/>
      <c r="BA532" s="1"/>
      <c r="BB532" s="1"/>
      <c r="BC532" s="1"/>
      <c r="BD532" s="13" t="e">
        <f>bdrate(E532:E535,F532:F535,AU532:AU535,AV532:AV535)</f>
        <v>#VALUE!</v>
      </c>
      <c r="BE532" s="12" t="e">
        <f>bdrate(E532:E535,H532:H535,AU532:AU535,AX532:AX535)</f>
        <v>#VALUE!</v>
      </c>
      <c r="BF532" s="12" t="e">
        <f>bdrate(E532:E535,I532:I535,AU532:AU535,AY532:AY535)</f>
        <v>#VALUE!</v>
      </c>
      <c r="BG532" s="14" t="e">
        <f>bdrate(E532:E535,K532:K535,AU532:AU535,BA532:BA535)</f>
        <v>#VALUE!</v>
      </c>
      <c r="BH532" s="12">
        <f>bdrate(E534:E537,F534:F537,AU534:AU537,AV534:AV537)</f>
        <v>0.60244726369518076</v>
      </c>
      <c r="BI532" s="12">
        <f>bdrate(E534:E537,H534:H537,AU534:AU537,AX534:AX537)</f>
        <v>-0.55716738666336141</v>
      </c>
      <c r="BJ532" s="12">
        <f>bdrate(E534:E537,I534:I537,AU534:AU537,AY534:AY537)</f>
        <v>0.39712870813497791</v>
      </c>
      <c r="BK532" s="14">
        <f>bdrate(E534:E537,K534:K537,AU534:AU537,BA534:BA537)</f>
        <v>-0.52833365786567965</v>
      </c>
    </row>
    <row r="533" spans="1:63">
      <c r="A533" s="49"/>
      <c r="B533" s="7" t="s">
        <v>18</v>
      </c>
      <c r="C533" s="17">
        <v>1</v>
      </c>
      <c r="D533" s="7">
        <v>32</v>
      </c>
      <c r="E533">
        <v>0.99702962239583304</v>
      </c>
      <c r="F533">
        <v>33.809511084280203</v>
      </c>
      <c r="G533">
        <v>0.98425515775790196</v>
      </c>
      <c r="H533">
        <v>18.028616864869399</v>
      </c>
      <c r="I533">
        <v>36.971870189175597</v>
      </c>
      <c r="J533">
        <v>0.98912618082017301</v>
      </c>
      <c r="K533" s="8">
        <v>19.636178931345899</v>
      </c>
      <c r="L533" s="7">
        <v>29</v>
      </c>
      <c r="M533">
        <v>0.9993896484375</v>
      </c>
      <c r="N533">
        <v>35.328093028045501</v>
      </c>
      <c r="O533">
        <v>0.98886566439096402</v>
      </c>
      <c r="P533">
        <v>19.533356924097401</v>
      </c>
      <c r="Q533">
        <v>38.583536759328197</v>
      </c>
      <c r="R533">
        <v>0.99224067120709303</v>
      </c>
      <c r="S533" s="1">
        <v>21.101758449975598</v>
      </c>
      <c r="T533" s="7"/>
      <c r="U533" s="1"/>
      <c r="V533" s="1"/>
      <c r="W533" s="8"/>
      <c r="X533" s="7"/>
      <c r="Y533" s="1"/>
      <c r="Z533" s="1"/>
      <c r="AA533" s="8"/>
      <c r="AB533" s="7">
        <v>64</v>
      </c>
      <c r="AC533">
        <v>1.1175740559895799</v>
      </c>
      <c r="AD533">
        <v>35.474725058196803</v>
      </c>
      <c r="AE533">
        <v>0.99201038757333404</v>
      </c>
      <c r="AF533">
        <v>20.9747428765011</v>
      </c>
      <c r="AG533">
        <v>38.737128562756403</v>
      </c>
      <c r="AH533">
        <v>0.99485839408804699</v>
      </c>
      <c r="AI533" s="1">
        <v>22.889012137342199</v>
      </c>
      <c r="AJ533" s="1">
        <v>8.8941328525543195</v>
      </c>
      <c r="AK533" s="1">
        <v>4.2265379428863499</v>
      </c>
      <c r="AL533" s="7"/>
      <c r="AM533" s="1"/>
      <c r="AN533" s="1"/>
      <c r="AO533" s="8"/>
      <c r="AP533" s="1"/>
      <c r="AQ533" s="1"/>
      <c r="AR533" s="1"/>
      <c r="AS533" s="8"/>
      <c r="AT533" s="7">
        <v>0.64</v>
      </c>
      <c r="AU533">
        <v>0.65854899088541596</v>
      </c>
      <c r="AV533">
        <v>27.7600364385804</v>
      </c>
      <c r="AW533">
        <v>0.99067676438937802</v>
      </c>
      <c r="AX533">
        <v>20.304333404386099</v>
      </c>
      <c r="AY533">
        <v>31.4990275274215</v>
      </c>
      <c r="AZ533">
        <v>0.99256562697249295</v>
      </c>
      <c r="BA533" s="1">
        <v>21.287556515099698</v>
      </c>
      <c r="BB533" s="1">
        <v>6.9396986961364702</v>
      </c>
      <c r="BC533" s="1">
        <v>4.5483293533325098</v>
      </c>
      <c r="BD533" s="7"/>
      <c r="BE533" s="1"/>
      <c r="BF533" s="1"/>
      <c r="BG533" s="8"/>
      <c r="BH533" s="1"/>
      <c r="BI533" s="1"/>
      <c r="BJ533" s="1"/>
      <c r="BK533" s="8"/>
    </row>
    <row r="534" spans="1:63">
      <c r="A534" s="49"/>
      <c r="B534" s="7" t="s">
        <v>18</v>
      </c>
      <c r="C534" s="17">
        <v>0.5</v>
      </c>
      <c r="D534" s="7">
        <v>38</v>
      </c>
      <c r="E534">
        <v>0.46036783854166602</v>
      </c>
      <c r="F534">
        <v>29.4523720471127</v>
      </c>
      <c r="G534">
        <v>0.958310256183037</v>
      </c>
      <c r="H534">
        <v>13.799707736005301</v>
      </c>
      <c r="I534">
        <v>32.612686784254002</v>
      </c>
      <c r="J534">
        <v>0.96716612529358703</v>
      </c>
      <c r="K534" s="8">
        <v>14.836778634077501</v>
      </c>
      <c r="L534" s="7">
        <v>35</v>
      </c>
      <c r="M534">
        <v>0.49460856119791602</v>
      </c>
      <c r="N534">
        <v>31.027607895596201</v>
      </c>
      <c r="O534">
        <v>0.97140059231128595</v>
      </c>
      <c r="P534">
        <v>15.436429612830899</v>
      </c>
      <c r="Q534">
        <v>34.276357347567597</v>
      </c>
      <c r="R534">
        <v>0.97722464573630496</v>
      </c>
      <c r="S534" s="1">
        <v>16.4253485898411</v>
      </c>
      <c r="T534" s="7"/>
      <c r="U534" s="1"/>
      <c r="V534" s="1"/>
      <c r="W534" s="8"/>
      <c r="X534" s="7"/>
      <c r="Y534" s="1"/>
      <c r="Z534" s="1"/>
      <c r="AA534" s="8"/>
      <c r="AB534" s="7">
        <v>32</v>
      </c>
      <c r="AC534">
        <v>0.84145100911458304</v>
      </c>
      <c r="AD534">
        <v>33.909522599445097</v>
      </c>
      <c r="AE534">
        <v>0.98754408009022998</v>
      </c>
      <c r="AF534">
        <v>19.046241928979502</v>
      </c>
      <c r="AG534">
        <v>37.120044023884098</v>
      </c>
      <c r="AH534">
        <v>0.99083125625309698</v>
      </c>
      <c r="AI534" s="1">
        <v>20.376901650020599</v>
      </c>
      <c r="AJ534" s="1">
        <v>12.7920024394989</v>
      </c>
      <c r="AK534" s="1">
        <v>7.1414821147918701</v>
      </c>
      <c r="AL534" s="7"/>
      <c r="AM534" s="1"/>
      <c r="AN534" s="1"/>
      <c r="AO534" s="8"/>
      <c r="AP534" s="1"/>
      <c r="AQ534" s="1"/>
      <c r="AR534" s="1"/>
      <c r="AS534" s="8"/>
      <c r="AT534" s="7">
        <v>0.32</v>
      </c>
      <c r="AU534">
        <v>0.51328531901041596</v>
      </c>
      <c r="AV534">
        <v>27.244213127672001</v>
      </c>
      <c r="AW534">
        <v>0.98733927602046601</v>
      </c>
      <c r="AX534">
        <v>18.975414593007599</v>
      </c>
      <c r="AY534">
        <v>30.997309160955702</v>
      </c>
      <c r="AZ534">
        <v>0.98970042659195701</v>
      </c>
      <c r="BA534" s="1">
        <v>19.871807627093801</v>
      </c>
      <c r="BB534" s="1">
        <v>6.7931947708129803</v>
      </c>
      <c r="BC534" s="1">
        <v>4.0390458106994602</v>
      </c>
      <c r="BD534" s="7"/>
      <c r="BE534" s="1"/>
      <c r="BF534" s="1"/>
      <c r="BG534" s="8"/>
      <c r="BH534" s="1"/>
      <c r="BI534" s="1"/>
      <c r="BJ534" s="1"/>
      <c r="BK534" s="8"/>
    </row>
    <row r="535" spans="1:63">
      <c r="A535" s="49"/>
      <c r="B535" s="7" t="s">
        <v>18</v>
      </c>
      <c r="C535" s="17">
        <v>0.25</v>
      </c>
      <c r="D535" s="7">
        <v>42</v>
      </c>
      <c r="E535">
        <v>0.24855550130208301</v>
      </c>
      <c r="F535">
        <v>26.9208979331714</v>
      </c>
      <c r="G535">
        <v>0.92424291317462104</v>
      </c>
      <c r="H535">
        <v>11.205767341102201</v>
      </c>
      <c r="I535">
        <v>30.125281620182399</v>
      </c>
      <c r="J535">
        <v>0.93553676122699003</v>
      </c>
      <c r="K535" s="8">
        <v>11.906878783782799</v>
      </c>
      <c r="L535" s="7">
        <v>40</v>
      </c>
      <c r="M535">
        <v>0.242919921875</v>
      </c>
      <c r="N535">
        <v>27.768678992847299</v>
      </c>
      <c r="O535">
        <v>0.93708098508329596</v>
      </c>
      <c r="P535">
        <v>12.012180854700601</v>
      </c>
      <c r="Q535">
        <v>31.0835946383128</v>
      </c>
      <c r="R535">
        <v>0.94537876347378402</v>
      </c>
      <c r="S535" s="1">
        <v>12.626384724417299</v>
      </c>
      <c r="T535" s="7"/>
      <c r="U535" s="1"/>
      <c r="V535" s="1"/>
      <c r="W535" s="8"/>
      <c r="X535" s="7"/>
      <c r="Y535" s="1"/>
      <c r="Z535" s="1"/>
      <c r="AA535" s="8"/>
      <c r="AB535" s="7">
        <v>16</v>
      </c>
      <c r="AC535">
        <v>0.59254964192708304</v>
      </c>
      <c r="AD535">
        <v>31.896112975133398</v>
      </c>
      <c r="AE535">
        <v>0.97912503969539699</v>
      </c>
      <c r="AF535">
        <v>16.803743416890701</v>
      </c>
      <c r="AG535">
        <v>35.152779307248601</v>
      </c>
      <c r="AH535">
        <v>0.98323629779326704</v>
      </c>
      <c r="AI535" s="1">
        <v>17.756300626509798</v>
      </c>
      <c r="AJ535" s="1">
        <v>6.7299177646636901</v>
      </c>
      <c r="AK535" s="1">
        <v>4.8854286670684797</v>
      </c>
      <c r="AL535" s="7"/>
      <c r="AM535" s="1"/>
      <c r="AN535" s="1"/>
      <c r="AO535" s="8"/>
      <c r="AP535" s="1"/>
      <c r="AQ535" s="1"/>
      <c r="AR535" s="1"/>
      <c r="AS535" s="8"/>
      <c r="AT535" s="7">
        <v>0.16</v>
      </c>
      <c r="AU535">
        <v>0.37864176432291602</v>
      </c>
      <c r="AV535">
        <v>26.585522474390199</v>
      </c>
      <c r="AW535">
        <v>0.98094180045186496</v>
      </c>
      <c r="AX535">
        <v>17.199181301008299</v>
      </c>
      <c r="AY535">
        <v>30.317891461145301</v>
      </c>
      <c r="AZ535">
        <v>0.98420252975091305</v>
      </c>
      <c r="BA535" s="1">
        <v>18.014124538572801</v>
      </c>
      <c r="BB535" s="1">
        <v>6.2166121006011901</v>
      </c>
      <c r="BC535" s="1">
        <v>3.8635900020599299</v>
      </c>
      <c r="BD535" s="7"/>
      <c r="BE535" s="1"/>
      <c r="BF535" s="1"/>
      <c r="BG535" s="8"/>
      <c r="BH535" s="1"/>
      <c r="BI535" s="1"/>
      <c r="BJ535" s="1"/>
      <c r="BK535" s="8"/>
    </row>
    <row r="536" spans="1:63">
      <c r="A536" s="49"/>
      <c r="B536" s="7" t="s">
        <v>18</v>
      </c>
      <c r="C536" s="17">
        <v>0.12</v>
      </c>
      <c r="D536" s="7">
        <v>46</v>
      </c>
      <c r="E536">
        <v>0.1187744140625</v>
      </c>
      <c r="F536">
        <v>24.629989913872699</v>
      </c>
      <c r="G536">
        <v>0.87084988767073401</v>
      </c>
      <c r="H536">
        <v>8.8890521175966004</v>
      </c>
      <c r="I536">
        <v>27.916867978585699</v>
      </c>
      <c r="J536">
        <v>0.88359034005825099</v>
      </c>
      <c r="K536" s="8">
        <v>9.3401097943418705</v>
      </c>
      <c r="L536" s="7">
        <v>45</v>
      </c>
      <c r="M536">
        <v>0.103515625</v>
      </c>
      <c r="N536">
        <v>24.906236073348602</v>
      </c>
      <c r="O536">
        <v>0.87692359033269396</v>
      </c>
      <c r="P536">
        <v>9.0982518129377095</v>
      </c>
      <c r="Q536">
        <v>28.331942924658598</v>
      </c>
      <c r="R536">
        <v>0.88606692866859604</v>
      </c>
      <c r="S536" s="1">
        <v>9.4335019504287203</v>
      </c>
      <c r="T536" s="7"/>
      <c r="U536" s="1"/>
      <c r="V536" s="1"/>
      <c r="W536" s="8"/>
      <c r="X536" s="7"/>
      <c r="Y536" s="1"/>
      <c r="Z536" s="1"/>
      <c r="AA536" s="8"/>
      <c r="AB536" s="7">
        <v>8</v>
      </c>
      <c r="AC536">
        <v>0.40126546223958298</v>
      </c>
      <c r="AD536">
        <v>29.856537184363098</v>
      </c>
      <c r="AE536">
        <v>0.96522638246479198</v>
      </c>
      <c r="AF536">
        <v>14.5875012686475</v>
      </c>
      <c r="AG536">
        <v>33.253701606365397</v>
      </c>
      <c r="AH536">
        <v>0.97008188621525204</v>
      </c>
      <c r="AI536" s="1">
        <v>15.240657904432</v>
      </c>
      <c r="AJ536" s="1">
        <v>6.5775446891784597</v>
      </c>
      <c r="AK536" s="1">
        <v>4.4597008228302002</v>
      </c>
      <c r="AL536" s="7"/>
      <c r="AM536" s="1"/>
      <c r="AN536" s="1"/>
      <c r="AO536" s="8"/>
      <c r="AP536" s="1"/>
      <c r="AQ536" s="1"/>
      <c r="AR536" s="1"/>
      <c r="AS536" s="8"/>
      <c r="AT536" s="7">
        <v>0.08</v>
      </c>
      <c r="AU536">
        <v>0.26527913411458298</v>
      </c>
      <c r="AV536">
        <v>25.6934368936517</v>
      </c>
      <c r="AW536">
        <v>0.96974221555995099</v>
      </c>
      <c r="AX536">
        <v>15.1916287541026</v>
      </c>
      <c r="AY536">
        <v>29.341816439691399</v>
      </c>
      <c r="AZ536">
        <v>0.97440569715778702</v>
      </c>
      <c r="BA536" s="1">
        <v>15.9185669560792</v>
      </c>
      <c r="BB536" s="1">
        <v>5.60351109504699</v>
      </c>
      <c r="BC536" s="1">
        <v>3.8071362972259499</v>
      </c>
      <c r="BD536" s="7"/>
      <c r="BE536" s="1"/>
      <c r="BF536" s="1"/>
      <c r="BG536" s="8"/>
      <c r="BH536" s="1"/>
      <c r="BI536" s="1"/>
      <c r="BJ536" s="1"/>
      <c r="BK536" s="8"/>
    </row>
    <row r="537" spans="1:63">
      <c r="A537" s="49"/>
      <c r="B537" s="7" t="s">
        <v>18</v>
      </c>
      <c r="C537" s="17">
        <v>0.06</v>
      </c>
      <c r="D537" s="7">
        <v>50</v>
      </c>
      <c r="E537">
        <v>5.0333658854166602E-2</v>
      </c>
      <c r="F537">
        <v>22.702580859262099</v>
      </c>
      <c r="G537">
        <v>0.79743302330698496</v>
      </c>
      <c r="H537">
        <v>6.9343135368929998</v>
      </c>
      <c r="I537">
        <v>26.083527135495999</v>
      </c>
      <c r="J537">
        <v>0.81069884910629597</v>
      </c>
      <c r="K537" s="8">
        <v>7.2284674564917104</v>
      </c>
      <c r="L537" s="7">
        <v>48</v>
      </c>
      <c r="M537">
        <v>5.364990234375E-2</v>
      </c>
      <c r="N537">
        <v>23.2819692907476</v>
      </c>
      <c r="O537">
        <v>0.81835794382761495</v>
      </c>
      <c r="P537">
        <v>7.4078359056722798</v>
      </c>
      <c r="Q537">
        <v>26.782017906405802</v>
      </c>
      <c r="R537">
        <v>0.82809152546902598</v>
      </c>
      <c r="S537" s="1">
        <v>7.6470271347396901</v>
      </c>
      <c r="T537" s="7"/>
      <c r="U537" s="1"/>
      <c r="V537" s="1"/>
      <c r="W537" s="8"/>
      <c r="X537" s="7"/>
      <c r="Y537" s="1"/>
      <c r="Z537" s="1"/>
      <c r="AA537" s="8"/>
      <c r="AB537" s="7">
        <v>4</v>
      </c>
      <c r="AC537">
        <v>0.26357014973958298</v>
      </c>
      <c r="AD537">
        <v>27.96157811714</v>
      </c>
      <c r="AE537">
        <v>0.94326932475541003</v>
      </c>
      <c r="AF537">
        <v>12.461820471553001</v>
      </c>
      <c r="AG537">
        <v>31.471596521704999</v>
      </c>
      <c r="AH537">
        <v>0.94905563719734498</v>
      </c>
      <c r="AI537" s="1">
        <v>12.9290386541903</v>
      </c>
      <c r="AJ537" s="1">
        <v>6.4253511428832999</v>
      </c>
      <c r="AK537" s="1">
        <v>4.5089600086212096</v>
      </c>
      <c r="AL537" s="7"/>
      <c r="AM537" s="1"/>
      <c r="AN537" s="1"/>
      <c r="AO537" s="8"/>
      <c r="AP537" s="1"/>
      <c r="AQ537" s="1"/>
      <c r="AR537" s="1"/>
      <c r="AS537" s="8"/>
      <c r="AT537" s="7">
        <v>0.04</v>
      </c>
      <c r="AU537">
        <v>0.17628987630208301</v>
      </c>
      <c r="AV537">
        <v>24.584270181621601</v>
      </c>
      <c r="AW537">
        <v>0.95079424527121204</v>
      </c>
      <c r="AX537">
        <v>13.0798410250082</v>
      </c>
      <c r="AY537">
        <v>28.178810067963902</v>
      </c>
      <c r="AZ537">
        <v>0.95750202837447695</v>
      </c>
      <c r="BA537" s="1">
        <v>13.716317977818001</v>
      </c>
      <c r="BB537" s="1">
        <v>6.8712041378021196</v>
      </c>
      <c r="BC537" s="1">
        <v>4.4124877452850297</v>
      </c>
      <c r="BD537" s="7"/>
      <c r="BE537" s="1"/>
      <c r="BF537" s="1"/>
      <c r="BG537" s="8"/>
      <c r="BH537" s="1"/>
      <c r="BI537" s="1"/>
      <c r="BJ537" s="1"/>
      <c r="BK537" s="8"/>
    </row>
    <row r="538" spans="1:63">
      <c r="A538" s="49"/>
      <c r="B538" s="7" t="s">
        <v>111</v>
      </c>
      <c r="C538" s="17">
        <v>1.5</v>
      </c>
      <c r="D538" s="7">
        <v>19</v>
      </c>
      <c r="E538">
        <v>1.3583984375</v>
      </c>
      <c r="F538">
        <v>44.239097036918999</v>
      </c>
      <c r="G538">
        <v>0.99586389614541504</v>
      </c>
      <c r="H538">
        <v>23.834085649560201</v>
      </c>
      <c r="I538">
        <v>47.555910031592603</v>
      </c>
      <c r="J538">
        <v>0.99783603050290504</v>
      </c>
      <c r="K538" s="8">
        <v>26.6474886525539</v>
      </c>
      <c r="L538" s="7">
        <v>16</v>
      </c>
      <c r="M538">
        <v>1.3387247721354101</v>
      </c>
      <c r="N538">
        <v>44.797213175960003</v>
      </c>
      <c r="O538">
        <v>0.99635728112789901</v>
      </c>
      <c r="P538">
        <v>24.3857434426913</v>
      </c>
      <c r="Q538">
        <v>48.206692763598497</v>
      </c>
      <c r="R538">
        <v>0.99811624275128097</v>
      </c>
      <c r="S538" s="1">
        <v>27.249750635042101</v>
      </c>
      <c r="T538" s="13">
        <f>bdrate(E538:E541,F538:F541,M538:M541,N538:N541)</f>
        <v>-0.20855671777265639</v>
      </c>
      <c r="U538" s="12">
        <f>bdrate(E538:E541,H538:H541,M538:M541,P538:P541)</f>
        <v>-0.20825174700629512</v>
      </c>
      <c r="V538" s="12">
        <f>bdrate(E538:E541,I538:I541,M538:M541,Q538:Q541)</f>
        <v>-0.21136876301346519</v>
      </c>
      <c r="W538" s="14">
        <f>bdrate(E538:E541,K538:K541,M538:M541,S538:S541)</f>
        <v>-0.17613473316645178</v>
      </c>
      <c r="X538" s="13">
        <f>bdrate(E540:E543,F540:F543,M540:M543,N540:N543)</f>
        <v>-0.26067284142285796</v>
      </c>
      <c r="Y538" s="12">
        <f>bdrate(E540:E543,H540:H543,M540:M543,P540:P543)</f>
        <v>-0.23454577367265605</v>
      </c>
      <c r="Z538" s="12">
        <f>bdrate(E540:E543,I540:I543,M540:M543,Q540:Q543)</f>
        <v>-0.2753279071453143</v>
      </c>
      <c r="AA538" s="14">
        <f>bdrate(E540:E543,K540:K543,M540:M543,S540:S543)</f>
        <v>-0.18656175103978923</v>
      </c>
      <c r="AB538" s="7"/>
      <c r="AI538" s="1"/>
      <c r="AJ538" s="1"/>
      <c r="AK538" s="1"/>
      <c r="AL538" s="13" t="e">
        <f>bdrate(E538:E541,F538:F541,AC538:AC541,AD538:AD541)</f>
        <v>#VALUE!</v>
      </c>
      <c r="AM538" s="12" t="e">
        <f>bdrate(E538:E541,H538:H541,AC538:AC541,AF538:AF541)</f>
        <v>#VALUE!</v>
      </c>
      <c r="AN538" s="12" t="e">
        <f>bdrate(E538:E541,I538:I541,AC538:AC541,AG538:AG541)</f>
        <v>#VALUE!</v>
      </c>
      <c r="AO538" s="14" t="e">
        <f>bdrate(E538:E541,K538:K541,AC538:AC541,AI538:AI541)</f>
        <v>#VALUE!</v>
      </c>
      <c r="AP538" s="12">
        <f>bdrate(E540:E543,F540:F543,AC540:AC543,AD540:AD543)</f>
        <v>-0.17359605346679396</v>
      </c>
      <c r="AQ538" s="12">
        <f>bdrate(E540:E543,H540:H543,AC540:AC543,AF540:AF543)</f>
        <v>-0.24030868306630138</v>
      </c>
      <c r="AR538" s="12">
        <f>bdrate(E540:E543,I540:I543,AC540:AC543,AG540:AG543)</f>
        <v>-0.20592357764192348</v>
      </c>
      <c r="AS538" s="14">
        <f>bdrate(E540:E543,K540:K543,AC540:AC543,AI540:AI543)</f>
        <v>-0.15341750969766121</v>
      </c>
      <c r="AT538" s="7"/>
      <c r="BA538" s="1"/>
      <c r="BB538" s="1"/>
      <c r="BC538" s="1"/>
      <c r="BD538" s="13" t="e">
        <f>bdrate(E538:E541,F538:F541,AU538:AU541,AV538:AV541)</f>
        <v>#VALUE!</v>
      </c>
      <c r="BE538" s="12" t="e">
        <f>bdrate(E538:E541,H538:H541,AU538:AU541,AX538:AX541)</f>
        <v>#VALUE!</v>
      </c>
      <c r="BF538" s="12" t="e">
        <f>bdrate(E538:E541,I538:I541,AU538:AU541,AY538:AY541)</f>
        <v>#VALUE!</v>
      </c>
      <c r="BG538" s="14" t="e">
        <f>bdrate(E538:E541,K538:K541,AU538:AU541,BA538:BA541)</f>
        <v>#VALUE!</v>
      </c>
      <c r="BH538" s="12">
        <f>bdrate(E540:E543,F540:F543,AU540:AU543,AV540:AV543)</f>
        <v>0.68713022861080608</v>
      </c>
      <c r="BI538" s="12">
        <f>bdrate(E540:E543,H540:H543,AU540:AU543,AX540:AX543)</f>
        <v>-0.50653911023274123</v>
      </c>
      <c r="BJ538" s="12">
        <f>bdrate(E540:E543,I540:I543,AU540:AU543,AY540:AY543)</f>
        <v>0.66198706430116716</v>
      </c>
      <c r="BK538" s="14">
        <f>bdrate(E540:E543,K540:K543,AU540:AU543,BA540:BA543)</f>
        <v>-0.46058926584075133</v>
      </c>
    </row>
    <row r="539" spans="1:63">
      <c r="A539" s="49"/>
      <c r="B539" s="7" t="s">
        <v>18</v>
      </c>
      <c r="C539" s="17">
        <v>1</v>
      </c>
      <c r="D539" s="7">
        <v>23</v>
      </c>
      <c r="E539">
        <v>0.90633138020833304</v>
      </c>
      <c r="F539">
        <v>42.272638390235599</v>
      </c>
      <c r="G539">
        <v>0.99376382466197799</v>
      </c>
      <c r="H539">
        <v>22.050816825683999</v>
      </c>
      <c r="I539">
        <v>45.463057331445</v>
      </c>
      <c r="J539">
        <v>0.99632700232605698</v>
      </c>
      <c r="K539" s="8">
        <v>24.349793466871699</v>
      </c>
      <c r="L539" s="7">
        <v>19</v>
      </c>
      <c r="M539">
        <v>0.97757975260416596</v>
      </c>
      <c r="N539">
        <v>43.556075821958999</v>
      </c>
      <c r="O539">
        <v>0.99525752066898698</v>
      </c>
      <c r="P539">
        <v>23.2399455320611</v>
      </c>
      <c r="Q539">
        <v>46.847610739335202</v>
      </c>
      <c r="R539">
        <v>0.99734188139991997</v>
      </c>
      <c r="S539" s="1">
        <v>25.7542564558624</v>
      </c>
      <c r="T539" s="7"/>
      <c r="U539" s="1"/>
      <c r="V539" s="1"/>
      <c r="W539" s="8"/>
      <c r="X539" s="7"/>
      <c r="Y539" s="1"/>
      <c r="Z539" s="1"/>
      <c r="AA539" s="8"/>
      <c r="AB539" s="7">
        <v>64</v>
      </c>
      <c r="AC539">
        <v>0.44130452473958298</v>
      </c>
      <c r="AD539">
        <v>39.504781281983803</v>
      </c>
      <c r="AE539">
        <v>0.98991855847601995</v>
      </c>
      <c r="AF539">
        <v>19.964773646018902</v>
      </c>
      <c r="AG539">
        <v>42.573470020063098</v>
      </c>
      <c r="AH539">
        <v>0.99248732696696096</v>
      </c>
      <c r="AI539" s="1">
        <v>21.242055121368001</v>
      </c>
      <c r="AJ539" s="1">
        <v>8.1523501873016304</v>
      </c>
      <c r="AK539" s="1">
        <v>4.0975842475891104</v>
      </c>
      <c r="AL539" s="7"/>
      <c r="AM539" s="1"/>
      <c r="AN539" s="1"/>
      <c r="AO539" s="8"/>
      <c r="AP539" s="1"/>
      <c r="AQ539" s="1"/>
      <c r="AR539" s="1"/>
      <c r="AS539" s="8"/>
      <c r="AT539" s="7">
        <v>0.64</v>
      </c>
      <c r="AU539">
        <v>0.41628011067708298</v>
      </c>
      <c r="AV539">
        <v>34.719306861858399</v>
      </c>
      <c r="AW539">
        <v>0.99349676469668302</v>
      </c>
      <c r="AX539">
        <v>21.868705318473499</v>
      </c>
      <c r="AY539">
        <v>38.052179982004198</v>
      </c>
      <c r="AZ539">
        <v>0.99522201934578602</v>
      </c>
      <c r="BA539" s="1">
        <v>23.207556130175298</v>
      </c>
      <c r="BB539" s="1">
        <v>6.87558913230896</v>
      </c>
      <c r="BC539" s="1">
        <v>4.3117418289184499</v>
      </c>
      <c r="BD539" s="7"/>
      <c r="BE539" s="1"/>
      <c r="BF539" s="1"/>
      <c r="BG539" s="8"/>
      <c r="BH539" s="1"/>
      <c r="BI539" s="1"/>
      <c r="BJ539" s="1"/>
      <c r="BK539" s="8"/>
    </row>
    <row r="540" spans="1:63">
      <c r="A540" s="49"/>
      <c r="B540" s="7" t="s">
        <v>18</v>
      </c>
      <c r="C540" s="17">
        <v>0.5</v>
      </c>
      <c r="D540" s="7">
        <v>29</v>
      </c>
      <c r="E540">
        <v>0.46728515625</v>
      </c>
      <c r="F540">
        <v>38.800076915892099</v>
      </c>
      <c r="G540">
        <v>0.98723629728722195</v>
      </c>
      <c r="H540">
        <v>18.940233197796601</v>
      </c>
      <c r="I540">
        <v>41.888603468534797</v>
      </c>
      <c r="J540">
        <v>0.99093920164871896</v>
      </c>
      <c r="K540" s="8">
        <v>20.428335347425701</v>
      </c>
      <c r="L540" s="7">
        <v>26</v>
      </c>
      <c r="M540">
        <v>0.46931966145833298</v>
      </c>
      <c r="N540">
        <v>40.066711236151399</v>
      </c>
      <c r="O540">
        <v>0.99016995005854203</v>
      </c>
      <c r="P540">
        <v>20.074442757340499</v>
      </c>
      <c r="Q540">
        <v>43.191624593030298</v>
      </c>
      <c r="R540">
        <v>0.99305130922404605</v>
      </c>
      <c r="S540" s="1">
        <v>21.580970144516598</v>
      </c>
      <c r="T540" s="7"/>
      <c r="U540" s="1"/>
      <c r="V540" s="1"/>
      <c r="W540" s="8"/>
      <c r="X540" s="7"/>
      <c r="Y540" s="1"/>
      <c r="Z540" s="1"/>
      <c r="AA540" s="8"/>
      <c r="AB540" s="7">
        <v>32</v>
      </c>
      <c r="AC540">
        <v>0.31252034505208298</v>
      </c>
      <c r="AD540">
        <v>37.788958717563403</v>
      </c>
      <c r="AE540">
        <v>0.98585000224484998</v>
      </c>
      <c r="AF540">
        <v>18.4924362903907</v>
      </c>
      <c r="AG540">
        <v>40.903207805391098</v>
      </c>
      <c r="AH540">
        <v>0.988753555220101</v>
      </c>
      <c r="AI540" s="1">
        <v>19.489847447963701</v>
      </c>
      <c r="AJ540" s="1">
        <v>14.7437379360198</v>
      </c>
      <c r="AK540" s="1">
        <v>7.60365414619445</v>
      </c>
      <c r="AL540" s="7"/>
      <c r="AM540" s="1"/>
      <c r="AN540" s="1"/>
      <c r="AO540" s="8"/>
      <c r="AP540" s="1"/>
      <c r="AQ540" s="1"/>
      <c r="AR540" s="1"/>
      <c r="AS540" s="8"/>
      <c r="AT540" s="7">
        <v>0.32</v>
      </c>
      <c r="AU540">
        <v>0.30255126953125</v>
      </c>
      <c r="AV540">
        <v>33.969828357158597</v>
      </c>
      <c r="AW540">
        <v>0.99083492139227503</v>
      </c>
      <c r="AX540">
        <v>20.378638057967098</v>
      </c>
      <c r="AY540">
        <v>37.229509709019297</v>
      </c>
      <c r="AZ540">
        <v>0.99297530238861798</v>
      </c>
      <c r="BA540" s="1">
        <v>21.5337236587627</v>
      </c>
      <c r="BB540" s="1">
        <v>6.6402652263641304</v>
      </c>
      <c r="BC540" s="1">
        <v>4.0975022315979004</v>
      </c>
      <c r="BD540" s="7"/>
      <c r="BE540" s="1"/>
      <c r="BF540" s="1"/>
      <c r="BG540" s="8"/>
      <c r="BH540" s="1"/>
      <c r="BI540" s="1"/>
      <c r="BJ540" s="1"/>
      <c r="BK540" s="8"/>
    </row>
    <row r="541" spans="1:63">
      <c r="A541" s="49"/>
      <c r="B541" s="7" t="s">
        <v>18</v>
      </c>
      <c r="C541" s="17">
        <v>0.25</v>
      </c>
      <c r="D541" s="7">
        <v>34</v>
      </c>
      <c r="E541">
        <v>0.24947102864583301</v>
      </c>
      <c r="F541">
        <v>35.767761533922602</v>
      </c>
      <c r="G541">
        <v>0.97693406816596895</v>
      </c>
      <c r="H541">
        <v>16.3702899576184</v>
      </c>
      <c r="I541">
        <v>38.8368165318469</v>
      </c>
      <c r="J541">
        <v>0.98216958438828394</v>
      </c>
      <c r="K541" s="8">
        <v>17.488385336742802</v>
      </c>
      <c r="L541" s="7">
        <v>32</v>
      </c>
      <c r="M541">
        <v>0.22784423828125</v>
      </c>
      <c r="N541">
        <v>36.703837400814102</v>
      </c>
      <c r="O541">
        <v>0.980289886580334</v>
      </c>
      <c r="P541">
        <v>17.053108766138401</v>
      </c>
      <c r="Q541">
        <v>39.829949749743299</v>
      </c>
      <c r="R541">
        <v>0.98416269360235398</v>
      </c>
      <c r="S541" s="1">
        <v>18.003186810870599</v>
      </c>
      <c r="T541" s="7"/>
      <c r="U541" s="1"/>
      <c r="V541" s="1"/>
      <c r="W541" s="8"/>
      <c r="X541" s="7"/>
      <c r="Y541" s="1"/>
      <c r="Z541" s="1"/>
      <c r="AA541" s="8"/>
      <c r="AB541" s="7">
        <v>16</v>
      </c>
      <c r="AC541">
        <v>0.20741780598958301</v>
      </c>
      <c r="AD541">
        <v>35.821002068257201</v>
      </c>
      <c r="AE541">
        <v>0.97855579768414302</v>
      </c>
      <c r="AF541">
        <v>16.686901040653702</v>
      </c>
      <c r="AG541">
        <v>39.013112388062702</v>
      </c>
      <c r="AH541">
        <v>0.98177116736724201</v>
      </c>
      <c r="AI541" s="1">
        <v>17.3924114250161</v>
      </c>
      <c r="AJ541" s="1">
        <v>6.9253621101379297</v>
      </c>
      <c r="AK541" s="1">
        <v>4.0413269996643004</v>
      </c>
      <c r="AL541" s="7"/>
      <c r="AM541" s="1"/>
      <c r="AN541" s="1"/>
      <c r="AO541" s="8"/>
      <c r="AP541" s="1"/>
      <c r="AQ541" s="1"/>
      <c r="AR541" s="1"/>
      <c r="AS541" s="8"/>
      <c r="AT541" s="7">
        <v>0.16</v>
      </c>
      <c r="AU541">
        <v>0.20908610026041599</v>
      </c>
      <c r="AV541">
        <v>32.915617916557501</v>
      </c>
      <c r="AW541">
        <v>0.98640772039463698</v>
      </c>
      <c r="AX541">
        <v>18.6670770022073</v>
      </c>
      <c r="AY541">
        <v>36.094054284300398</v>
      </c>
      <c r="AZ541">
        <v>0.98909510880562901</v>
      </c>
      <c r="BA541" s="1">
        <v>19.623786633195799</v>
      </c>
      <c r="BB541" s="1">
        <v>5.8554551601409903</v>
      </c>
      <c r="BC541" s="1">
        <v>3.6936364173889098</v>
      </c>
      <c r="BD541" s="7"/>
      <c r="BE541" s="1"/>
      <c r="BF541" s="1"/>
      <c r="BG541" s="8"/>
      <c r="BH541" s="1"/>
      <c r="BI541" s="1"/>
      <c r="BJ541" s="1"/>
      <c r="BK541" s="8"/>
    </row>
    <row r="542" spans="1:63">
      <c r="A542" s="49"/>
      <c r="B542" s="7" t="s">
        <v>18</v>
      </c>
      <c r="C542" s="17">
        <v>0.12</v>
      </c>
      <c r="D542" s="7">
        <v>39</v>
      </c>
      <c r="E542">
        <v>0.1171875</v>
      </c>
      <c r="F542">
        <v>32.730153609469802</v>
      </c>
      <c r="G542">
        <v>0.95822631728631003</v>
      </c>
      <c r="H542">
        <v>13.7909723620885</v>
      </c>
      <c r="I542">
        <v>35.790874770353803</v>
      </c>
      <c r="J542">
        <v>0.96538481706394497</v>
      </c>
      <c r="K542" s="8">
        <v>14.607333688652201</v>
      </c>
      <c r="L542" s="7">
        <v>37</v>
      </c>
      <c r="M542">
        <v>0.11173502604166601</v>
      </c>
      <c r="N542">
        <v>33.705995630944301</v>
      </c>
      <c r="O542">
        <v>0.96456637004587598</v>
      </c>
      <c r="P542">
        <v>14.505843546300399</v>
      </c>
      <c r="Q542">
        <v>36.8746818001935</v>
      </c>
      <c r="R542">
        <v>0.96960361905924197</v>
      </c>
      <c r="S542" s="1">
        <v>15.1717812135907</v>
      </c>
      <c r="T542" s="7"/>
      <c r="U542" s="1"/>
      <c r="V542" s="1"/>
      <c r="W542" s="8"/>
      <c r="X542" s="7"/>
      <c r="Y542" s="1"/>
      <c r="Z542" s="1"/>
      <c r="AA542" s="8"/>
      <c r="AB542" s="7">
        <v>8</v>
      </c>
      <c r="AC542">
        <v>0.13734944661458301</v>
      </c>
      <c r="AD542">
        <v>34.038367857373899</v>
      </c>
      <c r="AE542">
        <v>0.97036445516394798</v>
      </c>
      <c r="AF542">
        <v>15.2818708404447</v>
      </c>
      <c r="AG542">
        <v>37.342951186808797</v>
      </c>
      <c r="AH542">
        <v>0.973759129935033</v>
      </c>
      <c r="AI542" s="1">
        <v>15.810217692144599</v>
      </c>
      <c r="AJ542" s="1">
        <v>6.46826076507568</v>
      </c>
      <c r="AK542" s="1">
        <v>4.1883876323699898</v>
      </c>
      <c r="AL542" s="7"/>
      <c r="AM542" s="1"/>
      <c r="AN542" s="1"/>
      <c r="AO542" s="8"/>
      <c r="AP542" s="1"/>
      <c r="AQ542" s="1"/>
      <c r="AR542" s="1"/>
      <c r="AS542" s="8"/>
      <c r="AT542" s="7">
        <v>0.08</v>
      </c>
      <c r="AU542">
        <v>0.14235432942708301</v>
      </c>
      <c r="AV542">
        <v>31.737452202144599</v>
      </c>
      <c r="AW542">
        <v>0.97974897387138904</v>
      </c>
      <c r="AX542">
        <v>16.9355296599485</v>
      </c>
      <c r="AY542">
        <v>34.816503891285699</v>
      </c>
      <c r="AZ542">
        <v>0.98308657911268005</v>
      </c>
      <c r="BA542" s="1">
        <v>17.717685436600298</v>
      </c>
      <c r="BB542" s="1">
        <v>6.00003957748413</v>
      </c>
      <c r="BC542" s="1">
        <v>3.93149662017822</v>
      </c>
      <c r="BD542" s="7"/>
      <c r="BE542" s="1"/>
      <c r="BF542" s="1"/>
      <c r="BG542" s="8"/>
      <c r="BH542" s="1"/>
      <c r="BI542" s="1"/>
      <c r="BJ542" s="1"/>
      <c r="BK542" s="8"/>
    </row>
    <row r="543" spans="1:63">
      <c r="A543" s="49"/>
      <c r="B543" s="7" t="s">
        <v>18</v>
      </c>
      <c r="C543" s="17">
        <v>0.06</v>
      </c>
      <c r="D543" s="7">
        <v>43</v>
      </c>
      <c r="E543">
        <v>5.8064778645833301E-2</v>
      </c>
      <c r="F543">
        <v>30.5060278241831</v>
      </c>
      <c r="G543">
        <v>0.933291589322777</v>
      </c>
      <c r="H543">
        <v>11.7581940625694</v>
      </c>
      <c r="I543">
        <v>33.557222678109298</v>
      </c>
      <c r="J543">
        <v>0.94260279959498505</v>
      </c>
      <c r="K543" s="8">
        <v>12.4110929015089</v>
      </c>
      <c r="L543" s="7">
        <v>42</v>
      </c>
      <c r="M543">
        <v>5.1350911458333301E-2</v>
      </c>
      <c r="N543">
        <v>31.077601519681501</v>
      </c>
      <c r="O543">
        <v>0.93882018424382296</v>
      </c>
      <c r="P543">
        <v>12.133918352329299</v>
      </c>
      <c r="Q543">
        <v>34.224014647018898</v>
      </c>
      <c r="R543">
        <v>0.94487687684148103</v>
      </c>
      <c r="S543" s="1">
        <v>12.586661842048301</v>
      </c>
      <c r="T543" s="7"/>
      <c r="U543" s="1"/>
      <c r="V543" s="1"/>
      <c r="W543" s="8"/>
      <c r="X543" s="7"/>
      <c r="Y543" s="1"/>
      <c r="Z543" s="1"/>
      <c r="AA543" s="8"/>
      <c r="AB543" s="7">
        <v>4</v>
      </c>
      <c r="AC543">
        <v>9.2997233072916602E-2</v>
      </c>
      <c r="AD543">
        <v>32.466050336756197</v>
      </c>
      <c r="AE543">
        <v>0.95759980185377302</v>
      </c>
      <c r="AF543">
        <v>13.726321138409499</v>
      </c>
      <c r="AG543">
        <v>35.764800832736299</v>
      </c>
      <c r="AH543">
        <v>0.96141993539923498</v>
      </c>
      <c r="AI543" s="1">
        <v>14.136370494829</v>
      </c>
      <c r="AJ543" s="1">
        <v>7.4620518684387198</v>
      </c>
      <c r="AK543" s="1">
        <v>4.7270667552947998</v>
      </c>
      <c r="AL543" s="7"/>
      <c r="AM543" s="1"/>
      <c r="AN543" s="1"/>
      <c r="AO543" s="8"/>
      <c r="AP543" s="1"/>
      <c r="AQ543" s="1"/>
      <c r="AR543" s="1"/>
      <c r="AS543" s="8"/>
      <c r="AT543" s="7">
        <v>0.04</v>
      </c>
      <c r="AU543">
        <v>9.3851725260416602E-2</v>
      </c>
      <c r="AV543">
        <v>30.339932821279699</v>
      </c>
      <c r="AW543">
        <v>0.969534220688821</v>
      </c>
      <c r="AX543">
        <v>15.1618770819383</v>
      </c>
      <c r="AY543">
        <v>33.218547503999098</v>
      </c>
      <c r="AZ543">
        <v>0.97377305690595894</v>
      </c>
      <c r="BA543" s="1">
        <v>15.8125232606066</v>
      </c>
      <c r="BB543" s="1">
        <v>7.1946389675140301</v>
      </c>
      <c r="BC543" s="1">
        <v>4.8634169101714999</v>
      </c>
      <c r="BD543" s="7"/>
      <c r="BE543" s="1"/>
      <c r="BF543" s="1"/>
      <c r="BG543" s="8"/>
      <c r="BH543" s="1"/>
      <c r="BI543" s="1"/>
      <c r="BJ543" s="1"/>
      <c r="BK543" s="8"/>
    </row>
    <row r="544" spans="1:63">
      <c r="A544" s="49"/>
      <c r="B544" s="7" t="s">
        <v>112</v>
      </c>
      <c r="C544" s="17">
        <v>1.5</v>
      </c>
      <c r="D544" s="7">
        <v>23</v>
      </c>
      <c r="E544">
        <v>1.4510904947916601</v>
      </c>
      <c r="F544">
        <v>40.820600288036403</v>
      </c>
      <c r="G544">
        <v>0.99326991387036001</v>
      </c>
      <c r="H544">
        <v>21.719793777689201</v>
      </c>
      <c r="I544">
        <v>43.9818528054534</v>
      </c>
      <c r="J544">
        <v>0.99590035566324198</v>
      </c>
      <c r="K544" s="8">
        <v>23.872538187152902</v>
      </c>
      <c r="L544" s="7">
        <v>21</v>
      </c>
      <c r="M544">
        <v>1.3622843424479101</v>
      </c>
      <c r="N544">
        <v>41.214730038521701</v>
      </c>
      <c r="O544">
        <v>0.99386510746865098</v>
      </c>
      <c r="P544">
        <v>22.121930406714899</v>
      </c>
      <c r="Q544">
        <v>44.372333487246799</v>
      </c>
      <c r="R544">
        <v>0.99615618744214895</v>
      </c>
      <c r="S544" s="1">
        <v>24.152377987027901</v>
      </c>
      <c r="T544" s="13">
        <f>bdrate(E544:E547,F544:F547,M544:M547,N544:N547)</f>
        <v>-0.18260494005218497</v>
      </c>
      <c r="U544" s="12">
        <f>bdrate(E544:E547,H544:H547,M544:M547,P544:P547)</f>
        <v>-0.17163595725499392</v>
      </c>
      <c r="V544" s="12">
        <f>bdrate(E544:E547,I544:I547,M544:M547,Q544:Q547)</f>
        <v>-0.18246220800907964</v>
      </c>
      <c r="W544" s="14">
        <f>bdrate(E544:E547,K544:K547,M544:M547,S544:S547)</f>
        <v>-0.12285347090526799</v>
      </c>
      <c r="X544" s="13">
        <f>bdrate(E546:E549,F546:F549,M546:M549,N546:N549)</f>
        <v>-0.25328816825857992</v>
      </c>
      <c r="Y544" s="12">
        <f>bdrate(E546:E549,H546:H549,M546:M549,P546:P549)</f>
        <v>-0.22647368883836505</v>
      </c>
      <c r="Z544" s="12">
        <f>bdrate(E546:E549,I546:I549,M546:M549,Q546:Q549)</f>
        <v>-0.26696212252502638</v>
      </c>
      <c r="AA544" s="14">
        <f>bdrate(E546:E549,K546:K549,M546:M549,S546:S549)</f>
        <v>-0.15641085299426749</v>
      </c>
      <c r="AB544" s="7"/>
      <c r="AI544" s="1"/>
      <c r="AJ544" s="1"/>
      <c r="AK544" s="1"/>
      <c r="AL544" s="13" t="e">
        <f>bdrate(E544:E547,F544:F547,AC544:AC547,AD544:AD547)</f>
        <v>#VALUE!</v>
      </c>
      <c r="AM544" s="12" t="e">
        <f>bdrate(E544:E547,H544:H547,AC544:AC547,AF544:AF547)</f>
        <v>#VALUE!</v>
      </c>
      <c r="AN544" s="12" t="e">
        <f>bdrate(E544:E547,I544:I547,AC544:AC547,AG544:AG547)</f>
        <v>#VALUE!</v>
      </c>
      <c r="AO544" s="14" t="e">
        <f>bdrate(E544:E547,K544:K547,AC544:AC547,AI544:AI547)</f>
        <v>#VALUE!</v>
      </c>
      <c r="AP544" s="12">
        <f>bdrate(E546:E549,F546:F549,AC546:AC549,AD546:AD549)</f>
        <v>-0.19303920660424034</v>
      </c>
      <c r="AQ544" s="12">
        <f>bdrate(E546:E549,H546:H549,AC546:AC549,AF546:AF549)</f>
        <v>-0.22058314323615669</v>
      </c>
      <c r="AR544" s="12">
        <f>bdrate(E546:E549,I546:I549,AC546:AC549,AG546:AG549)</f>
        <v>-0.23370613440211907</v>
      </c>
      <c r="AS544" s="14">
        <f>bdrate(E546:E549,K546:K549,AC546:AC549,AI546:AI549)</f>
        <v>-0.1672040662075146</v>
      </c>
      <c r="AT544" s="7"/>
      <c r="BA544" s="1"/>
      <c r="BB544" s="1"/>
      <c r="BC544" s="1"/>
      <c r="BD544" s="13" t="e">
        <f>bdrate(E544:E547,F544:F547,AU544:AU547,AV544:AV547)</f>
        <v>#VALUE!</v>
      </c>
      <c r="BE544" s="12" t="e">
        <f>bdrate(E544:E547,H544:H547,AU544:AU547,AX544:AX547)</f>
        <v>#VALUE!</v>
      </c>
      <c r="BF544" s="12" t="e">
        <f>bdrate(E544:E547,I544:I547,AU544:AU547,AY544:AY547)</f>
        <v>#VALUE!</v>
      </c>
      <c r="BG544" s="14" t="e">
        <f>bdrate(E544:E547,K544:K547,AU544:AU547,BA544:BA547)</f>
        <v>#VALUE!</v>
      </c>
      <c r="BH544" s="12">
        <f>bdrate(E546:E549,F546:F549,AU546:AU549,AV546:AV549)</f>
        <v>0.58144973119002374</v>
      </c>
      <c r="BI544" s="12">
        <f>bdrate(E546:E549,H546:H549,AU546:AU549,AX546:AX549)</f>
        <v>-0.46224460918098353</v>
      </c>
      <c r="BJ544" s="12">
        <f>bdrate(E546:E549,I546:I549,AU546:AU549,AY546:AY549)</f>
        <v>0.58001979639768142</v>
      </c>
      <c r="BK544" s="14">
        <f>bdrate(E546:E549,K546:K549,AU546:AU549,BA546:BA549)</f>
        <v>-0.44236280600924405</v>
      </c>
    </row>
    <row r="545" spans="1:63">
      <c r="A545" s="49"/>
      <c r="B545" s="7" t="s">
        <v>18</v>
      </c>
      <c r="C545" s="17">
        <v>1</v>
      </c>
      <c r="D545" s="7">
        <v>27</v>
      </c>
      <c r="E545">
        <v>0.91158040364583304</v>
      </c>
      <c r="F545">
        <v>38.236483989453703</v>
      </c>
      <c r="G545">
        <v>0.98799084059434605</v>
      </c>
      <c r="H545">
        <v>19.204873904540701</v>
      </c>
      <c r="I545">
        <v>41.365666495383302</v>
      </c>
      <c r="J545">
        <v>0.99185942424324602</v>
      </c>
      <c r="K545" s="8">
        <v>20.8934487777192</v>
      </c>
      <c r="L545" s="7">
        <v>24</v>
      </c>
      <c r="M545">
        <v>0.95389811197916596</v>
      </c>
      <c r="N545">
        <v>39.358093042863899</v>
      </c>
      <c r="O545">
        <v>0.99045929982666703</v>
      </c>
      <c r="P545">
        <v>20.2041975210342</v>
      </c>
      <c r="Q545">
        <v>42.463303235623101</v>
      </c>
      <c r="R545">
        <v>0.99338446014772297</v>
      </c>
      <c r="S545" s="1">
        <v>21.794347100103401</v>
      </c>
      <c r="T545" s="7"/>
      <c r="U545" s="1"/>
      <c r="V545" s="1"/>
      <c r="W545" s="8"/>
      <c r="X545" s="7"/>
      <c r="Y545" s="1"/>
      <c r="Z545" s="1"/>
      <c r="AA545" s="8"/>
      <c r="AB545" s="7">
        <v>64</v>
      </c>
      <c r="AC545">
        <v>0.63804117838541596</v>
      </c>
      <c r="AD545">
        <v>37.380047850492197</v>
      </c>
      <c r="AE545">
        <v>0.98627109329485196</v>
      </c>
      <c r="AF545">
        <v>18.623640462174901</v>
      </c>
      <c r="AG545">
        <v>40.568658945355502</v>
      </c>
      <c r="AH545">
        <v>0.98994877468396403</v>
      </c>
      <c r="AI545" s="1">
        <v>19.9778099142206</v>
      </c>
      <c r="AJ545" s="1">
        <v>7.8480978012084899</v>
      </c>
      <c r="AK545" s="1">
        <v>4.11338019371032</v>
      </c>
      <c r="AL545" s="7"/>
      <c r="AM545" s="1"/>
      <c r="AN545" s="1"/>
      <c r="AO545" s="8"/>
      <c r="AP545" s="1"/>
      <c r="AQ545" s="1"/>
      <c r="AR545" s="1"/>
      <c r="AS545" s="8"/>
      <c r="AT545" s="7">
        <v>0.64</v>
      </c>
      <c r="AU545">
        <v>0.56663004557291596</v>
      </c>
      <c r="AV545">
        <v>33.313215267831502</v>
      </c>
      <c r="AW545">
        <v>0.99004004839472004</v>
      </c>
      <c r="AX545">
        <v>20.017427717782098</v>
      </c>
      <c r="AY545">
        <v>36.743321702831203</v>
      </c>
      <c r="AZ545">
        <v>0.99245443253983201</v>
      </c>
      <c r="BA545" s="1">
        <v>21.2230809378737</v>
      </c>
      <c r="BB545" s="1">
        <v>6.9735846519470197</v>
      </c>
      <c r="BC545" s="1">
        <v>4.0288724899291903</v>
      </c>
      <c r="BD545" s="7"/>
      <c r="BE545" s="1"/>
      <c r="BF545" s="1"/>
      <c r="BG545" s="8"/>
      <c r="BH545" s="1"/>
      <c r="BI545" s="1"/>
      <c r="BJ545" s="1"/>
      <c r="BK545" s="8"/>
    </row>
    <row r="546" spans="1:63">
      <c r="A546" s="49"/>
      <c r="B546" s="7" t="s">
        <v>18</v>
      </c>
      <c r="C546" s="17">
        <v>0.5</v>
      </c>
      <c r="D546" s="7">
        <v>32</v>
      </c>
      <c r="E546">
        <v>0.45723470052083298</v>
      </c>
      <c r="F546">
        <v>34.977514244011999</v>
      </c>
      <c r="G546">
        <v>0.97472105909676299</v>
      </c>
      <c r="H546">
        <v>15.972411253862999</v>
      </c>
      <c r="I546">
        <v>38.165970947140003</v>
      </c>
      <c r="J546">
        <v>0.98093243998020496</v>
      </c>
      <c r="K546" s="8">
        <v>17.197048778893102</v>
      </c>
      <c r="L546" s="7">
        <v>29</v>
      </c>
      <c r="M546">
        <v>0.49930826822916602</v>
      </c>
      <c r="N546">
        <v>36.306124490573303</v>
      </c>
      <c r="O546">
        <v>0.98122754509751997</v>
      </c>
      <c r="P546">
        <v>17.264789303149101</v>
      </c>
      <c r="Q546">
        <v>39.4687059557371</v>
      </c>
      <c r="R546">
        <v>0.98532896756101296</v>
      </c>
      <c r="S546" s="1">
        <v>18.335393226408499</v>
      </c>
      <c r="T546" s="7"/>
      <c r="U546" s="1"/>
      <c r="V546" s="1"/>
      <c r="W546" s="8"/>
      <c r="X546" s="7"/>
      <c r="Y546" s="1"/>
      <c r="Z546" s="1"/>
      <c r="AA546" s="8"/>
      <c r="AB546" s="7">
        <v>32</v>
      </c>
      <c r="AC546">
        <v>0.43105061848958298</v>
      </c>
      <c r="AD546">
        <v>35.630405146208602</v>
      </c>
      <c r="AE546">
        <v>0.97935405394143205</v>
      </c>
      <c r="AF546">
        <v>16.851652116702802</v>
      </c>
      <c r="AG546">
        <v>38.8800753834944</v>
      </c>
      <c r="AH546">
        <v>0.98391136872025498</v>
      </c>
      <c r="AI546" s="1">
        <v>17.934809013912499</v>
      </c>
      <c r="AJ546" s="1">
        <v>11.9246020317077</v>
      </c>
      <c r="AK546" s="1">
        <v>7.7103459835052401</v>
      </c>
      <c r="AL546" s="7"/>
      <c r="AM546" s="1"/>
      <c r="AN546" s="1"/>
      <c r="AO546" s="8"/>
      <c r="AP546" s="1"/>
      <c r="AQ546" s="1"/>
      <c r="AR546" s="1"/>
      <c r="AS546" s="8"/>
      <c r="AT546" s="7">
        <v>0.32</v>
      </c>
      <c r="AU546">
        <v>0.42205810546875</v>
      </c>
      <c r="AV546">
        <v>32.6774872024139</v>
      </c>
      <c r="AW546">
        <v>0.98643570135916503</v>
      </c>
      <c r="AX546">
        <v>18.676026570656798</v>
      </c>
      <c r="AY546">
        <v>36.0475504172774</v>
      </c>
      <c r="AZ546">
        <v>0.98948158035175005</v>
      </c>
      <c r="BA546" s="1">
        <v>19.7804950634217</v>
      </c>
      <c r="BB546" s="1">
        <v>6.7402660846710196</v>
      </c>
      <c r="BC546" s="1">
        <v>4.0989360809326101</v>
      </c>
      <c r="BD546" s="7"/>
      <c r="BE546" s="1"/>
      <c r="BF546" s="1"/>
      <c r="BG546" s="8"/>
      <c r="BH546" s="1"/>
      <c r="BI546" s="1"/>
      <c r="BJ546" s="1"/>
      <c r="BK546" s="8"/>
    </row>
    <row r="547" spans="1:63">
      <c r="A547" s="49"/>
      <c r="B547" s="7" t="s">
        <v>18</v>
      </c>
      <c r="C547" s="17">
        <v>0.25</v>
      </c>
      <c r="D547" s="7">
        <v>36</v>
      </c>
      <c r="E547">
        <v>0.244140625</v>
      </c>
      <c r="F547">
        <v>32.585755537460201</v>
      </c>
      <c r="G547">
        <v>0.95549887720956195</v>
      </c>
      <c r="H547">
        <v>13.5162903136649</v>
      </c>
      <c r="I547">
        <v>35.8313358823941</v>
      </c>
      <c r="J547">
        <v>0.96433141260824895</v>
      </c>
      <c r="K547" s="8">
        <v>14.477140899920601</v>
      </c>
      <c r="L547" s="7">
        <v>34</v>
      </c>
      <c r="M547">
        <v>0.2315673828125</v>
      </c>
      <c r="N547">
        <v>33.363082583437802</v>
      </c>
      <c r="O547">
        <v>0.96227501202368104</v>
      </c>
      <c r="P547">
        <v>14.233708899703799</v>
      </c>
      <c r="Q547">
        <v>36.649756420408202</v>
      </c>
      <c r="R547">
        <v>0.96826245348003404</v>
      </c>
      <c r="S547" s="1">
        <v>14.9842664954163</v>
      </c>
      <c r="T547" s="7"/>
      <c r="U547" s="1"/>
      <c r="V547" s="1"/>
      <c r="W547" s="8"/>
      <c r="X547" s="7"/>
      <c r="Y547" s="1"/>
      <c r="Z547" s="1"/>
      <c r="AA547" s="8"/>
      <c r="AB547" s="7">
        <v>16</v>
      </c>
      <c r="AC547">
        <v>0.27227783203125</v>
      </c>
      <c r="AD547">
        <v>33.775170097219799</v>
      </c>
      <c r="AE547">
        <v>0.96738011109795996</v>
      </c>
      <c r="AF547">
        <v>14.8651752242858</v>
      </c>
      <c r="AG547">
        <v>37.1346643447297</v>
      </c>
      <c r="AH547">
        <v>0.97323865223623895</v>
      </c>
      <c r="AI547" s="1">
        <v>15.724920182724899</v>
      </c>
      <c r="AJ547" s="1">
        <v>6.8320178985595703</v>
      </c>
      <c r="AK547" s="1">
        <v>3.9870905876159601</v>
      </c>
      <c r="AL547" s="7"/>
      <c r="AM547" s="1"/>
      <c r="AN547" s="1"/>
      <c r="AO547" s="8"/>
      <c r="AP547" s="1"/>
      <c r="AQ547" s="1"/>
      <c r="AR547" s="1"/>
      <c r="AS547" s="8"/>
      <c r="AT547" s="7">
        <v>0.16</v>
      </c>
      <c r="AU547">
        <v>0.29954020182291602</v>
      </c>
      <c r="AV547">
        <v>31.855384216157699</v>
      </c>
      <c r="AW547">
        <v>0.98031537273868397</v>
      </c>
      <c r="AX547">
        <v>17.058728043884201</v>
      </c>
      <c r="AY547">
        <v>35.187060807784398</v>
      </c>
      <c r="AZ547">
        <v>0.98423335461055905</v>
      </c>
      <c r="BA547" s="1">
        <v>18.0226070006565</v>
      </c>
      <c r="BB547" s="1">
        <v>6.2074890136718697</v>
      </c>
      <c r="BC547" s="1">
        <v>3.6873116493225</v>
      </c>
      <c r="BD547" s="7"/>
      <c r="BE547" s="1"/>
      <c r="BF547" s="1"/>
      <c r="BG547" s="8"/>
      <c r="BH547" s="1"/>
      <c r="BI547" s="1"/>
      <c r="BJ547" s="1"/>
      <c r="BK547" s="8"/>
    </row>
    <row r="548" spans="1:63">
      <c r="A548" s="49"/>
      <c r="B548" s="7" t="s">
        <v>18</v>
      </c>
      <c r="C548" s="17">
        <v>0.12</v>
      </c>
      <c r="D548" s="7">
        <v>41</v>
      </c>
      <c r="E548">
        <v>0.10614013671875</v>
      </c>
      <c r="F548">
        <v>30.0280512975961</v>
      </c>
      <c r="G548">
        <v>0.91615383787443005</v>
      </c>
      <c r="H548">
        <v>10.7651681148166</v>
      </c>
      <c r="I548">
        <v>33.318936582902801</v>
      </c>
      <c r="J548">
        <v>0.93095595681193999</v>
      </c>
      <c r="K548" s="8">
        <v>11.6087378445899</v>
      </c>
      <c r="L548" s="7">
        <v>39</v>
      </c>
      <c r="M548">
        <v>0.104146321614583</v>
      </c>
      <c r="N548">
        <v>30.864553385475901</v>
      </c>
      <c r="O548">
        <v>0.92970594718240696</v>
      </c>
      <c r="P548">
        <v>11.530814166268099</v>
      </c>
      <c r="Q548">
        <v>34.210324180595101</v>
      </c>
      <c r="R548">
        <v>0.93772337072946299</v>
      </c>
      <c r="S548" s="1">
        <v>12.0567490170478</v>
      </c>
      <c r="T548" s="7"/>
      <c r="U548" s="1"/>
      <c r="V548" s="1"/>
      <c r="W548" s="8"/>
      <c r="X548" s="7"/>
      <c r="Y548" s="1"/>
      <c r="Z548" s="1"/>
      <c r="AA548" s="8"/>
      <c r="AB548" s="7">
        <v>8</v>
      </c>
      <c r="AC548">
        <v>0.17498779296875</v>
      </c>
      <c r="AD548">
        <v>32.187545558390497</v>
      </c>
      <c r="AE548">
        <v>0.95273204993946403</v>
      </c>
      <c r="AF548">
        <v>13.2543323198315</v>
      </c>
      <c r="AG548">
        <v>35.642179459318598</v>
      </c>
      <c r="AH548">
        <v>0.95947421225779395</v>
      </c>
      <c r="AI548" s="1">
        <v>13.9226853456043</v>
      </c>
      <c r="AJ548" s="1">
        <v>6.5461080074310303</v>
      </c>
      <c r="AK548" s="1">
        <v>4.6759991645812899</v>
      </c>
      <c r="AL548" s="7"/>
      <c r="AM548" s="1"/>
      <c r="AN548" s="1"/>
      <c r="AO548" s="8"/>
      <c r="AP548" s="1"/>
      <c r="AQ548" s="1"/>
      <c r="AR548" s="1"/>
      <c r="AS548" s="8"/>
      <c r="AT548" s="7">
        <v>0.08</v>
      </c>
      <c r="AU548">
        <v>0.20005289713541599</v>
      </c>
      <c r="AV548">
        <v>30.479525798607899</v>
      </c>
      <c r="AW548">
        <v>0.96938469096691504</v>
      </c>
      <c r="AX548">
        <v>15.1406135240704</v>
      </c>
      <c r="AY548">
        <v>33.707568005328604</v>
      </c>
      <c r="AZ548">
        <v>0.97529652587860804</v>
      </c>
      <c r="BA548" s="1">
        <v>16.072419663495499</v>
      </c>
      <c r="BB548" s="1">
        <v>5.8987486362457204</v>
      </c>
      <c r="BC548" s="1">
        <v>3.98177170753479</v>
      </c>
      <c r="BD548" s="7"/>
      <c r="BE548" s="1"/>
      <c r="BF548" s="1"/>
      <c r="BG548" s="8"/>
      <c r="BH548" s="1"/>
      <c r="BI548" s="1"/>
      <c r="BJ548" s="1"/>
      <c r="BK548" s="8"/>
    </row>
    <row r="549" spans="1:63">
      <c r="A549" s="49"/>
      <c r="B549" s="7" t="s">
        <v>18</v>
      </c>
      <c r="C549" s="17">
        <v>0.06</v>
      </c>
      <c r="D549" s="7">
        <v>45</v>
      </c>
      <c r="E549">
        <v>5.3120930989583301E-2</v>
      </c>
      <c r="F549">
        <v>28.230418354668299</v>
      </c>
      <c r="G549">
        <v>0.87198169155206595</v>
      </c>
      <c r="H549">
        <v>8.9272791559188907</v>
      </c>
      <c r="I549">
        <v>31.491194756091101</v>
      </c>
      <c r="J549">
        <v>0.88948961421752504</v>
      </c>
      <c r="K549" s="8">
        <v>9.5659690500091301</v>
      </c>
      <c r="L549" s="7">
        <v>43</v>
      </c>
      <c r="M549">
        <v>5.340576171875E-2</v>
      </c>
      <c r="N549">
        <v>29.102609976080199</v>
      </c>
      <c r="O549">
        <v>0.89083283125412105</v>
      </c>
      <c r="P549">
        <v>9.6190795298975598</v>
      </c>
      <c r="Q549">
        <v>32.421445072443198</v>
      </c>
      <c r="R549">
        <v>0.90166125114456996</v>
      </c>
      <c r="S549" s="1">
        <v>10.072753214540199</v>
      </c>
      <c r="T549" s="7"/>
      <c r="U549" s="1"/>
      <c r="V549" s="1"/>
      <c r="W549" s="8"/>
      <c r="X549" s="7"/>
      <c r="Y549" s="1"/>
      <c r="Z549" s="1"/>
      <c r="AA549" s="8"/>
      <c r="AB549" s="7">
        <v>4</v>
      </c>
      <c r="AC549">
        <v>0.11322021484375</v>
      </c>
      <c r="AD549">
        <v>30.7793472033153</v>
      </c>
      <c r="AE549">
        <v>0.93115427407290496</v>
      </c>
      <c r="AF549">
        <v>11.6212301639318</v>
      </c>
      <c r="AG549">
        <v>34.294406181474599</v>
      </c>
      <c r="AH549">
        <v>0.93969663006181903</v>
      </c>
      <c r="AI549" s="1">
        <v>12.1965841746745</v>
      </c>
      <c r="AJ549" s="1">
        <v>6.6857550144195503</v>
      </c>
      <c r="AK549" s="1">
        <v>4.4250204563140798</v>
      </c>
      <c r="AL549" s="7"/>
      <c r="AM549" s="1"/>
      <c r="AN549" s="1"/>
      <c r="AO549" s="8"/>
      <c r="AP549" s="1"/>
      <c r="AQ549" s="1"/>
      <c r="AR549" s="1"/>
      <c r="AS549" s="8"/>
      <c r="AT549" s="7">
        <v>0.04</v>
      </c>
      <c r="AU549">
        <v>0.13092041015625</v>
      </c>
      <c r="AV549">
        <v>29.348728037435301</v>
      </c>
      <c r="AW549">
        <v>0.95470259688231995</v>
      </c>
      <c r="AX549">
        <v>13.439266952054799</v>
      </c>
      <c r="AY549">
        <v>32.593314833088797</v>
      </c>
      <c r="AZ549">
        <v>0.96284818334021305</v>
      </c>
      <c r="BA549" s="1">
        <v>14.300199451327099</v>
      </c>
      <c r="BB549" s="1">
        <v>6.7268650531768799</v>
      </c>
      <c r="BC549" s="1">
        <v>4.60916924476623</v>
      </c>
      <c r="BD549" s="7"/>
      <c r="BE549" s="1"/>
      <c r="BF549" s="1"/>
      <c r="BG549" s="8"/>
      <c r="BH549" s="1"/>
      <c r="BI549" s="1"/>
      <c r="BJ549" s="1"/>
      <c r="BK549" s="8"/>
    </row>
    <row r="550" spans="1:63">
      <c r="A550" s="49"/>
      <c r="B550" s="7" t="s">
        <v>113</v>
      </c>
      <c r="C550" s="17">
        <v>1.5</v>
      </c>
      <c r="D550" s="7">
        <v>30</v>
      </c>
      <c r="E550">
        <v>1.431396484375</v>
      </c>
      <c r="F550">
        <v>34.946038594286598</v>
      </c>
      <c r="G550">
        <v>0.99240099438838103</v>
      </c>
      <c r="H550">
        <v>21.192432347773401</v>
      </c>
      <c r="I550">
        <v>38.027276808432198</v>
      </c>
      <c r="J550">
        <v>0.99519920681624896</v>
      </c>
      <c r="K550" s="8">
        <v>23.186870028603298</v>
      </c>
      <c r="L550" s="7">
        <v>27</v>
      </c>
      <c r="M550">
        <v>1.4066569010416601</v>
      </c>
      <c r="N550">
        <v>36.418041722011303</v>
      </c>
      <c r="O550">
        <v>0.994316898104455</v>
      </c>
      <c r="P550">
        <v>22.454145571743599</v>
      </c>
      <c r="Q550">
        <v>39.5878443445432</v>
      </c>
      <c r="R550">
        <v>0.99643349977393303</v>
      </c>
      <c r="S550" s="1">
        <v>24.477577441150299</v>
      </c>
      <c r="T550" s="13">
        <f>bdrate(E550:E553,F550:F553,M550:M553,N550:N553)</f>
        <v>-0.21981037599201592</v>
      </c>
      <c r="U550" s="12">
        <f>bdrate(E550:E553,H550:H553,M550:M553,P550:P553)</f>
        <v>-0.16637497725427364</v>
      </c>
      <c r="V550" s="12">
        <f>bdrate(E550:E553,I550:I553,M550:M553,Q550:Q553)</f>
        <v>-0.23255373570374982</v>
      </c>
      <c r="W550" s="14">
        <f>bdrate(E550:E553,K550:K553,M550:M553,S550:S553)</f>
        <v>-0.14041000007983451</v>
      </c>
      <c r="X550" s="13">
        <f>bdrate(E552:E555,F552:F555,M552:M555,N552:N555)</f>
        <v>-0.23768644373533865</v>
      </c>
      <c r="Y550" s="12">
        <f>bdrate(E552:E555,H552:H555,M552:M555,P552:P555)</f>
        <v>-0.15434680476648632</v>
      </c>
      <c r="Z550" s="12">
        <f>bdrate(E552:E555,I552:I555,M552:M555,Q552:Q555)</f>
        <v>-0.264028161342305</v>
      </c>
      <c r="AA550" s="14">
        <f>bdrate(E552:E555,K552:K555,M552:M555,S552:S555)</f>
        <v>-0.12186871292771728</v>
      </c>
      <c r="AB550" s="7"/>
      <c r="AI550" s="1"/>
      <c r="AJ550" s="1"/>
      <c r="AK550" s="1"/>
      <c r="AL550" s="13" t="e">
        <f>bdrate(E550:E553,F550:F553,AC550:AC553,AD550:AD553)</f>
        <v>#VALUE!</v>
      </c>
      <c r="AM550" s="12" t="e">
        <f>bdrate(E550:E553,H550:H553,AC550:AC553,AF550:AF553)</f>
        <v>#VALUE!</v>
      </c>
      <c r="AN550" s="12" t="e">
        <f>bdrate(E550:E553,I550:I553,AC550:AC553,AG550:AG553)</f>
        <v>#VALUE!</v>
      </c>
      <c r="AO550" s="14" t="e">
        <f>bdrate(E550:E553,K550:K553,AC550:AC553,AI550:AI553)</f>
        <v>#VALUE!</v>
      </c>
      <c r="AP550" s="12">
        <f>bdrate(E552:E555,F552:F555,AC552:AC555,AD552:AD555)</f>
        <v>-0.20190366882243604</v>
      </c>
      <c r="AQ550" s="12">
        <f>bdrate(E552:E555,H552:H555,AC552:AC555,AF552:AF555)</f>
        <v>-0.18942808996023364</v>
      </c>
      <c r="AR550" s="12">
        <f>bdrate(E552:E555,I552:I555,AC552:AC555,AG552:AG555)</f>
        <v>0</v>
      </c>
      <c r="AS550" s="14">
        <f>bdrate(E552:E555,K552:K555,AC552:AC555,AI552:AI555)</f>
        <v>-0.12565336674979111</v>
      </c>
      <c r="AT550" s="7"/>
      <c r="BA550" s="1"/>
      <c r="BB550" s="1"/>
      <c r="BC550" s="1"/>
      <c r="BD550" s="13" t="e">
        <f>bdrate(E550:E553,F550:F553,AU550:AU553,AV550:AV553)</f>
        <v>#VALUE!</v>
      </c>
      <c r="BE550" s="12" t="e">
        <f>bdrate(E550:E553,H550:H553,AU550:AU553,AX550:AX553)</f>
        <v>#VALUE!</v>
      </c>
      <c r="BF550" s="12" t="e">
        <f>bdrate(E550:E553,I550:I553,AU550:AU553,AY550:AY553)</f>
        <v>#VALUE!</v>
      </c>
      <c r="BG550" s="14" t="e">
        <f>bdrate(E550:E553,K550:K553,AU550:AU553,BA550:BA553)</f>
        <v>#VALUE!</v>
      </c>
      <c r="BH550" s="12">
        <f>bdrate(E552:E555,F552:F555,AU552:AU555,AV552:AV555)</f>
        <v>0.13790389908573908</v>
      </c>
      <c r="BI550" s="12">
        <f>bdrate(E552:E555,H552:H555,AU552:AU555,AX552:AX555)</f>
        <v>-0.43583564410157494</v>
      </c>
      <c r="BJ550" s="12">
        <f>bdrate(E552:E555,I552:I555,AU552:AU555,AY552:AY555)</f>
        <v>6.6319010366768349E-2</v>
      </c>
      <c r="BK550" s="14">
        <f>bdrate(E552:E555,K552:K555,AU552:AU555,BA552:BA555)</f>
        <v>-0.40783634360462429</v>
      </c>
    </row>
    <row r="551" spans="1:63">
      <c r="A551" s="49"/>
      <c r="B551" s="7" t="s">
        <v>18</v>
      </c>
      <c r="C551" s="17">
        <v>1</v>
      </c>
      <c r="D551" s="7">
        <v>34</v>
      </c>
      <c r="E551">
        <v>0.93613688151041596</v>
      </c>
      <c r="F551">
        <v>31.829404206295401</v>
      </c>
      <c r="G551">
        <v>0.98435320048207897</v>
      </c>
      <c r="H551">
        <v>18.055744820057601</v>
      </c>
      <c r="I551">
        <v>34.8920290403601</v>
      </c>
      <c r="J551">
        <v>0.98895205783435702</v>
      </c>
      <c r="K551" s="8">
        <v>19.567186078913998</v>
      </c>
      <c r="L551" s="7">
        <v>31</v>
      </c>
      <c r="M551">
        <v>0.94700113932291596</v>
      </c>
      <c r="N551">
        <v>33.515221511181601</v>
      </c>
      <c r="O551">
        <v>0.98869206387934805</v>
      </c>
      <c r="P551">
        <v>19.4661665353652</v>
      </c>
      <c r="Q551">
        <v>36.657517763573402</v>
      </c>
      <c r="R551">
        <v>0.99203767673876597</v>
      </c>
      <c r="S551" s="1">
        <v>20.989601945338698</v>
      </c>
      <c r="T551" s="7"/>
      <c r="U551" s="1"/>
      <c r="V551" s="1"/>
      <c r="W551" s="8"/>
      <c r="X551" s="7"/>
      <c r="Y551" s="1"/>
      <c r="Z551" s="1"/>
      <c r="AA551" s="8"/>
      <c r="AB551" s="7">
        <v>64</v>
      </c>
      <c r="AC551">
        <v>1.3946736653645799</v>
      </c>
      <c r="AD551">
        <v>36.1033032531613</v>
      </c>
      <c r="AE551">
        <v>0.99443480915941396</v>
      </c>
      <c r="AF551">
        <v>22.545199383208001</v>
      </c>
      <c r="AG551">
        <v>39.235708267850598</v>
      </c>
      <c r="AH551">
        <v>0.99664750789545797</v>
      </c>
      <c r="AI551" s="1">
        <v>24.746322362827001</v>
      </c>
      <c r="AJ551" s="1">
        <v>8.8246297836303693</v>
      </c>
      <c r="AK551" s="1">
        <v>4.1906158924102703</v>
      </c>
      <c r="AL551" s="7"/>
      <c r="AM551" s="1"/>
      <c r="AN551" s="1"/>
      <c r="AO551" s="8"/>
      <c r="AP551" s="1"/>
      <c r="AQ551" s="1"/>
      <c r="AR551" s="1"/>
      <c r="AS551" s="8"/>
      <c r="AT551" s="7">
        <v>0.64</v>
      </c>
      <c r="AU551">
        <v>0.75990804036458304</v>
      </c>
      <c r="AV551">
        <v>28.649488121521099</v>
      </c>
      <c r="AW551">
        <v>0.99167157567840103</v>
      </c>
      <c r="AX551">
        <v>20.794371562359601</v>
      </c>
      <c r="AY551">
        <v>32.271058678954802</v>
      </c>
      <c r="AZ551">
        <v>0.99334447899966005</v>
      </c>
      <c r="BA551" s="1">
        <v>21.7681794188487</v>
      </c>
      <c r="BB551" s="1">
        <v>7.50160479545593</v>
      </c>
      <c r="BC551" s="1">
        <v>4.2128627300262398</v>
      </c>
      <c r="BD551" s="7"/>
      <c r="BE551" s="1"/>
      <c r="BF551" s="1"/>
      <c r="BG551" s="8"/>
      <c r="BH551" s="1"/>
      <c r="BI551" s="1"/>
      <c r="BJ551" s="1"/>
      <c r="BK551" s="8"/>
    </row>
    <row r="552" spans="1:63">
      <c r="A552" s="49"/>
      <c r="B552" s="7" t="s">
        <v>18</v>
      </c>
      <c r="C552" s="17">
        <v>0.5</v>
      </c>
      <c r="D552" s="7">
        <v>40</v>
      </c>
      <c r="E552">
        <v>0.43690999348958298</v>
      </c>
      <c r="F552">
        <v>27.4706484028797</v>
      </c>
      <c r="G552">
        <v>0.95660901325146896</v>
      </c>
      <c r="H552">
        <v>13.6260047352672</v>
      </c>
      <c r="I552">
        <v>30.582244654375899</v>
      </c>
      <c r="J552">
        <v>0.96542893201271296</v>
      </c>
      <c r="K552" s="8">
        <v>14.6128720380093</v>
      </c>
      <c r="L552" s="7">
        <v>37</v>
      </c>
      <c r="M552">
        <v>0.47690836588541602</v>
      </c>
      <c r="N552">
        <v>29.2710140619266</v>
      </c>
      <c r="O552">
        <v>0.96870089015288297</v>
      </c>
      <c r="P552">
        <v>15.044680136989999</v>
      </c>
      <c r="Q552">
        <v>32.457706946633003</v>
      </c>
      <c r="R552">
        <v>0.97461751174961297</v>
      </c>
      <c r="S552" s="1">
        <v>15.954658061797</v>
      </c>
      <c r="T552" s="7"/>
      <c r="U552" s="1"/>
      <c r="V552" s="1"/>
      <c r="W552" s="8"/>
      <c r="X552" s="7"/>
      <c r="Y552" s="1"/>
      <c r="Z552" s="1"/>
      <c r="AA552" s="8"/>
      <c r="AB552" s="7">
        <v>32</v>
      </c>
      <c r="AC552">
        <v>1.05255126953125</v>
      </c>
      <c r="AD552">
        <v>34.076198719855398</v>
      </c>
      <c r="AE552">
        <v>0.99101127858837501</v>
      </c>
      <c r="AF552">
        <v>20.463020794978199</v>
      </c>
      <c r="AG552">
        <v>37.221677576657797</v>
      </c>
      <c r="AH552">
        <v>0.99372040558258701</v>
      </c>
      <c r="AI552" s="1">
        <v>22.020684053022901</v>
      </c>
      <c r="AJ552" s="1">
        <v>13.3880412578582</v>
      </c>
      <c r="AK552" s="1">
        <v>8.1252934932708705</v>
      </c>
      <c r="AL552" s="7"/>
      <c r="AM552" s="1"/>
      <c r="AN552" s="1"/>
      <c r="AO552" s="8"/>
      <c r="AP552" s="1"/>
      <c r="AQ552" s="1"/>
      <c r="AR552" s="1"/>
      <c r="AS552" s="8"/>
      <c r="AT552" s="7">
        <v>0.32</v>
      </c>
      <c r="AU552">
        <v>0.60276285807291596</v>
      </c>
      <c r="AV552">
        <v>27.8951215913292</v>
      </c>
      <c r="AW552">
        <v>0.98812697834121899</v>
      </c>
      <c r="AX552">
        <v>19.254387399558698</v>
      </c>
      <c r="AY552">
        <v>31.440457602655599</v>
      </c>
      <c r="AZ552">
        <v>0.99031172056161898</v>
      </c>
      <c r="BA552" s="1">
        <v>20.137533433583599</v>
      </c>
      <c r="BB552" s="1">
        <v>6.8010113239288303</v>
      </c>
      <c r="BC552" s="1">
        <v>4.2064888477325404</v>
      </c>
      <c r="BD552" s="7"/>
      <c r="BE552" s="1"/>
      <c r="BF552" s="1"/>
      <c r="BG552" s="8"/>
      <c r="BH552" s="1"/>
      <c r="BI552" s="1"/>
      <c r="BJ552" s="1"/>
      <c r="BK552" s="8"/>
    </row>
    <row r="553" spans="1:63">
      <c r="A553" s="49"/>
      <c r="B553" s="7" t="s">
        <v>18</v>
      </c>
      <c r="C553" s="17">
        <v>0.25</v>
      </c>
      <c r="D553" s="7">
        <v>44</v>
      </c>
      <c r="E553">
        <v>0.240478515625</v>
      </c>
      <c r="F553">
        <v>24.846819663241298</v>
      </c>
      <c r="G553">
        <v>0.91726022685352404</v>
      </c>
      <c r="H553">
        <v>10.8228567417496</v>
      </c>
      <c r="I553">
        <v>27.972873609615601</v>
      </c>
      <c r="J553">
        <v>0.93012350245369402</v>
      </c>
      <c r="K553" s="8">
        <v>11.5566887149725</v>
      </c>
      <c r="L553" s="7">
        <v>42</v>
      </c>
      <c r="M553">
        <v>0.23905436197916599</v>
      </c>
      <c r="N553">
        <v>25.9504846440833</v>
      </c>
      <c r="O553">
        <v>0.92982165255263005</v>
      </c>
      <c r="P553">
        <v>11.537968627227499</v>
      </c>
      <c r="Q553">
        <v>29.2001623866174</v>
      </c>
      <c r="R553">
        <v>0.93913795193521099</v>
      </c>
      <c r="S553" s="1">
        <v>12.1565343731681</v>
      </c>
      <c r="T553" s="7"/>
      <c r="U553" s="1"/>
      <c r="V553" s="1"/>
      <c r="W553" s="8"/>
      <c r="X553" s="7"/>
      <c r="Y553" s="1"/>
      <c r="Z553" s="1"/>
      <c r="AA553" s="8"/>
      <c r="AB553" s="7">
        <v>16</v>
      </c>
      <c r="AC553">
        <v>0.74420166015625</v>
      </c>
      <c r="AD553">
        <v>31.671234708988202</v>
      </c>
      <c r="AE553">
        <v>0.98418647304919105</v>
      </c>
      <c r="AF553">
        <v>18.009712569212201</v>
      </c>
      <c r="AG553">
        <v>34.911986480268098</v>
      </c>
      <c r="AH553">
        <v>0.98764128990379696</v>
      </c>
      <c r="AI553" s="1">
        <v>19.080268550833701</v>
      </c>
      <c r="AJ553" s="1">
        <v>7.1944510936736998</v>
      </c>
      <c r="AK553" s="1">
        <v>4.5257058143615696</v>
      </c>
      <c r="AL553" s="7"/>
      <c r="AM553" s="1"/>
      <c r="AN553" s="1"/>
      <c r="AO553" s="8"/>
      <c r="AP553" s="1"/>
      <c r="AQ553" s="1"/>
      <c r="AR553" s="1"/>
      <c r="AS553" s="8"/>
      <c r="AT553" s="7">
        <v>0.16</v>
      </c>
      <c r="AU553">
        <v>0.44862874348958298</v>
      </c>
      <c r="AV553">
        <v>26.877246503719999</v>
      </c>
      <c r="AW553">
        <v>0.98098620348786403</v>
      </c>
      <c r="AX553">
        <v>17.2093115827129</v>
      </c>
      <c r="AY553">
        <v>30.3355922512165</v>
      </c>
      <c r="AZ553">
        <v>0.984280617259638</v>
      </c>
      <c r="BA553" s="1">
        <v>18.035645115865702</v>
      </c>
      <c r="BB553" s="1">
        <v>6.2925763130187899</v>
      </c>
      <c r="BC553" s="1">
        <v>3.89002466201782</v>
      </c>
      <c r="BD553" s="7"/>
      <c r="BE553" s="1"/>
      <c r="BF553" s="1"/>
      <c r="BG553" s="8"/>
      <c r="BH553" s="1"/>
      <c r="BI553" s="1"/>
      <c r="BJ553" s="1"/>
      <c r="BK553" s="8"/>
    </row>
    <row r="554" spans="1:63">
      <c r="A554" s="49"/>
      <c r="B554" s="7" t="s">
        <v>18</v>
      </c>
      <c r="C554" s="17">
        <v>0.12</v>
      </c>
      <c r="D554" s="7">
        <v>49</v>
      </c>
      <c r="E554">
        <v>0.102254231770833</v>
      </c>
      <c r="F554">
        <v>22.105690203343599</v>
      </c>
      <c r="G554">
        <v>0.83763302611939106</v>
      </c>
      <c r="H554">
        <v>7.8950230342015502</v>
      </c>
      <c r="I554">
        <v>25.2752879196516</v>
      </c>
      <c r="J554">
        <v>0.85507748748336099</v>
      </c>
      <c r="K554" s="8">
        <v>8.3886414522366497</v>
      </c>
      <c r="L554" s="7">
        <v>47</v>
      </c>
      <c r="M554">
        <v>0.10565185546875</v>
      </c>
      <c r="N554">
        <v>22.9873867583138</v>
      </c>
      <c r="O554">
        <v>0.85817047590196804</v>
      </c>
      <c r="P554">
        <v>8.4823335435607792</v>
      </c>
      <c r="Q554">
        <v>26.270925349141802</v>
      </c>
      <c r="R554">
        <v>0.87083835937668597</v>
      </c>
      <c r="S554" s="1">
        <v>8.8886644717046401</v>
      </c>
      <c r="T554" s="7"/>
      <c r="U554" s="1"/>
      <c r="V554" s="1"/>
      <c r="W554" s="8"/>
      <c r="X554" s="7"/>
      <c r="Y554" s="1"/>
      <c r="Z554" s="1"/>
      <c r="AA554" s="8"/>
      <c r="AB554" s="7">
        <v>8</v>
      </c>
      <c r="AC554">
        <v>0.51239013671875</v>
      </c>
      <c r="AD554">
        <v>29.439545486482999</v>
      </c>
      <c r="AE554">
        <v>0.97335504254138705</v>
      </c>
      <c r="AF554">
        <v>15.743849688178701</v>
      </c>
      <c r="AG554">
        <v>32.833801420336101</v>
      </c>
      <c r="AH554">
        <v>0.97749346214370902</v>
      </c>
      <c r="AI554" s="1">
        <v>16.4769130666763</v>
      </c>
      <c r="AJ554" s="1">
        <v>6.3943428993225098</v>
      </c>
      <c r="AK554" s="1">
        <v>3.9867429733276301</v>
      </c>
      <c r="AL554" s="7"/>
      <c r="AM554" s="1"/>
      <c r="AN554" s="1"/>
      <c r="AO554" s="8"/>
      <c r="AP554" s="1"/>
      <c r="AQ554" s="1"/>
      <c r="AR554" s="1"/>
      <c r="AS554" s="8"/>
      <c r="AT554" s="7">
        <v>0.08</v>
      </c>
      <c r="AU554">
        <v>0.31459554036458298</v>
      </c>
      <c r="AV554">
        <v>25.444763466965099</v>
      </c>
      <c r="AW554">
        <v>0.96809505489791503</v>
      </c>
      <c r="AX554">
        <v>14.9614199831889</v>
      </c>
      <c r="AY554">
        <v>28.793006950877199</v>
      </c>
      <c r="AZ554">
        <v>0.97325054559833502</v>
      </c>
      <c r="BA554" s="1">
        <v>15.7268507168996</v>
      </c>
      <c r="BB554" s="1">
        <v>6.17976593971252</v>
      </c>
      <c r="BC554" s="1">
        <v>4.0240488052368102</v>
      </c>
      <c r="BD554" s="7"/>
      <c r="BE554" s="1"/>
      <c r="BF554" s="1"/>
      <c r="BG554" s="8"/>
      <c r="BH554" s="1"/>
      <c r="BI554" s="1"/>
      <c r="BJ554" s="1"/>
      <c r="BK554" s="8"/>
    </row>
    <row r="555" spans="1:63">
      <c r="A555" s="49"/>
      <c r="B555" s="7" t="s">
        <v>18</v>
      </c>
      <c r="C555" s="17">
        <v>0.06</v>
      </c>
      <c r="D555" s="7">
        <v>51</v>
      </c>
      <c r="E555">
        <v>7.2184244791666602E-2</v>
      </c>
      <c r="F555">
        <v>21.184791246496602</v>
      </c>
      <c r="G555">
        <v>0.79847089706391305</v>
      </c>
      <c r="H555">
        <v>6.95662228272821</v>
      </c>
      <c r="I555">
        <v>24.350033378578399</v>
      </c>
      <c r="J555">
        <v>0.81733899871448401</v>
      </c>
      <c r="K555" s="8">
        <v>7.3835416602686799</v>
      </c>
      <c r="L555" s="7">
        <v>51</v>
      </c>
      <c r="M555">
        <v>5.4341634114583301E-2</v>
      </c>
      <c r="N555">
        <v>21.059843512456698</v>
      </c>
      <c r="O555">
        <v>0.780255921073432</v>
      </c>
      <c r="P555">
        <v>6.5808281829816302</v>
      </c>
      <c r="Q555">
        <v>24.3110896021328</v>
      </c>
      <c r="R555">
        <v>0.79561204258551999</v>
      </c>
      <c r="S555" s="1">
        <v>6.8954469651439698</v>
      </c>
      <c r="T555" s="7"/>
      <c r="U555" s="1"/>
      <c r="V555" s="1"/>
      <c r="W555" s="8"/>
      <c r="X555" s="7"/>
      <c r="Y555" s="1"/>
      <c r="Z555" s="1"/>
      <c r="AA555" s="8"/>
      <c r="AB555" s="7">
        <v>4</v>
      </c>
      <c r="AC555">
        <v>0.34796142578125</v>
      </c>
      <c r="AD555">
        <v>27.459970804452698</v>
      </c>
      <c r="AE555">
        <v>0.95560473032107696</v>
      </c>
      <c r="AF555">
        <v>13.526633015471701</v>
      </c>
      <c r="AG555">
        <v>30.969845364646499</v>
      </c>
      <c r="AH555">
        <v>0.96061294458749402</v>
      </c>
      <c r="AI555" s="1">
        <v>14.046464859565701</v>
      </c>
      <c r="AJ555" s="1">
        <v>6.6484472751617396</v>
      </c>
      <c r="AK555" s="1">
        <v>4.1549899578094402</v>
      </c>
      <c r="AL555" s="7"/>
      <c r="AM555" s="1"/>
      <c r="AN555" s="1"/>
      <c r="AO555" s="8"/>
      <c r="AP555" s="1"/>
      <c r="AQ555" s="1"/>
      <c r="AR555" s="1"/>
      <c r="AS555" s="8"/>
      <c r="AT555" s="7">
        <v>0.04</v>
      </c>
      <c r="AU555">
        <v>0.21030680338541599</v>
      </c>
      <c r="AV555">
        <v>23.884736992325301</v>
      </c>
      <c r="AW555">
        <v>0.94735863824017197</v>
      </c>
      <c r="AX555">
        <v>12.786728846461999</v>
      </c>
      <c r="AY555">
        <v>27.209984604673</v>
      </c>
      <c r="AZ555">
        <v>0.95468157135461895</v>
      </c>
      <c r="BA555" s="1">
        <v>13.437251571155899</v>
      </c>
      <c r="BB555" s="1">
        <v>6.4677958488464302</v>
      </c>
      <c r="BC555" s="1">
        <v>4.6488935947418204</v>
      </c>
      <c r="BD555" s="7"/>
      <c r="BE555" s="1"/>
      <c r="BF555" s="1"/>
      <c r="BG555" s="8"/>
      <c r="BH555" s="1"/>
      <c r="BI555" s="1"/>
      <c r="BJ555" s="1"/>
      <c r="BK555" s="8"/>
    </row>
    <row r="556" spans="1:63">
      <c r="A556" s="49"/>
      <c r="B556" s="7" t="s">
        <v>114</v>
      </c>
      <c r="C556" s="17">
        <v>1.5</v>
      </c>
      <c r="D556" s="7">
        <v>27</v>
      </c>
      <c r="E556">
        <v>1.40484619140625</v>
      </c>
      <c r="F556">
        <v>37.977277760310599</v>
      </c>
      <c r="G556">
        <v>0.99098850594523502</v>
      </c>
      <c r="H556">
        <v>20.4520319948174</v>
      </c>
      <c r="I556">
        <v>41.082612637576297</v>
      </c>
      <c r="J556">
        <v>0.99467290595226299</v>
      </c>
      <c r="K556" s="8">
        <v>22.735096358503501</v>
      </c>
      <c r="L556" s="7">
        <v>24</v>
      </c>
      <c r="M556">
        <v>1.4095458984375</v>
      </c>
      <c r="N556">
        <v>39.166930762746901</v>
      </c>
      <c r="O556">
        <v>0.99307909940077399</v>
      </c>
      <c r="P556">
        <v>21.598373882274799</v>
      </c>
      <c r="Q556">
        <v>42.320973667180802</v>
      </c>
      <c r="R556">
        <v>0.99579036194991299</v>
      </c>
      <c r="S556" s="1">
        <v>23.757552437385701</v>
      </c>
      <c r="T556" s="13">
        <f>bdrate(E556:E559,F556:F559,M556:M559,N556:N559)</f>
        <v>-0.17024680951884152</v>
      </c>
      <c r="U556" s="12">
        <f>bdrate(E556:E559,H556:H559,M556:M559,P556:P559)</f>
        <v>-0.17442686676785479</v>
      </c>
      <c r="V556" s="12">
        <f>bdrate(E556:E559,I556:I559,M556:M559,Q556:Q559)</f>
        <v>-0.20031515251405607</v>
      </c>
      <c r="W556" s="14">
        <f>bdrate(E556:E559,K556:K559,M556:M559,S556:S559)</f>
        <v>-0.11985631270195096</v>
      </c>
      <c r="X556" s="13">
        <f>bdrate(E558:E561,F558:F561,M558:M561,N558:N561)</f>
        <v>-0.19159907446718216</v>
      </c>
      <c r="Y556" s="12">
        <f>bdrate(E558:E561,H558:H561,M558:M561,P558:P561)</f>
        <v>-0.16888842654021108</v>
      </c>
      <c r="Z556" s="12">
        <f>bdrate(E558:E561,I558:I561,M558:M561,Q558:Q561)</f>
        <v>-0.26273285994923645</v>
      </c>
      <c r="AA556" s="14">
        <f>bdrate(E558:E561,K558:K561,M558:M561,S558:S561)</f>
        <v>-0.11994388167913694</v>
      </c>
      <c r="AB556" s="7"/>
      <c r="AI556" s="1"/>
      <c r="AJ556" s="1"/>
      <c r="AK556" s="1"/>
      <c r="AL556" s="13" t="e">
        <f>bdrate(E556:E559,F556:F559,AC556:AC559,AD556:AD559)</f>
        <v>#VALUE!</v>
      </c>
      <c r="AM556" s="12" t="e">
        <f>bdrate(E556:E559,H556:H559,AC556:AC559,AF556:AF559)</f>
        <v>#VALUE!</v>
      </c>
      <c r="AN556" s="12" t="e">
        <f>bdrate(E556:E559,I556:I559,AC556:AC559,AG556:AG559)</f>
        <v>#VALUE!</v>
      </c>
      <c r="AO556" s="14" t="e">
        <f>bdrate(E556:E559,K556:K559,AC556:AC559,AI556:AI559)</f>
        <v>#VALUE!</v>
      </c>
      <c r="AP556" s="12">
        <f>bdrate(E558:E561,F558:F561,AC558:AC561,AD558:AD561)</f>
        <v>-0.1409131431954086</v>
      </c>
      <c r="AQ556" s="12">
        <f>bdrate(E558:E561,H558:H561,AC558:AC561,AF558:AF561)</f>
        <v>-0.20935743800011031</v>
      </c>
      <c r="AR556" s="12">
        <f>bdrate(E558:E561,I558:I561,AC558:AC561,AG558:AG561)</f>
        <v>-0.24296093184973588</v>
      </c>
      <c r="AS556" s="14">
        <f>bdrate(E558:E561,K558:K561,AC558:AC561,AI558:AI561)</f>
        <v>-0.14322281611108678</v>
      </c>
      <c r="AT556" s="7"/>
      <c r="BA556" s="1"/>
      <c r="BB556" s="1"/>
      <c r="BC556" s="1"/>
      <c r="BD556" s="13" t="e">
        <f>bdrate(E556:E559,F556:F559,AU556:AU559,AV556:AV559)</f>
        <v>#VALUE!</v>
      </c>
      <c r="BE556" s="12" t="e">
        <f>bdrate(E556:E559,H556:H559,AU556:AU559,AX556:AX559)</f>
        <v>#VALUE!</v>
      </c>
      <c r="BF556" s="12" t="e">
        <f>bdrate(E556:E559,I556:I559,AU556:AU559,AY556:AY559)</f>
        <v>#VALUE!</v>
      </c>
      <c r="BG556" s="14" t="e">
        <f>bdrate(E556:E559,K556:K559,AU556:AU559,BA556:BA559)</f>
        <v>#VALUE!</v>
      </c>
      <c r="BH556" s="12">
        <f>bdrate(E558:E561,F558:F561,AU558:AU561,AV558:AV561)</f>
        <v>0.8644774969267075</v>
      </c>
      <c r="BI556" s="12">
        <f>bdrate(E558:E561,H558:H561,AU558:AU561,AX558:AX561)</f>
        <v>-0.54459767695486194</v>
      </c>
      <c r="BJ556" s="12">
        <f>bdrate(E558:E561,I558:I561,AU558:AU561,AY558:AY561)</f>
        <v>0.58488892513823343</v>
      </c>
      <c r="BK556" s="14">
        <f>bdrate(E558:E561,K558:K561,AU558:AU561,BA558:BA561)</f>
        <v>-0.51670111856332679</v>
      </c>
    </row>
    <row r="557" spans="1:63">
      <c r="A557" s="49"/>
      <c r="B557" s="7" t="s">
        <v>18</v>
      </c>
      <c r="C557" s="17">
        <v>1</v>
      </c>
      <c r="D557" s="7">
        <v>31</v>
      </c>
      <c r="E557">
        <v>0.91725667317708304</v>
      </c>
      <c r="F557">
        <v>35.0357134448873</v>
      </c>
      <c r="G557">
        <v>0.98338393126050405</v>
      </c>
      <c r="H557">
        <v>17.794717198238299</v>
      </c>
      <c r="I557">
        <v>38.142791621517901</v>
      </c>
      <c r="J557">
        <v>0.98850564816542896</v>
      </c>
      <c r="K557" s="8">
        <v>19.395155135296299</v>
      </c>
      <c r="L557" s="7">
        <v>28</v>
      </c>
      <c r="M557">
        <v>0.9459228515625</v>
      </c>
      <c r="N557">
        <v>36.352344486191299</v>
      </c>
      <c r="O557">
        <v>0.98775950426329995</v>
      </c>
      <c r="P557">
        <v>19.122009930276</v>
      </c>
      <c r="Q557">
        <v>39.538459381048</v>
      </c>
      <c r="R557">
        <v>0.991183701625312</v>
      </c>
      <c r="S557" s="1">
        <v>20.5471372018383</v>
      </c>
      <c r="T557" s="7"/>
      <c r="U557" s="1"/>
      <c r="V557" s="1"/>
      <c r="W557" s="8"/>
      <c r="X557" s="7"/>
      <c r="Y557" s="1"/>
      <c r="Z557" s="1"/>
      <c r="AA557" s="8"/>
      <c r="AB557" s="7">
        <v>64</v>
      </c>
      <c r="AC557">
        <v>1.0383097330729101</v>
      </c>
      <c r="AD557">
        <v>36.631153627370097</v>
      </c>
      <c r="AE557">
        <v>0.98992926617530597</v>
      </c>
      <c r="AF557">
        <v>19.969388825344101</v>
      </c>
      <c r="AG557">
        <v>39.8042801890441</v>
      </c>
      <c r="AH557">
        <v>0.99297977686222205</v>
      </c>
      <c r="AI557" s="1">
        <v>21.536490836016199</v>
      </c>
      <c r="AJ557" s="1">
        <v>8.9065427780151296</v>
      </c>
      <c r="AK557" s="1">
        <v>4.5950288772582999</v>
      </c>
      <c r="AL557" s="7"/>
      <c r="AM557" s="1"/>
      <c r="AN557" s="1"/>
      <c r="AO557" s="8"/>
      <c r="AP557" s="1"/>
      <c r="AQ557" s="1"/>
      <c r="AR557" s="1"/>
      <c r="AS557" s="8"/>
      <c r="AT557" s="7">
        <v>0.64</v>
      </c>
      <c r="AU557">
        <v>0.62603759765625</v>
      </c>
      <c r="AV557">
        <v>29.305667056054499</v>
      </c>
      <c r="AW557">
        <v>0.98944266954238902</v>
      </c>
      <c r="AX557">
        <v>19.764458842734399</v>
      </c>
      <c r="AY557">
        <v>33.339976278966603</v>
      </c>
      <c r="AZ557">
        <v>0.99157547721990802</v>
      </c>
      <c r="BA557" s="1">
        <v>20.744546910314401</v>
      </c>
      <c r="BB557" s="1">
        <v>6.3204112052917401</v>
      </c>
      <c r="BC557" s="1">
        <v>4.1537368297576904</v>
      </c>
      <c r="BD557" s="7"/>
      <c r="BE557" s="1"/>
      <c r="BF557" s="1"/>
      <c r="BG557" s="8"/>
      <c r="BH557" s="1"/>
      <c r="BI557" s="1"/>
      <c r="BJ557" s="1"/>
      <c r="BK557" s="8"/>
    </row>
    <row r="558" spans="1:63">
      <c r="A558" s="49"/>
      <c r="B558" s="7" t="s">
        <v>18</v>
      </c>
      <c r="C558" s="17">
        <v>0.5</v>
      </c>
      <c r="D558" s="7">
        <v>36</v>
      </c>
      <c r="E558">
        <v>0.48453776041666602</v>
      </c>
      <c r="F558">
        <v>31.423076988544899</v>
      </c>
      <c r="G558">
        <v>0.96263230827926605</v>
      </c>
      <c r="H558">
        <v>14.2750372858626</v>
      </c>
      <c r="I558">
        <v>34.654496648877199</v>
      </c>
      <c r="J558">
        <v>0.97008774199069103</v>
      </c>
      <c r="K558" s="8">
        <v>15.2415080181426</v>
      </c>
      <c r="L558" s="7">
        <v>34</v>
      </c>
      <c r="M558">
        <v>0.46280924479166602</v>
      </c>
      <c r="N558">
        <v>32.182732511800999</v>
      </c>
      <c r="O558">
        <v>0.968561375435945</v>
      </c>
      <c r="P558">
        <v>15.025364625470001</v>
      </c>
      <c r="Q558">
        <v>35.607707833343603</v>
      </c>
      <c r="R558">
        <v>0.97330141540205195</v>
      </c>
      <c r="S558" s="1">
        <v>15.7351176176631</v>
      </c>
      <c r="T558" s="7"/>
      <c r="U558" s="1"/>
      <c r="V558" s="1"/>
      <c r="W558" s="8"/>
      <c r="X558" s="7"/>
      <c r="Y558" s="1"/>
      <c r="Z558" s="1"/>
      <c r="AA558" s="8"/>
      <c r="AB558" s="7">
        <v>32</v>
      </c>
      <c r="AC558">
        <v>0.75071207682291596</v>
      </c>
      <c r="AD558">
        <v>34.577158485991802</v>
      </c>
      <c r="AE558">
        <v>0.98392002681855995</v>
      </c>
      <c r="AF558">
        <v>17.9371467991358</v>
      </c>
      <c r="AG558">
        <v>37.932003452384301</v>
      </c>
      <c r="AH558">
        <v>0.98722727206512995</v>
      </c>
      <c r="AI558" s="1">
        <v>18.937163384031599</v>
      </c>
      <c r="AJ558" s="1">
        <v>15.4051086902618</v>
      </c>
      <c r="AK558" s="1">
        <v>8.0655682086944491</v>
      </c>
      <c r="AL558" s="7"/>
      <c r="AM558" s="1"/>
      <c r="AN558" s="1"/>
      <c r="AO558" s="8"/>
      <c r="AP558" s="1"/>
      <c r="AQ558" s="1"/>
      <c r="AR558" s="1"/>
      <c r="AS558" s="8"/>
      <c r="AT558" s="7">
        <v>0.32</v>
      </c>
      <c r="AU558">
        <v>0.49375406901041602</v>
      </c>
      <c r="AV558">
        <v>28.685565743331601</v>
      </c>
      <c r="AW558">
        <v>0.98603383821192403</v>
      </c>
      <c r="AX558">
        <v>18.549229312724002</v>
      </c>
      <c r="AY558">
        <v>32.748152757362298</v>
      </c>
      <c r="AZ558">
        <v>0.98855988346937695</v>
      </c>
      <c r="BA558" s="1">
        <v>19.415695517363101</v>
      </c>
      <c r="BB558" s="1">
        <v>6.7834026813507</v>
      </c>
      <c r="BC558" s="1">
        <v>4.0141735076904297</v>
      </c>
      <c r="BD558" s="7"/>
      <c r="BE558" s="1"/>
      <c r="BF558" s="1"/>
      <c r="BG558" s="8"/>
      <c r="BH558" s="1"/>
      <c r="BI558" s="1"/>
      <c r="BJ558" s="1"/>
      <c r="BK558" s="8"/>
    </row>
    <row r="559" spans="1:63">
      <c r="A559" s="49"/>
      <c r="B559" s="7" t="s">
        <v>18</v>
      </c>
      <c r="C559" s="17">
        <v>0.25</v>
      </c>
      <c r="D559" s="7">
        <v>41</v>
      </c>
      <c r="E559">
        <v>0.21828206380208301</v>
      </c>
      <c r="F559">
        <v>28.187036381538199</v>
      </c>
      <c r="G559">
        <v>0.92230120472251698</v>
      </c>
      <c r="H559">
        <v>11.095857148978901</v>
      </c>
      <c r="I559">
        <v>31.576225755285201</v>
      </c>
      <c r="J559">
        <v>0.93194269297136201</v>
      </c>
      <c r="K559" s="8">
        <v>11.671252395737501</v>
      </c>
      <c r="L559" s="7">
        <v>39</v>
      </c>
      <c r="M559">
        <v>0.2181396484375</v>
      </c>
      <c r="N559">
        <v>28.9157991233754</v>
      </c>
      <c r="O559">
        <v>0.93304722368191795</v>
      </c>
      <c r="P559">
        <v>11.742314094716299</v>
      </c>
      <c r="Q559">
        <v>32.562182574967103</v>
      </c>
      <c r="R559">
        <v>0.93886487774314697</v>
      </c>
      <c r="S559" s="1">
        <v>12.137092149628799</v>
      </c>
      <c r="T559" s="7"/>
      <c r="U559" s="1"/>
      <c r="V559" s="1"/>
      <c r="W559" s="8"/>
      <c r="X559" s="7"/>
      <c r="Y559" s="1"/>
      <c r="Z559" s="1"/>
      <c r="AA559" s="8"/>
      <c r="AB559" s="7">
        <v>16</v>
      </c>
      <c r="AC559">
        <v>0.49839274088541602</v>
      </c>
      <c r="AD559">
        <v>32.276213095802298</v>
      </c>
      <c r="AE559">
        <v>0.97216630862418796</v>
      </c>
      <c r="AF559">
        <v>15.5542919259393</v>
      </c>
      <c r="AG559">
        <v>35.835754348754698</v>
      </c>
      <c r="AH559">
        <v>0.97613661232825799</v>
      </c>
      <c r="AI559" s="1">
        <v>16.2226790338533</v>
      </c>
      <c r="AJ559" s="1">
        <v>6.8613555431365896</v>
      </c>
      <c r="AK559" s="1">
        <v>4.3237545490264804</v>
      </c>
      <c r="AL559" s="7"/>
      <c r="AM559" s="1"/>
      <c r="AN559" s="1"/>
      <c r="AO559" s="8"/>
      <c r="AP559" s="1"/>
      <c r="AQ559" s="1"/>
      <c r="AR559" s="1"/>
      <c r="AS559" s="8"/>
      <c r="AT559" s="7">
        <v>0.16</v>
      </c>
      <c r="AU559">
        <v>0.36273193359375</v>
      </c>
      <c r="AV559">
        <v>27.819512061936798</v>
      </c>
      <c r="AW559">
        <v>0.97927798690034096</v>
      </c>
      <c r="AX559">
        <v>16.835680560887301</v>
      </c>
      <c r="AY559">
        <v>31.865076029528701</v>
      </c>
      <c r="AZ559">
        <v>0.98246122234521005</v>
      </c>
      <c r="BA559" s="1">
        <v>17.560006775764901</v>
      </c>
      <c r="BB559" s="1">
        <v>5.9104797840118399</v>
      </c>
      <c r="BC559" s="1">
        <v>3.8591899871826101</v>
      </c>
      <c r="BD559" s="7"/>
      <c r="BE559" s="1"/>
      <c r="BF559" s="1"/>
      <c r="BG559" s="8"/>
      <c r="BH559" s="1"/>
      <c r="BI559" s="1"/>
      <c r="BJ559" s="1"/>
      <c r="BK559" s="8"/>
    </row>
    <row r="560" spans="1:63">
      <c r="A560" s="49"/>
      <c r="B560" s="7" t="s">
        <v>18</v>
      </c>
      <c r="C560" s="17">
        <v>0.12</v>
      </c>
      <c r="D560" s="7">
        <v>45</v>
      </c>
      <c r="E560">
        <v>0.10013834635416601</v>
      </c>
      <c r="F560">
        <v>25.968558485218601</v>
      </c>
      <c r="G560">
        <v>0.86582378401292803</v>
      </c>
      <c r="H560">
        <v>8.7232446018042999</v>
      </c>
      <c r="I560">
        <v>29.4969592138401</v>
      </c>
      <c r="J560">
        <v>0.87601336678386998</v>
      </c>
      <c r="K560" s="8">
        <v>9.0662513284892992</v>
      </c>
      <c r="L560" s="7">
        <v>43</v>
      </c>
      <c r="M560">
        <v>0.104573567708333</v>
      </c>
      <c r="N560">
        <v>26.643834348909799</v>
      </c>
      <c r="O560">
        <v>0.88317593730752997</v>
      </c>
      <c r="P560">
        <v>9.3246769473867097</v>
      </c>
      <c r="Q560">
        <v>30.409256571127699</v>
      </c>
      <c r="R560">
        <v>0.88961555491909905</v>
      </c>
      <c r="S560" s="1">
        <v>9.5709212127603909</v>
      </c>
      <c r="T560" s="7"/>
      <c r="U560" s="1"/>
      <c r="V560" s="1"/>
      <c r="W560" s="8"/>
      <c r="X560" s="7"/>
      <c r="Y560" s="1"/>
      <c r="Z560" s="1"/>
      <c r="AA560" s="8"/>
      <c r="AB560" s="7">
        <v>8</v>
      </c>
      <c r="AC560">
        <v>0.31414794921875</v>
      </c>
      <c r="AD560">
        <v>30.123202366812301</v>
      </c>
      <c r="AE560">
        <v>0.95451141691432795</v>
      </c>
      <c r="AF560">
        <v>13.4209759070703</v>
      </c>
      <c r="AG560">
        <v>33.891911881551302</v>
      </c>
      <c r="AH560">
        <v>0.95906432455053103</v>
      </c>
      <c r="AI560" s="1">
        <v>13.878980392415199</v>
      </c>
      <c r="AJ560" s="1">
        <v>6.3203940391540501</v>
      </c>
      <c r="AK560" s="1">
        <v>4.0131874084472603</v>
      </c>
      <c r="AL560" s="7"/>
      <c r="AM560" s="1"/>
      <c r="AN560" s="1"/>
      <c r="AO560" s="8"/>
      <c r="AP560" s="1"/>
      <c r="AQ560" s="1"/>
      <c r="AR560" s="1"/>
      <c r="AS560" s="8"/>
      <c r="AT560" s="7">
        <v>0.08</v>
      </c>
      <c r="AU560">
        <v>0.24298095703125</v>
      </c>
      <c r="AV560">
        <v>26.6497155214191</v>
      </c>
      <c r="AW560">
        <v>0.96659262399461399</v>
      </c>
      <c r="AX560">
        <v>14.7615763484181</v>
      </c>
      <c r="AY560">
        <v>30.555618587825901</v>
      </c>
      <c r="AZ560">
        <v>0.97099722948119704</v>
      </c>
      <c r="BA560" s="1">
        <v>15.375605137025399</v>
      </c>
      <c r="BB560" s="1">
        <v>6.2445342540740896</v>
      </c>
      <c r="BC560" s="1">
        <v>3.8346700668334899</v>
      </c>
      <c r="BD560" s="7"/>
      <c r="BE560" s="1"/>
      <c r="BF560" s="1"/>
      <c r="BG560" s="8"/>
      <c r="BH560" s="1"/>
      <c r="BI560" s="1"/>
      <c r="BJ560" s="1"/>
      <c r="BK560" s="8"/>
    </row>
    <row r="561" spans="1:63">
      <c r="A561" s="49"/>
      <c r="B561" s="7" t="s">
        <v>18</v>
      </c>
      <c r="C561" s="17">
        <v>0.06</v>
      </c>
      <c r="D561" s="7">
        <v>48</v>
      </c>
      <c r="E561">
        <v>5.2876790364583301E-2</v>
      </c>
      <c r="F561">
        <v>24.5569472344384</v>
      </c>
      <c r="G561">
        <v>0.81082063650838598</v>
      </c>
      <c r="H561">
        <v>7.2312624008287703</v>
      </c>
      <c r="I561">
        <v>28.122376388022001</v>
      </c>
      <c r="J561">
        <v>0.82125587655890397</v>
      </c>
      <c r="K561" s="8">
        <v>7.4776822756356802</v>
      </c>
      <c r="L561" s="7">
        <v>46</v>
      </c>
      <c r="M561">
        <v>5.7230631510416602E-2</v>
      </c>
      <c r="N561">
        <v>25.198831537216101</v>
      </c>
      <c r="O561">
        <v>0.83641088020732102</v>
      </c>
      <c r="P561">
        <v>7.86245584351333</v>
      </c>
      <c r="Q561">
        <v>29.0191186352423</v>
      </c>
      <c r="R561">
        <v>0.84262151959034104</v>
      </c>
      <c r="S561" s="1">
        <v>8.0305465239800693</v>
      </c>
      <c r="T561" s="7"/>
      <c r="U561" s="1"/>
      <c r="V561" s="1"/>
      <c r="W561" s="8"/>
      <c r="X561" s="7"/>
      <c r="Y561" s="1"/>
      <c r="Z561" s="1"/>
      <c r="AA561" s="8"/>
      <c r="AB561" s="7">
        <v>4</v>
      </c>
      <c r="AC561">
        <v>0.19557698567708301</v>
      </c>
      <c r="AD561">
        <v>28.3014164498924</v>
      </c>
      <c r="AE561">
        <v>0.92829322477971399</v>
      </c>
      <c r="AF561">
        <v>11.444398080452901</v>
      </c>
      <c r="AG561">
        <v>32.182292641868202</v>
      </c>
      <c r="AH561">
        <v>0.93337128992562701</v>
      </c>
      <c r="AI561" s="1">
        <v>11.763385945512301</v>
      </c>
      <c r="AJ561" s="1">
        <v>6.7826037406921298</v>
      </c>
      <c r="AK561" s="1">
        <v>4.4783568382263104</v>
      </c>
      <c r="AL561" s="7"/>
      <c r="AM561" s="1"/>
      <c r="AN561" s="1"/>
      <c r="AO561" s="8"/>
      <c r="AP561" s="1"/>
      <c r="AQ561" s="1"/>
      <c r="AR561" s="1"/>
      <c r="AS561" s="8"/>
      <c r="AT561" s="7">
        <v>0.04</v>
      </c>
      <c r="AU561">
        <v>0.16103108723958301</v>
      </c>
      <c r="AV561">
        <v>25.686798215075399</v>
      </c>
      <c r="AW561">
        <v>0.94812209339329701</v>
      </c>
      <c r="AX561">
        <v>12.8501755701934</v>
      </c>
      <c r="AY561">
        <v>29.304583174925298</v>
      </c>
      <c r="AZ561">
        <v>0.95456994214803204</v>
      </c>
      <c r="BA561" s="1">
        <v>13.426567101417</v>
      </c>
      <c r="BB561" s="1">
        <v>6.7872414588928196</v>
      </c>
      <c r="BC561" s="1">
        <v>4.5977132320403999</v>
      </c>
      <c r="BD561" s="7"/>
      <c r="BE561" s="1"/>
      <c r="BF561" s="1"/>
      <c r="BG561" s="8"/>
      <c r="BH561" s="1"/>
      <c r="BI561" s="1"/>
      <c r="BJ561" s="1"/>
      <c r="BK561" s="8"/>
    </row>
    <row r="562" spans="1:63">
      <c r="A562" s="49"/>
      <c r="B562" s="7" t="s">
        <v>115</v>
      </c>
      <c r="C562" s="17">
        <v>1.5</v>
      </c>
      <c r="D562" s="7">
        <v>20</v>
      </c>
      <c r="E562">
        <v>1.4455362955729101</v>
      </c>
      <c r="F562">
        <v>43.394107534559502</v>
      </c>
      <c r="G562">
        <v>0.99689084190063904</v>
      </c>
      <c r="H562">
        <v>25.073571937064699</v>
      </c>
      <c r="I562">
        <v>46.736574537634603</v>
      </c>
      <c r="J562">
        <v>0.99822696948123801</v>
      </c>
      <c r="K562" s="8">
        <v>27.512837889249901</v>
      </c>
      <c r="L562" s="7">
        <v>18</v>
      </c>
      <c r="M562">
        <v>1.3692423502604101</v>
      </c>
      <c r="N562">
        <v>43.7719683793485</v>
      </c>
      <c r="O562">
        <v>0.99715306950919402</v>
      </c>
      <c r="P562">
        <v>25.456231362348198</v>
      </c>
      <c r="Q562">
        <v>47.115635412072898</v>
      </c>
      <c r="R562">
        <v>0.99839610816570201</v>
      </c>
      <c r="S562" s="1">
        <v>27.948249236775901</v>
      </c>
      <c r="T562" s="13">
        <f>bdrate(E562:E565,F562:F565,M562:M565,N562:N565)</f>
        <v>-0.21880675324008669</v>
      </c>
      <c r="U562" s="12">
        <f>bdrate(E562:E565,H562:H565,M562:M565,P562:P565)</f>
        <v>-0.20910240673346991</v>
      </c>
      <c r="V562" s="12">
        <f>bdrate(E562:E565,I562:I565,M562:M565,Q562:Q565)</f>
        <v>-0.22062443347194405</v>
      </c>
      <c r="W562" s="14">
        <f>bdrate(E562:E565,K562:K565,M562:M565,S562:S565)</f>
        <v>-0.18926689166331712</v>
      </c>
      <c r="X562" s="13">
        <f>bdrate(E564:E567,F564:F567,M564:M567,N564:N567)</f>
        <v>-0.23993276357244686</v>
      </c>
      <c r="Y562" s="12">
        <f>bdrate(E564:E567,H564:H567,M564:M567,P564:P567)</f>
        <v>-0.21439250243400299</v>
      </c>
      <c r="Z562" s="12">
        <f>bdrate(E564:E567,I564:I567,M564:M567,Q564:Q567)</f>
        <v>-0.25195548760516273</v>
      </c>
      <c r="AA562" s="14">
        <f>bdrate(E564:E567,K564:K567,M564:M567,S564:S567)</f>
        <v>-0.18933658531509423</v>
      </c>
      <c r="AB562" s="7"/>
      <c r="AI562" s="1"/>
      <c r="AJ562" s="1"/>
      <c r="AK562" s="1"/>
      <c r="AL562" s="13" t="e">
        <f>bdrate(E562:E565,F562:F565,AC562:AC565,AD562:AD565)</f>
        <v>#VALUE!</v>
      </c>
      <c r="AM562" s="12" t="e">
        <f>bdrate(E562:E565,H562:H565,AC562:AC565,AF562:AF565)</f>
        <v>#VALUE!</v>
      </c>
      <c r="AN562" s="12" t="e">
        <f>bdrate(E562:E565,I562:I565,AC562:AC565,AG562:AG565)</f>
        <v>#VALUE!</v>
      </c>
      <c r="AO562" s="14" t="e">
        <f>bdrate(E562:E565,K562:K565,AC562:AC565,AI562:AI565)</f>
        <v>#VALUE!</v>
      </c>
      <c r="AP562" s="12">
        <f>bdrate(E564:E567,F564:F567,AC564:AC567,AD564:AD567)</f>
        <v>-0.18720304306908486</v>
      </c>
      <c r="AQ562" s="12">
        <f>bdrate(E564:E567,H564:H567,AC564:AC567,AF564:AF567)</f>
        <v>-0.23408310597876048</v>
      </c>
      <c r="AR562" s="12">
        <f>bdrate(E564:E567,I564:I567,AC564:AC567,AG564:AG567)</f>
        <v>-0.1991834455762741</v>
      </c>
      <c r="AS562" s="14">
        <f>bdrate(E564:E567,K564:K567,AC564:AC567,AI564:AI567)</f>
        <v>-0.17110883781693942</v>
      </c>
      <c r="AT562" s="7"/>
      <c r="BA562" s="1"/>
      <c r="BB562" s="1"/>
      <c r="BC562" s="1"/>
      <c r="BD562" s="13" t="e">
        <f>bdrate(E562:E565,F562:F565,AU562:AU565,AV562:AV565)</f>
        <v>#VALUE!</v>
      </c>
      <c r="BE562" s="12" t="e">
        <f>bdrate(E562:E565,H562:H565,AU562:AU565,AX562:AX565)</f>
        <v>#VALUE!</v>
      </c>
      <c r="BF562" s="12" t="e">
        <f>bdrate(E562:E565,I562:I565,AU562:AU565,AY562:AY565)</f>
        <v>#VALUE!</v>
      </c>
      <c r="BG562" s="14" t="e">
        <f>bdrate(E562:E565,K562:K565,AU562:AU565,BA562:BA565)</f>
        <v>#VALUE!</v>
      </c>
      <c r="BH562" s="12">
        <f>bdrate(E564:E567,F564:F567,AU564:AU567,AV564:AV567)</f>
        <v>0.15370754899820205</v>
      </c>
      <c r="BI562" s="12">
        <f>bdrate(E564:E567,H564:H567,AU564:AU567,AX564:AX567)</f>
        <v>-0.41531912715615593</v>
      </c>
      <c r="BJ562" s="12">
        <f>bdrate(E564:E567,I564:I567,AU564:AU567,AY564:AY567)</f>
        <v>0.17725603689655123</v>
      </c>
      <c r="BK562" s="14">
        <f>bdrate(E564:E567,K564:K567,AU564:AU567,BA564:BA567)</f>
        <v>-0.37569197143334465</v>
      </c>
    </row>
    <row r="563" spans="1:63">
      <c r="A563" s="49"/>
      <c r="B563" s="7" t="s">
        <v>18</v>
      </c>
      <c r="C563" s="17">
        <v>1</v>
      </c>
      <c r="D563" s="7">
        <v>24</v>
      </c>
      <c r="E563">
        <v>0.99869791666666596</v>
      </c>
      <c r="F563">
        <v>41.397607486534802</v>
      </c>
      <c r="G563">
        <v>0.99559928779496298</v>
      </c>
      <c r="H563">
        <v>23.564770322213199</v>
      </c>
      <c r="I563">
        <v>44.615095499071003</v>
      </c>
      <c r="J563">
        <v>0.99726332628692205</v>
      </c>
      <c r="K563" s="8">
        <v>25.627769793737102</v>
      </c>
      <c r="L563" s="7">
        <v>22</v>
      </c>
      <c r="M563">
        <v>0.92604573567708304</v>
      </c>
      <c r="N563">
        <v>42.056163690567701</v>
      </c>
      <c r="O563">
        <v>0.99604590947105498</v>
      </c>
      <c r="P563">
        <v>24.0295339173176</v>
      </c>
      <c r="Q563">
        <v>45.3091469668638</v>
      </c>
      <c r="R563">
        <v>0.99758031975027495</v>
      </c>
      <c r="S563" s="1">
        <v>26.162420203646199</v>
      </c>
      <c r="T563" s="7"/>
      <c r="U563" s="1"/>
      <c r="V563" s="1"/>
      <c r="W563" s="8"/>
      <c r="X563" s="7"/>
      <c r="Y563" s="1"/>
      <c r="Z563" s="1"/>
      <c r="AA563" s="8"/>
      <c r="AB563" s="7">
        <v>64</v>
      </c>
      <c r="AC563">
        <v>0.56280517578125</v>
      </c>
      <c r="AD563">
        <v>39.032422085894403</v>
      </c>
      <c r="AE563">
        <v>0.99386360012278396</v>
      </c>
      <c r="AF563">
        <v>22.120863474278</v>
      </c>
      <c r="AG563">
        <v>42.1650174886352</v>
      </c>
      <c r="AH563">
        <v>0.99586871613900796</v>
      </c>
      <c r="AI563" s="1">
        <v>23.8391496357413</v>
      </c>
      <c r="AJ563" s="1">
        <v>7.6053071022033603</v>
      </c>
      <c r="AK563" s="1">
        <v>4.3014142513275102</v>
      </c>
      <c r="AL563" s="7"/>
      <c r="AM563" s="1"/>
      <c r="AN563" s="1"/>
      <c r="AO563" s="8"/>
      <c r="AP563" s="1"/>
      <c r="AQ563" s="1"/>
      <c r="AR563" s="1"/>
      <c r="AS563" s="8"/>
      <c r="AT563" s="7">
        <v>0.64</v>
      </c>
      <c r="AU563">
        <v>0.42012532552083298</v>
      </c>
      <c r="AV563">
        <v>34.257848613585999</v>
      </c>
      <c r="AW563">
        <v>0.99420391453125201</v>
      </c>
      <c r="AX563">
        <v>22.368652190718699</v>
      </c>
      <c r="AY563">
        <v>37.392870935919397</v>
      </c>
      <c r="AZ563">
        <v>0.99577522628003501</v>
      </c>
      <c r="BA563" s="1">
        <v>23.7419654702258</v>
      </c>
      <c r="BB563" s="1">
        <v>6.7816879749298096</v>
      </c>
      <c r="BC563" s="1">
        <v>3.96951699256896</v>
      </c>
      <c r="BD563" s="7"/>
      <c r="BE563" s="1"/>
      <c r="BF563" s="1"/>
      <c r="BG563" s="8"/>
      <c r="BH563" s="1"/>
      <c r="BI563" s="1"/>
      <c r="BJ563" s="1"/>
      <c r="BK563" s="8"/>
    </row>
    <row r="564" spans="1:63">
      <c r="A564" s="49"/>
      <c r="B564" s="7" t="s">
        <v>18</v>
      </c>
      <c r="C564" s="17">
        <v>0.5</v>
      </c>
      <c r="D564" s="7">
        <v>32</v>
      </c>
      <c r="E564">
        <v>0.45281982421875</v>
      </c>
      <c r="F564">
        <v>36.501504442201401</v>
      </c>
      <c r="G564">
        <v>0.98925902681476696</v>
      </c>
      <c r="H564">
        <v>19.689563676282098</v>
      </c>
      <c r="I564">
        <v>39.573127506248198</v>
      </c>
      <c r="J564">
        <v>0.99245076783500996</v>
      </c>
      <c r="K564" s="8">
        <v>21.220972183662699</v>
      </c>
      <c r="L564" s="7">
        <v>29</v>
      </c>
      <c r="M564">
        <v>0.47454833984375</v>
      </c>
      <c r="N564">
        <v>38.416625103230302</v>
      </c>
      <c r="O564">
        <v>0.99235282384256196</v>
      </c>
      <c r="P564">
        <v>21.1649890545355</v>
      </c>
      <c r="Q564">
        <v>41.5476442266378</v>
      </c>
      <c r="R564">
        <v>0.99464044947696495</v>
      </c>
      <c r="S564" s="1">
        <v>22.708716307458499</v>
      </c>
      <c r="T564" s="7"/>
      <c r="U564" s="1"/>
      <c r="V564" s="1"/>
      <c r="W564" s="8"/>
      <c r="X564" s="7"/>
      <c r="Y564" s="1"/>
      <c r="Z564" s="1"/>
      <c r="AA564" s="8"/>
      <c r="AB564" s="7">
        <v>32</v>
      </c>
      <c r="AC564">
        <v>0.41994222005208298</v>
      </c>
      <c r="AD564">
        <v>37.318203464022098</v>
      </c>
      <c r="AE564">
        <v>0.99170552880385998</v>
      </c>
      <c r="AF564">
        <v>20.812112966702699</v>
      </c>
      <c r="AG564">
        <v>40.416383457314197</v>
      </c>
      <c r="AH564">
        <v>0.99399145841979197</v>
      </c>
      <c r="AI564" s="1">
        <v>22.212309290838899</v>
      </c>
      <c r="AJ564" s="1">
        <v>12.167208671569799</v>
      </c>
      <c r="AK564" s="1">
        <v>8.6887121200561506</v>
      </c>
      <c r="AL564" s="7"/>
      <c r="AM564" s="1"/>
      <c r="AN564" s="1"/>
      <c r="AO564" s="8"/>
      <c r="AP564" s="1"/>
      <c r="AQ564" s="1"/>
      <c r="AR564" s="1"/>
      <c r="AS564" s="8"/>
      <c r="AT564" s="7">
        <v>0.32</v>
      </c>
      <c r="AU564">
        <v>0.31390380859375</v>
      </c>
      <c r="AV564">
        <v>33.249543118815197</v>
      </c>
      <c r="AW564">
        <v>0.99181578028577499</v>
      </c>
      <c r="AX564">
        <v>20.870227200345902</v>
      </c>
      <c r="AY564">
        <v>36.326498681190799</v>
      </c>
      <c r="AZ564">
        <v>0.99378392068525701</v>
      </c>
      <c r="BA564" s="1">
        <v>22.064834527439199</v>
      </c>
      <c r="BB564" s="1">
        <v>6.4741346836089999</v>
      </c>
      <c r="BC564" s="1">
        <v>4.2824771404266304</v>
      </c>
      <c r="BD564" s="7"/>
      <c r="BE564" s="1"/>
      <c r="BF564" s="1"/>
      <c r="BG564" s="8"/>
      <c r="BH564" s="1"/>
      <c r="BI564" s="1"/>
      <c r="BJ564" s="1"/>
      <c r="BK564" s="8"/>
    </row>
    <row r="565" spans="1:63">
      <c r="A565" s="49"/>
      <c r="B565" s="7" t="s">
        <v>18</v>
      </c>
      <c r="C565" s="17">
        <v>0.25</v>
      </c>
      <c r="D565" s="7">
        <v>38</v>
      </c>
      <c r="E565">
        <v>0.22660319010416599</v>
      </c>
      <c r="F565">
        <v>32.515145116676699</v>
      </c>
      <c r="G565">
        <v>0.97683238130899397</v>
      </c>
      <c r="H565">
        <v>16.351186033487402</v>
      </c>
      <c r="I565">
        <v>35.565377327164299</v>
      </c>
      <c r="J565">
        <v>0.98237992048606604</v>
      </c>
      <c r="K565" s="8">
        <v>17.5399213608375</v>
      </c>
      <c r="L565" s="7">
        <v>36</v>
      </c>
      <c r="M565">
        <v>0.22444661458333301</v>
      </c>
      <c r="N565">
        <v>34.101010555653197</v>
      </c>
      <c r="O565">
        <v>0.98257738589819199</v>
      </c>
      <c r="P565">
        <v>17.588866825765798</v>
      </c>
      <c r="Q565">
        <v>37.212433828261098</v>
      </c>
      <c r="R565">
        <v>0.98659699562912295</v>
      </c>
      <c r="S565" s="1">
        <v>18.7279784078112</v>
      </c>
      <c r="T565" s="7"/>
      <c r="U565" s="1"/>
      <c r="V565" s="1"/>
      <c r="W565" s="8"/>
      <c r="X565" s="7"/>
      <c r="Y565" s="1"/>
      <c r="Z565" s="1"/>
      <c r="AA565" s="8"/>
      <c r="AB565" s="7">
        <v>16</v>
      </c>
      <c r="AC565">
        <v>0.30133056640625</v>
      </c>
      <c r="AD565">
        <v>35.312979086444201</v>
      </c>
      <c r="AE565">
        <v>0.98762840266501395</v>
      </c>
      <c r="AF565">
        <v>19.075742236542801</v>
      </c>
      <c r="AG565">
        <v>38.408832504669498</v>
      </c>
      <c r="AH565">
        <v>0.99041972481928597</v>
      </c>
      <c r="AI565" s="1">
        <v>20.186220162086101</v>
      </c>
      <c r="AJ565" s="1">
        <v>6.4025063514709402</v>
      </c>
      <c r="AK565" s="1">
        <v>4.2972443103790203</v>
      </c>
      <c r="AL565" s="7"/>
      <c r="AM565" s="1"/>
      <c r="AN565" s="1"/>
      <c r="AO565" s="8"/>
      <c r="AP565" s="1"/>
      <c r="AQ565" s="1"/>
      <c r="AR565" s="1"/>
      <c r="AS565" s="8"/>
      <c r="AT565" s="7">
        <v>0.16</v>
      </c>
      <c r="AU565">
        <v>0.22788492838541599</v>
      </c>
      <c r="AV565">
        <v>31.868932047406599</v>
      </c>
      <c r="AW565">
        <v>0.98771474227283196</v>
      </c>
      <c r="AX565">
        <v>19.1061572821013</v>
      </c>
      <c r="AY565">
        <v>34.885064590958898</v>
      </c>
      <c r="AZ565">
        <v>0.99036443015597098</v>
      </c>
      <c r="BA565" s="1">
        <v>20.161225962343401</v>
      </c>
      <c r="BB565" s="1">
        <v>6.2324712276458696</v>
      </c>
      <c r="BC565" s="1">
        <v>3.5811185836791899</v>
      </c>
      <c r="BD565" s="7"/>
      <c r="BE565" s="1"/>
      <c r="BF565" s="1"/>
      <c r="BG565" s="8"/>
      <c r="BH565" s="1"/>
      <c r="BI565" s="1"/>
      <c r="BJ565" s="1"/>
      <c r="BK565" s="8"/>
    </row>
    <row r="566" spans="1:63">
      <c r="A566" s="49"/>
      <c r="B566" s="7" t="s">
        <v>18</v>
      </c>
      <c r="C566" s="17">
        <v>0.12</v>
      </c>
      <c r="D566" s="7">
        <v>43</v>
      </c>
      <c r="E566">
        <v>0.1187744140625</v>
      </c>
      <c r="F566">
        <v>29.410153163784202</v>
      </c>
      <c r="G566">
        <v>0.95359049518559702</v>
      </c>
      <c r="H566">
        <v>13.3339306544263</v>
      </c>
      <c r="I566">
        <v>32.471790730149998</v>
      </c>
      <c r="J566">
        <v>0.96235102861549704</v>
      </c>
      <c r="K566" s="8">
        <v>14.2424688475244</v>
      </c>
      <c r="L566" s="7">
        <v>42</v>
      </c>
      <c r="M566">
        <v>0.1092529296875</v>
      </c>
      <c r="N566">
        <v>30.202570211569</v>
      </c>
      <c r="O566">
        <v>0.95990308210814101</v>
      </c>
      <c r="P566">
        <v>13.968890087763601</v>
      </c>
      <c r="Q566">
        <v>33.356448457829799</v>
      </c>
      <c r="R566">
        <v>0.96648953857684095</v>
      </c>
      <c r="S566" s="1">
        <v>14.7481959209453</v>
      </c>
      <c r="T566" s="7"/>
      <c r="U566" s="1"/>
      <c r="V566" s="1"/>
      <c r="W566" s="8"/>
      <c r="X566" s="7"/>
      <c r="Y566" s="1"/>
      <c r="Z566" s="1"/>
      <c r="AA566" s="8"/>
      <c r="AB566" s="7">
        <v>8</v>
      </c>
      <c r="AC566">
        <v>0.21795654296875</v>
      </c>
      <c r="AD566">
        <v>33.401744603568702</v>
      </c>
      <c r="AE566">
        <v>0.98203528332519696</v>
      </c>
      <c r="AF566">
        <v>17.455796277518399</v>
      </c>
      <c r="AG566">
        <v>36.555526878194897</v>
      </c>
      <c r="AH566">
        <v>0.98513588894042203</v>
      </c>
      <c r="AI566" s="1">
        <v>18.278610584378001</v>
      </c>
      <c r="AJ566" s="1">
        <v>6.61891770362854</v>
      </c>
      <c r="AK566" s="1">
        <v>5.1884529590606601</v>
      </c>
      <c r="AL566" s="7"/>
      <c r="AM566" s="1"/>
      <c r="AN566" s="1"/>
      <c r="AO566" s="8"/>
      <c r="AP566" s="1"/>
      <c r="AQ566" s="1"/>
      <c r="AR566" s="1"/>
      <c r="AS566" s="8"/>
      <c r="AT566" s="7">
        <v>0.08</v>
      </c>
      <c r="AU566">
        <v>0.16477457682291599</v>
      </c>
      <c r="AV566">
        <v>30.2527547218472</v>
      </c>
      <c r="AW566">
        <v>0.98163943176138202</v>
      </c>
      <c r="AX566">
        <v>17.361138820085699</v>
      </c>
      <c r="AY566">
        <v>33.183784835390497</v>
      </c>
      <c r="AZ566">
        <v>0.98518946765406101</v>
      </c>
      <c r="BA566" s="1">
        <v>18.294293310298499</v>
      </c>
      <c r="BB566" s="1">
        <v>5.8999872207641602</v>
      </c>
      <c r="BC566" s="1">
        <v>3.93017101287841</v>
      </c>
      <c r="BD566" s="7"/>
      <c r="BE566" s="1"/>
      <c r="BF566" s="1"/>
      <c r="BG566" s="8"/>
      <c r="BH566" s="1"/>
      <c r="BI566" s="1"/>
      <c r="BJ566" s="1"/>
      <c r="BK566" s="8"/>
    </row>
    <row r="567" spans="1:63">
      <c r="A567" s="49"/>
      <c r="B567" s="7" t="s">
        <v>18</v>
      </c>
      <c r="C567" s="17">
        <v>0.06</v>
      </c>
      <c r="D567" s="7">
        <v>48</v>
      </c>
      <c r="E567">
        <v>5.8329264322916602E-2</v>
      </c>
      <c r="F567">
        <v>26.5046497558113</v>
      </c>
      <c r="G567">
        <v>0.90618666942937798</v>
      </c>
      <c r="H567">
        <v>10.2773544539582</v>
      </c>
      <c r="I567">
        <v>29.621927415912499</v>
      </c>
      <c r="J567">
        <v>0.91895989306707404</v>
      </c>
      <c r="K567" s="8">
        <v>10.912999945931199</v>
      </c>
      <c r="L567" s="7">
        <v>47</v>
      </c>
      <c r="M567">
        <v>5.5379231770833301E-2</v>
      </c>
      <c r="N567">
        <v>27.201089708632399</v>
      </c>
      <c r="O567">
        <v>0.91943843341050102</v>
      </c>
      <c r="P567">
        <v>10.9387209713964</v>
      </c>
      <c r="Q567">
        <v>30.381585189821202</v>
      </c>
      <c r="R567">
        <v>0.930229950021219</v>
      </c>
      <c r="S567" s="1">
        <v>11.563309659200799</v>
      </c>
      <c r="T567" s="7"/>
      <c r="U567" s="1"/>
      <c r="V567" s="1"/>
      <c r="W567" s="8"/>
      <c r="X567" s="7"/>
      <c r="Y567" s="1"/>
      <c r="Z567" s="1"/>
      <c r="AA567" s="8"/>
      <c r="AB567" s="7">
        <v>4</v>
      </c>
      <c r="AC567">
        <v>0.15427652994791599</v>
      </c>
      <c r="AD567">
        <v>31.531682500073</v>
      </c>
      <c r="AE567">
        <v>0.97251585627135195</v>
      </c>
      <c r="AF567">
        <v>15.609177889771599</v>
      </c>
      <c r="AG567">
        <v>34.7356066994545</v>
      </c>
      <c r="AH567">
        <v>0.97627645579799405</v>
      </c>
      <c r="AI567" s="1">
        <v>16.248204286133799</v>
      </c>
      <c r="AJ567" s="1">
        <v>6.7526159286498997</v>
      </c>
      <c r="AK567" s="1">
        <v>4.5312297344207701</v>
      </c>
      <c r="AL567" s="7"/>
      <c r="AM567" s="1"/>
      <c r="AN567" s="1"/>
      <c r="AO567" s="8"/>
      <c r="AP567" s="1"/>
      <c r="AQ567" s="1"/>
      <c r="AR567" s="1"/>
      <c r="AS567" s="8"/>
      <c r="AT567" s="7">
        <v>0.04</v>
      </c>
      <c r="AU567">
        <v>0.11692301432291601</v>
      </c>
      <c r="AV567">
        <v>28.719877335775401</v>
      </c>
      <c r="AW567">
        <v>0.97224680809518904</v>
      </c>
      <c r="AX567">
        <v>15.566870613006699</v>
      </c>
      <c r="AY567">
        <v>31.543940821352798</v>
      </c>
      <c r="AZ567">
        <v>0.977013644737457</v>
      </c>
      <c r="BA567" s="1">
        <v>16.3852988540106</v>
      </c>
      <c r="BB567" s="1">
        <v>6.5749626159667898</v>
      </c>
      <c r="BC567" s="1">
        <v>4.30922102928161</v>
      </c>
      <c r="BD567" s="7"/>
      <c r="BE567" s="1"/>
      <c r="BF567" s="1"/>
      <c r="BG567" s="8"/>
      <c r="BH567" s="1"/>
      <c r="BI567" s="1"/>
      <c r="BJ567" s="1"/>
      <c r="BK567" s="8"/>
    </row>
    <row r="568" spans="1:63">
      <c r="A568" s="49"/>
      <c r="B568" s="7" t="s">
        <v>116</v>
      </c>
      <c r="C568" s="17">
        <v>1.5</v>
      </c>
      <c r="D568" s="7">
        <v>30</v>
      </c>
      <c r="E568">
        <v>1.39361572265625</v>
      </c>
      <c r="F568">
        <v>34.5779106851816</v>
      </c>
      <c r="G568">
        <v>0.99143848235986198</v>
      </c>
      <c r="H568">
        <v>20.6744924416438</v>
      </c>
      <c r="I568">
        <v>37.6856337576369</v>
      </c>
      <c r="J568">
        <v>0.99380469707823904</v>
      </c>
      <c r="K568" s="8">
        <v>22.079374537701501</v>
      </c>
      <c r="L568" s="7">
        <v>27</v>
      </c>
      <c r="M568">
        <v>1.3651123046875</v>
      </c>
      <c r="N568">
        <v>35.872329056977698</v>
      </c>
      <c r="O568">
        <v>0.99353538152894805</v>
      </c>
      <c r="P568">
        <v>21.894571012253898</v>
      </c>
      <c r="Q568">
        <v>39.049745132118098</v>
      </c>
      <c r="R568">
        <v>0.995316923459592</v>
      </c>
      <c r="S568" s="1">
        <v>23.294687440319699</v>
      </c>
      <c r="T568" s="13">
        <f>bdrate(E568:E571,F568:F571,M568:M571,N568:N571)</f>
        <v>-0.24556711205163695</v>
      </c>
      <c r="U568" s="12">
        <f>bdrate(E568:E571,H568:H571,M568:M571,P568:P571)</f>
        <v>-0.21508338767521751</v>
      </c>
      <c r="V568" s="12">
        <f>bdrate(E568:E571,I568:I571,M568:M571,Q568:Q571)</f>
        <v>-0.26572636593975807</v>
      </c>
      <c r="W568" s="14">
        <f>bdrate(E568:E571,K568:K571,M568:M571,S568:S571)</f>
        <v>-0.17850833480754136</v>
      </c>
      <c r="X568" s="13">
        <f>bdrate(E570:E573,F570:F573,M570:M573,N570:N573)</f>
        <v>-0.29069790363418535</v>
      </c>
      <c r="Y568" s="12">
        <f>bdrate(E570:E573,H570:H573,M570:M573,P570:P573)</f>
        <v>-0.25363609346709415</v>
      </c>
      <c r="Z568" s="12">
        <f>bdrate(E570:E573,I570:I573,M570:M573,Q570:Q573)</f>
        <v>-0.33234222389946178</v>
      </c>
      <c r="AA568" s="14">
        <f>bdrate(E570:E573,K570:K573,M570:M573,S570:S573)</f>
        <v>-0.21333618898325057</v>
      </c>
      <c r="AB568" s="7"/>
      <c r="AI568" s="1"/>
      <c r="AJ568" s="1"/>
      <c r="AK568" s="1"/>
      <c r="AL568" s="13" t="e">
        <f>bdrate(E568:E571,F568:F571,AC568:AC571,AD568:AD571)</f>
        <v>#VALUE!</v>
      </c>
      <c r="AM568" s="12" t="e">
        <f>bdrate(E568:E571,H568:H571,AC568:AC571,AF568:AF571)</f>
        <v>#VALUE!</v>
      </c>
      <c r="AN568" s="12" t="e">
        <f>bdrate(E568:E571,I568:I571,AC568:AC571,AG568:AG571)</f>
        <v>#VALUE!</v>
      </c>
      <c r="AO568" s="14" t="e">
        <f>bdrate(E568:E571,K568:K571,AC568:AC571,AI568:AI571)</f>
        <v>#VALUE!</v>
      </c>
      <c r="AP568" s="12">
        <f>bdrate(E570:E573,F570:F573,AC570:AC573,AD570:AD573)</f>
        <v>-0.13738454997648697</v>
      </c>
      <c r="AQ568" s="12">
        <f>bdrate(E570:E573,H570:H573,AC570:AC573,AF570:AF573)</f>
        <v>0</v>
      </c>
      <c r="AR568" s="12">
        <f>bdrate(E570:E573,I570:I573,AC570:AC573,AG570:AG573)</f>
        <v>0</v>
      </c>
      <c r="AS568" s="14">
        <f>bdrate(E570:E573,K570:K573,AC570:AC573,AI570:AI573)</f>
        <v>-0.1399117593321475</v>
      </c>
      <c r="AT568" s="7"/>
      <c r="BA568" s="1"/>
      <c r="BB568" s="1"/>
      <c r="BC568" s="1"/>
      <c r="BD568" s="13" t="e">
        <f>bdrate(E568:E571,F568:F571,AU568:AU571,AV568:AV571)</f>
        <v>#VALUE!</v>
      </c>
      <c r="BE568" s="12" t="e">
        <f>bdrate(E568:E571,H568:H571,AU568:AU571,AX568:AX571)</f>
        <v>#VALUE!</v>
      </c>
      <c r="BF568" s="12" t="e">
        <f>bdrate(E568:E571,I568:I571,AU568:AU571,AY568:AY571)</f>
        <v>#VALUE!</v>
      </c>
      <c r="BG568" s="14" t="e">
        <f>bdrate(E568:E571,K568:K571,AU568:AU571,BA568:BA571)</f>
        <v>#VALUE!</v>
      </c>
      <c r="BH568" s="12">
        <f>bdrate(E570:E573,F570:F573,AU570:AU573,AV570:AV573)</f>
        <v>0.41998990047292017</v>
      </c>
      <c r="BI568" s="12">
        <f>bdrate(E570:E573,H570:H573,AU570:AU573,AX570:AX573)</f>
        <v>-0.51287837743217102</v>
      </c>
      <c r="BJ568" s="12">
        <f>bdrate(E570:E573,I570:I573,AU570:AU573,AY570:AY573)</f>
        <v>0.23044979600129922</v>
      </c>
      <c r="BK568" s="14">
        <f>bdrate(E570:E573,K570:K573,AU570:AU573,BA570:BA573)</f>
        <v>-0.49219581660230183</v>
      </c>
    </row>
    <row r="569" spans="1:63">
      <c r="A569" s="49"/>
      <c r="B569" s="7" t="s">
        <v>18</v>
      </c>
      <c r="C569" s="17">
        <v>1</v>
      </c>
      <c r="D569" s="7">
        <v>34</v>
      </c>
      <c r="E569">
        <v>0.91158040364583304</v>
      </c>
      <c r="F569">
        <v>31.695665789692999</v>
      </c>
      <c r="G569">
        <v>0.98419358539950796</v>
      </c>
      <c r="H569">
        <v>18.0116663075157</v>
      </c>
      <c r="I569">
        <v>34.810675854989803</v>
      </c>
      <c r="J569">
        <v>0.98770762457237204</v>
      </c>
      <c r="K569" s="8">
        <v>19.103641842066299</v>
      </c>
      <c r="L569" s="7">
        <v>31</v>
      </c>
      <c r="M569">
        <v>0.89591471354166596</v>
      </c>
      <c r="N569">
        <v>33.169418539091602</v>
      </c>
      <c r="O569">
        <v>0.98796533053036595</v>
      </c>
      <c r="P569">
        <v>19.195658330570399</v>
      </c>
      <c r="Q569">
        <v>36.3844587341747</v>
      </c>
      <c r="R569">
        <v>0.99031899505252896</v>
      </c>
      <c r="S569" s="1">
        <v>20.140795579304701</v>
      </c>
      <c r="T569" s="7"/>
      <c r="U569" s="1"/>
      <c r="V569" s="1"/>
      <c r="W569" s="8"/>
      <c r="X569" s="7"/>
      <c r="Y569" s="1"/>
      <c r="Z569" s="1"/>
      <c r="AA569" s="8"/>
      <c r="AB569" s="7">
        <v>64</v>
      </c>
      <c r="AC569">
        <v>1.45074462890625</v>
      </c>
      <c r="AD569">
        <v>35.208707303649902</v>
      </c>
      <c r="AE569">
        <v>0.99386911025603197</v>
      </c>
      <c r="AF569">
        <v>22.1247649402071</v>
      </c>
      <c r="AG569">
        <v>38.3584992535448</v>
      </c>
      <c r="AH569">
        <v>0.99560822519816705</v>
      </c>
      <c r="AI569" s="1">
        <v>23.573599374169699</v>
      </c>
      <c r="AJ569" s="1">
        <v>9.5264573097229004</v>
      </c>
      <c r="AK569" s="1">
        <v>4.3578073978424001</v>
      </c>
      <c r="AL569" s="7"/>
      <c r="AM569" s="1"/>
      <c r="AN569" s="1"/>
      <c r="AO569" s="8"/>
      <c r="AP569" s="1"/>
      <c r="AQ569" s="1"/>
      <c r="AR569" s="1"/>
      <c r="AS569" s="8"/>
      <c r="AT569" s="7">
        <v>0.64</v>
      </c>
      <c r="AU569">
        <v>0.68328857421875</v>
      </c>
      <c r="AV569">
        <v>27.1991217163336</v>
      </c>
      <c r="AW569">
        <v>0.99104772979283196</v>
      </c>
      <c r="AX569">
        <v>20.4806681793293</v>
      </c>
      <c r="AY569">
        <v>31.149113076427199</v>
      </c>
      <c r="AZ569">
        <v>0.99264805226974295</v>
      </c>
      <c r="BA569" s="1">
        <v>21.335975892908799</v>
      </c>
      <c r="BB569" s="1">
        <v>7.1098368167877197</v>
      </c>
      <c r="BC569" s="1">
        <v>4.2323019504547101</v>
      </c>
      <c r="BD569" s="7"/>
      <c r="BE569" s="1"/>
      <c r="BF569" s="1"/>
      <c r="BG569" s="8"/>
      <c r="BH569" s="1"/>
      <c r="BI569" s="1"/>
      <c r="BJ569" s="1"/>
      <c r="BK569" s="8"/>
    </row>
    <row r="570" spans="1:63">
      <c r="A570" s="49"/>
      <c r="B570" s="7" t="s">
        <v>18</v>
      </c>
      <c r="C570" s="17">
        <v>0.5</v>
      </c>
      <c r="D570" s="7">
        <v>40</v>
      </c>
      <c r="E570">
        <v>0.44266764322916602</v>
      </c>
      <c r="F570">
        <v>27.587989135232</v>
      </c>
      <c r="G570">
        <v>0.96313979660056404</v>
      </c>
      <c r="H570">
        <v>14.3344227261644</v>
      </c>
      <c r="I570">
        <v>30.797523813942899</v>
      </c>
      <c r="J570">
        <v>0.96943335834767197</v>
      </c>
      <c r="K570" s="8">
        <v>15.147522744562</v>
      </c>
      <c r="L570" s="7">
        <v>37</v>
      </c>
      <c r="M570">
        <v>0.44795735677083298</v>
      </c>
      <c r="N570">
        <v>29.245514755624999</v>
      </c>
      <c r="O570">
        <v>0.97222956630740198</v>
      </c>
      <c r="P570">
        <v>15.5641733779273</v>
      </c>
      <c r="Q570">
        <v>32.576171183708297</v>
      </c>
      <c r="R570">
        <v>0.97609211948767605</v>
      </c>
      <c r="S570" s="1">
        <v>16.2145892336572</v>
      </c>
      <c r="T570" s="7"/>
      <c r="U570" s="1"/>
      <c r="V570" s="1"/>
      <c r="W570" s="8"/>
      <c r="X570" s="7"/>
      <c r="Y570" s="1"/>
      <c r="Z570" s="1"/>
      <c r="AA570" s="8"/>
      <c r="AB570" s="7">
        <v>32</v>
      </c>
      <c r="AC570">
        <v>1.0770060221354101</v>
      </c>
      <c r="AD570">
        <v>33.340677701429399</v>
      </c>
      <c r="AE570">
        <v>0.99013129168585001</v>
      </c>
      <c r="AF570">
        <v>20.057396871224299</v>
      </c>
      <c r="AG570">
        <v>36.5855192685937</v>
      </c>
      <c r="AH570">
        <v>0.99211716810251305</v>
      </c>
      <c r="AI570" s="1">
        <v>21.033177347300601</v>
      </c>
      <c r="AJ570" s="1">
        <v>14.588516712188699</v>
      </c>
      <c r="AK570" s="1">
        <v>7.66668272018432</v>
      </c>
      <c r="AL570" s="7"/>
      <c r="AM570" s="1"/>
      <c r="AN570" s="1"/>
      <c r="AO570" s="8"/>
      <c r="AP570" s="1"/>
      <c r="AQ570" s="1"/>
      <c r="AR570" s="1"/>
      <c r="AS570" s="8"/>
      <c r="AT570" s="7">
        <v>0.32</v>
      </c>
      <c r="AU570">
        <v>0.52219645182291596</v>
      </c>
      <c r="AV570">
        <v>26.3222550993687</v>
      </c>
      <c r="AW570">
        <v>0.98757998113311796</v>
      </c>
      <c r="AX570">
        <v>19.058777444351101</v>
      </c>
      <c r="AY570">
        <v>30.276114800404599</v>
      </c>
      <c r="AZ570">
        <v>0.98958295258425699</v>
      </c>
      <c r="BA570" s="1">
        <v>19.8225535903631</v>
      </c>
      <c r="BB570" s="1">
        <v>6.5677840709686199</v>
      </c>
      <c r="BC570" s="1">
        <v>3.7367033958435001</v>
      </c>
      <c r="BD570" s="7"/>
      <c r="BE570" s="1"/>
      <c r="BF570" s="1"/>
      <c r="BG570" s="8"/>
      <c r="BH570" s="1"/>
      <c r="BI570" s="1"/>
      <c r="BJ570" s="1"/>
      <c r="BK570" s="8"/>
    </row>
    <row r="571" spans="1:63">
      <c r="A571" s="49"/>
      <c r="B571" s="7" t="s">
        <v>18</v>
      </c>
      <c r="C571" s="17">
        <v>0.25</v>
      </c>
      <c r="D571" s="7">
        <v>45</v>
      </c>
      <c r="E571">
        <v>0.22060139973958301</v>
      </c>
      <c r="F571">
        <v>24.363761209287802</v>
      </c>
      <c r="G571">
        <v>0.92943770076050303</v>
      </c>
      <c r="H571">
        <v>11.514272763632301</v>
      </c>
      <c r="I571">
        <v>27.6539313449159</v>
      </c>
      <c r="J571">
        <v>0.93942128957775395</v>
      </c>
      <c r="K571" s="8">
        <v>12.176799760091599</v>
      </c>
      <c r="L571" s="7">
        <v>42</v>
      </c>
      <c r="M571">
        <v>0.23744710286458301</v>
      </c>
      <c r="N571">
        <v>26.194802945375599</v>
      </c>
      <c r="O571">
        <v>0.94983999568653399</v>
      </c>
      <c r="P571">
        <v>12.996424348305601</v>
      </c>
      <c r="Q571">
        <v>29.6471802387073</v>
      </c>
      <c r="R571">
        <v>0.95544593798494803</v>
      </c>
      <c r="S571" s="1">
        <v>13.5111269498731</v>
      </c>
      <c r="T571" s="7"/>
      <c r="U571" s="1"/>
      <c r="V571" s="1"/>
      <c r="W571" s="8"/>
      <c r="X571" s="7"/>
      <c r="Y571" s="1"/>
      <c r="Z571" s="1"/>
      <c r="AA571" s="8"/>
      <c r="AB571" s="7">
        <v>16</v>
      </c>
      <c r="AC571">
        <v>0.74945068359375</v>
      </c>
      <c r="AD571">
        <v>31.194224556241299</v>
      </c>
      <c r="AE571">
        <v>0.98390283379146104</v>
      </c>
      <c r="AF571">
        <v>17.9325057168966</v>
      </c>
      <c r="AG571">
        <v>34.581949709014602</v>
      </c>
      <c r="AH571">
        <v>0.98633579359258605</v>
      </c>
      <c r="AI571" s="1">
        <v>18.6441558628302</v>
      </c>
      <c r="AJ571" s="1">
        <v>6.8714191913604701</v>
      </c>
      <c r="AK571" s="1">
        <v>4.2752087116241402</v>
      </c>
      <c r="AL571" s="7"/>
      <c r="AM571" s="1"/>
      <c r="AN571" s="1"/>
      <c r="AO571" s="8"/>
      <c r="AP571" s="1"/>
      <c r="AQ571" s="1"/>
      <c r="AR571" s="1"/>
      <c r="AS571" s="8"/>
      <c r="AT571" s="7">
        <v>0.16</v>
      </c>
      <c r="AU571">
        <v>0.37762451171875</v>
      </c>
      <c r="AV571">
        <v>25.0463537652513</v>
      </c>
      <c r="AW571">
        <v>0.98109843635417704</v>
      </c>
      <c r="AX571">
        <v>17.235022670086199</v>
      </c>
      <c r="AY571">
        <v>28.971876723017498</v>
      </c>
      <c r="AZ571">
        <v>0.98397548281326497</v>
      </c>
      <c r="BA571" s="1">
        <v>17.952150467573901</v>
      </c>
      <c r="BB571" s="1">
        <v>6.0626761913299498</v>
      </c>
      <c r="BC571" s="1">
        <v>3.7138936519622798</v>
      </c>
      <c r="BD571" s="7"/>
      <c r="BE571" s="1"/>
      <c r="BF571" s="1"/>
      <c r="BG571" s="8"/>
      <c r="BH571" s="1"/>
      <c r="BI571" s="1"/>
      <c r="BJ571" s="1"/>
      <c r="BK571" s="8"/>
    </row>
    <row r="572" spans="1:63">
      <c r="A572" s="49"/>
      <c r="B572" s="7" t="s">
        <v>18</v>
      </c>
      <c r="C572" s="17">
        <v>0.12</v>
      </c>
      <c r="D572" s="7">
        <v>49</v>
      </c>
      <c r="E572">
        <v>0.11930338541666601</v>
      </c>
      <c r="F572">
        <v>22.087311193803401</v>
      </c>
      <c r="G572">
        <v>0.88827977495181698</v>
      </c>
      <c r="H572">
        <v>9.5186819813138595</v>
      </c>
      <c r="I572">
        <v>25.440018359007599</v>
      </c>
      <c r="J572">
        <v>0.90133243415137898</v>
      </c>
      <c r="K572" s="8">
        <v>10.058255858095601</v>
      </c>
      <c r="L572" s="7">
        <v>47</v>
      </c>
      <c r="M572">
        <v>0.11572265625</v>
      </c>
      <c r="N572">
        <v>23.213326453792899</v>
      </c>
      <c r="O572">
        <v>0.90676313481871995</v>
      </c>
      <c r="P572">
        <v>10.304123367962299</v>
      </c>
      <c r="Q572">
        <v>26.7846965450928</v>
      </c>
      <c r="R572">
        <v>0.91503852365462701</v>
      </c>
      <c r="S572" s="1">
        <v>10.707779496162001</v>
      </c>
      <c r="T572" s="7"/>
      <c r="U572" s="1"/>
      <c r="V572" s="1"/>
      <c r="W572" s="8"/>
      <c r="X572" s="7"/>
      <c r="Y572" s="1"/>
      <c r="Z572" s="1"/>
      <c r="AA572" s="8"/>
      <c r="AB572" s="7">
        <v>8</v>
      </c>
      <c r="AC572">
        <v>0.51641845703125</v>
      </c>
      <c r="AD572">
        <v>29.136455279085801</v>
      </c>
      <c r="AE572">
        <v>0.97534677453739504</v>
      </c>
      <c r="AF572">
        <v>16.081262524934001</v>
      </c>
      <c r="AG572">
        <v>32.713070646149298</v>
      </c>
      <c r="AH572">
        <v>0.97817840915706</v>
      </c>
      <c r="AI572" s="1">
        <v>16.611135915512701</v>
      </c>
      <c r="AJ572" s="1">
        <v>6.5842161178588796</v>
      </c>
      <c r="AK572" s="1">
        <v>4.3788890838623002</v>
      </c>
      <c r="AL572" s="7"/>
      <c r="AM572" s="1"/>
      <c r="AN572" s="1"/>
      <c r="AO572" s="8"/>
      <c r="AP572" s="1"/>
      <c r="AQ572" s="1"/>
      <c r="AR572" s="1"/>
      <c r="AS572" s="8"/>
      <c r="AT572" s="7">
        <v>0.08</v>
      </c>
      <c r="AU572">
        <v>0.26243082682291602</v>
      </c>
      <c r="AV572">
        <v>23.789257811737301</v>
      </c>
      <c r="AW572">
        <v>0.97072201058450003</v>
      </c>
      <c r="AX572">
        <v>15.334587505554101</v>
      </c>
      <c r="AY572">
        <v>27.618684977903499</v>
      </c>
      <c r="AZ572">
        <v>0.97486920375066</v>
      </c>
      <c r="BA572" s="1">
        <v>15.9979375091335</v>
      </c>
      <c r="BB572" s="1">
        <v>6.5764529705047599</v>
      </c>
      <c r="BC572" s="1">
        <v>4.1078605651855398</v>
      </c>
      <c r="BD572" s="7"/>
      <c r="BE572" s="1"/>
      <c r="BF572" s="1"/>
      <c r="BG572" s="8"/>
      <c r="BH572" s="1"/>
      <c r="BI572" s="1"/>
      <c r="BJ572" s="1"/>
      <c r="BK572" s="8"/>
    </row>
    <row r="573" spans="1:63">
      <c r="A573" s="49"/>
      <c r="B573" s="7" t="s">
        <v>18</v>
      </c>
      <c r="C573" s="17">
        <v>0.06</v>
      </c>
      <c r="D573" s="7">
        <v>51</v>
      </c>
      <c r="E573">
        <v>8.48388671875E-2</v>
      </c>
      <c r="F573">
        <v>21.009756321679099</v>
      </c>
      <c r="G573">
        <v>0.85993607607523204</v>
      </c>
      <c r="H573">
        <v>8.5367371095245108</v>
      </c>
      <c r="I573">
        <v>24.416571868297702</v>
      </c>
      <c r="J573">
        <v>0.87306192764355695</v>
      </c>
      <c r="K573" s="8">
        <v>8.9640810103794895</v>
      </c>
      <c r="L573" s="7">
        <v>52</v>
      </c>
      <c r="M573">
        <v>5.3080240885416602E-2</v>
      </c>
      <c r="N573">
        <v>20.531171647231901</v>
      </c>
      <c r="O573">
        <v>0.83481714808233698</v>
      </c>
      <c r="P573">
        <v>7.8203503997014199</v>
      </c>
      <c r="Q573">
        <v>24.164623261024701</v>
      </c>
      <c r="R573">
        <v>0.845299898586509</v>
      </c>
      <c r="S573" s="1">
        <v>8.1050940159924298</v>
      </c>
      <c r="T573" s="7"/>
      <c r="U573" s="1"/>
      <c r="V573" s="1"/>
      <c r="W573" s="8"/>
      <c r="X573" s="7"/>
      <c r="Y573" s="1"/>
      <c r="Z573" s="1"/>
      <c r="AA573" s="8"/>
      <c r="AB573" s="7">
        <v>4</v>
      </c>
      <c r="AC573">
        <v>0.35137939453125</v>
      </c>
      <c r="AD573">
        <v>27.1595622222403</v>
      </c>
      <c r="AE573">
        <v>0.96322124457303004</v>
      </c>
      <c r="AF573">
        <v>14.344029711377599</v>
      </c>
      <c r="AG573">
        <v>30.8982898660818</v>
      </c>
      <c r="AH573">
        <v>0.96665761741301803</v>
      </c>
      <c r="AI573" s="1">
        <v>14.7700336949279</v>
      </c>
      <c r="AJ573" s="1">
        <v>6.7028319835662797</v>
      </c>
      <c r="AK573" s="1">
        <v>4.3023939132690403</v>
      </c>
      <c r="AL573" s="7"/>
      <c r="AM573" s="1"/>
      <c r="AN573" s="1"/>
      <c r="AO573" s="8"/>
      <c r="AP573" s="1"/>
      <c r="AQ573" s="1"/>
      <c r="AR573" s="1"/>
      <c r="AS573" s="8"/>
      <c r="AT573" s="7">
        <v>0.04</v>
      </c>
      <c r="AU573">
        <v>0.18084716796875</v>
      </c>
      <c r="AV573">
        <v>22.419581399426701</v>
      </c>
      <c r="AW573">
        <v>0.95545760299781601</v>
      </c>
      <c r="AX573">
        <v>13.5122641557296</v>
      </c>
      <c r="AY573">
        <v>26.223309694849601</v>
      </c>
      <c r="AZ573">
        <v>0.96091241599271904</v>
      </c>
      <c r="BA573" s="1">
        <v>14.0796117235958</v>
      </c>
      <c r="BB573" s="1">
        <v>6.6879982948303196</v>
      </c>
      <c r="BC573" s="1">
        <v>4.5127429962158203</v>
      </c>
      <c r="BD573" s="7"/>
      <c r="BE573" s="1"/>
      <c r="BF573" s="1"/>
      <c r="BG573" s="8"/>
      <c r="BH573" s="1"/>
      <c r="BI573" s="1"/>
      <c r="BJ573" s="1"/>
      <c r="BK573" s="8"/>
    </row>
    <row r="574" spans="1:63">
      <c r="A574" s="49"/>
      <c r="B574" s="7" t="s">
        <v>117</v>
      </c>
      <c r="C574" s="17">
        <v>1.5</v>
      </c>
      <c r="D574" s="7">
        <v>20</v>
      </c>
      <c r="E574">
        <v>1.4428507486979101</v>
      </c>
      <c r="F574">
        <v>42.4851936770375</v>
      </c>
      <c r="G574">
        <v>0.993910991487025</v>
      </c>
      <c r="H574">
        <v>22.154534187628201</v>
      </c>
      <c r="I574">
        <v>45.609619746383501</v>
      </c>
      <c r="J574">
        <v>0.99657725728030599</v>
      </c>
      <c r="K574" s="8">
        <v>24.6562574462979</v>
      </c>
      <c r="L574" s="7">
        <v>18</v>
      </c>
      <c r="M574">
        <v>1.42572021484375</v>
      </c>
      <c r="N574">
        <v>42.867859375487001</v>
      </c>
      <c r="O574">
        <v>0.99446616072340499</v>
      </c>
      <c r="P574">
        <v>22.5697345854921</v>
      </c>
      <c r="Q574">
        <v>46.103955601003697</v>
      </c>
      <c r="R574">
        <v>0.99715222718147301</v>
      </c>
      <c r="S574" s="1">
        <v>25.454946595561101</v>
      </c>
      <c r="T574" s="13">
        <f>bdrate(E574:E577,F574:F577,M574:M577,N574:N577)</f>
        <v>-0.18333636353583527</v>
      </c>
      <c r="U574" s="12">
        <f>bdrate(E574:E577,H574:H577,M574:M577,P574:P577)</f>
        <v>-0.18900287027812013</v>
      </c>
      <c r="V574" s="12">
        <f>bdrate(E574:E577,I574:I577,M574:M577,Q574:Q577)</f>
        <v>-0.18962803699182529</v>
      </c>
      <c r="W574" s="14">
        <f>bdrate(E574:E577,K574:K577,M574:M577,S574:S577)</f>
        <v>-0.15625780472080131</v>
      </c>
      <c r="X574" s="13">
        <f>bdrate(E576:E579,F576:F579,M576:M579,N576:N579)</f>
        <v>-0.24555846991470831</v>
      </c>
      <c r="Y574" s="12">
        <f>bdrate(E576:E579,H576:H579,M576:M579,P576:P579)</f>
        <v>-0.25444859687419563</v>
      </c>
      <c r="Z574" s="12">
        <f>bdrate(E576:E579,I576:I579,M576:M579,Q576:Q579)</f>
        <v>-0.26643976625523336</v>
      </c>
      <c r="AA574" s="14">
        <f>bdrate(E576:E579,K576:K579,M576:M579,S576:S579)</f>
        <v>-0.19629271281472482</v>
      </c>
      <c r="AB574" s="7"/>
      <c r="AI574" s="1"/>
      <c r="AJ574" s="1"/>
      <c r="AK574" s="1"/>
      <c r="AL574" s="13" t="e">
        <f>bdrate(E574:E577,F574:F577,AC574:AC577,AD574:AD577)</f>
        <v>#VALUE!</v>
      </c>
      <c r="AM574" s="12" t="e">
        <f>bdrate(E574:E577,H574:H577,AC574:AC577,AF574:AF577)</f>
        <v>#VALUE!</v>
      </c>
      <c r="AN574" s="12" t="e">
        <f>bdrate(E574:E577,I574:I577,AC574:AC577,AG574:AG577)</f>
        <v>#VALUE!</v>
      </c>
      <c r="AO574" s="14" t="e">
        <f>bdrate(E574:E577,K574:K577,AC574:AC577,AI574:AI577)</f>
        <v>#VALUE!</v>
      </c>
      <c r="AP574" s="12">
        <f>bdrate(E576:E579,F576:F579,AC576:AC579,AD576:AD579)</f>
        <v>-0.162791553469678</v>
      </c>
      <c r="AQ574" s="12">
        <f>bdrate(E576:E579,H576:H579,AC576:AC579,AF576:AF579)</f>
        <v>-0.28394704397594395</v>
      </c>
      <c r="AR574" s="12">
        <f>bdrate(E576:E579,I576:I579,AC576:AC579,AG576:AG579)</f>
        <v>-0.20842323532705331</v>
      </c>
      <c r="AS574" s="14">
        <f>bdrate(E576:E579,K576:K579,AC576:AC579,AI576:AI579)</f>
        <v>-0.17751804708946017</v>
      </c>
      <c r="AT574" s="7"/>
      <c r="BA574" s="1"/>
      <c r="BB574" s="1"/>
      <c r="BC574" s="1"/>
      <c r="BD574" s="13" t="e">
        <f>bdrate(E574:E577,F574:F577,AU574:AU577,AV574:AV577)</f>
        <v>#VALUE!</v>
      </c>
      <c r="BE574" s="12" t="e">
        <f>bdrate(E574:E577,H574:H577,AU574:AU577,AX574:AX577)</f>
        <v>#VALUE!</v>
      </c>
      <c r="BF574" s="12" t="e">
        <f>bdrate(E574:E577,I574:I577,AU574:AU577,AY574:AY577)</f>
        <v>#VALUE!</v>
      </c>
      <c r="BG574" s="14" t="e">
        <f>bdrate(E574:E577,K574:K577,AU574:AU577,BA574:BA577)</f>
        <v>#VALUE!</v>
      </c>
      <c r="BH574" s="12">
        <f>bdrate(E576:E579,F576:F579,AU576:AU579,AV576:AV579)</f>
        <v>0.48095571913605273</v>
      </c>
      <c r="BI574" s="12">
        <f>bdrate(E576:E579,H576:H579,AU576:AU579,AX576:AX579)</f>
        <v>-0.50904895746424517</v>
      </c>
      <c r="BJ574" s="12">
        <f>bdrate(E576:E579,I576:I579,AU576:AU579,AY576:AY579)</f>
        <v>0.4516475405356839</v>
      </c>
      <c r="BK574" s="14">
        <f>bdrate(E576:E579,K576:K579,AU576:AU579,BA576:BA579)</f>
        <v>-0.44269206616393364</v>
      </c>
    </row>
    <row r="575" spans="1:63">
      <c r="A575" s="49"/>
      <c r="B575" s="7" t="s">
        <v>18</v>
      </c>
      <c r="C575" s="17">
        <v>1</v>
      </c>
      <c r="D575" s="7">
        <v>23</v>
      </c>
      <c r="E575">
        <v>0.90907796223958304</v>
      </c>
      <c r="F575">
        <v>40.7948251486009</v>
      </c>
      <c r="G575">
        <v>0.991298644233917</v>
      </c>
      <c r="H575">
        <v>20.604130742945902</v>
      </c>
      <c r="I575">
        <v>43.816974400565201</v>
      </c>
      <c r="J575">
        <v>0.99416288208108605</v>
      </c>
      <c r="K575" s="8">
        <v>22.338015331732599</v>
      </c>
      <c r="L575" s="7">
        <v>20</v>
      </c>
      <c r="M575">
        <v>0.966064453125</v>
      </c>
      <c r="N575">
        <v>41.441146000122899</v>
      </c>
      <c r="O575">
        <v>0.99234091819569703</v>
      </c>
      <c r="P575">
        <v>21.158232918852001</v>
      </c>
      <c r="Q575">
        <v>44.523293271736399</v>
      </c>
      <c r="R575">
        <v>0.995143323997419</v>
      </c>
      <c r="S575" s="1">
        <v>23.136608681112499</v>
      </c>
      <c r="T575" s="7"/>
      <c r="U575" s="1"/>
      <c r="V575" s="1"/>
      <c r="W575" s="8"/>
      <c r="X575" s="7"/>
      <c r="Y575" s="1"/>
      <c r="Z575" s="1"/>
      <c r="AA575" s="8"/>
      <c r="AB575" s="7">
        <v>64</v>
      </c>
      <c r="AC575">
        <v>0.45725504557291602</v>
      </c>
      <c r="AD575">
        <v>38.619393854766898</v>
      </c>
      <c r="AE575">
        <v>0.98919770844988497</v>
      </c>
      <c r="AF575">
        <v>19.664841054386901</v>
      </c>
      <c r="AG575">
        <v>41.672154999687002</v>
      </c>
      <c r="AH575">
        <v>0.99188474051419495</v>
      </c>
      <c r="AI575" s="1">
        <v>20.906975890292099</v>
      </c>
      <c r="AJ575" s="1">
        <v>8.1250624656677193</v>
      </c>
      <c r="AK575" s="1">
        <v>4.3831229209899902</v>
      </c>
      <c r="AL575" s="7"/>
      <c r="AM575" s="1"/>
      <c r="AN575" s="1"/>
      <c r="AO575" s="8"/>
      <c r="AP575" s="1"/>
      <c r="AQ575" s="1"/>
      <c r="AR575" s="1"/>
      <c r="AS575" s="8"/>
      <c r="AT575" s="7">
        <v>0.64</v>
      </c>
      <c r="AU575">
        <v>0.40818277994791602</v>
      </c>
      <c r="AV575">
        <v>34.059277950817801</v>
      </c>
      <c r="AW575">
        <v>0.99144619177998605</v>
      </c>
      <c r="AX575">
        <v>20.6784049103542</v>
      </c>
      <c r="AY575">
        <v>37.524928135643798</v>
      </c>
      <c r="AZ575">
        <v>0.99343881073798901</v>
      </c>
      <c r="BA575" s="1">
        <v>21.830174345394099</v>
      </c>
      <c r="BB575" s="1">
        <v>6.9994983673095703</v>
      </c>
      <c r="BC575" s="1">
        <v>4.5973358154296804</v>
      </c>
      <c r="BD575" s="7"/>
      <c r="BE575" s="1"/>
      <c r="BF575" s="1"/>
      <c r="BG575" s="8"/>
      <c r="BH575" s="1"/>
      <c r="BI575" s="1"/>
      <c r="BJ575" s="1"/>
      <c r="BK575" s="8"/>
    </row>
    <row r="576" spans="1:63">
      <c r="A576" s="49"/>
      <c r="B576" s="7" t="s">
        <v>18</v>
      </c>
      <c r="C576" s="17">
        <v>0.5</v>
      </c>
      <c r="D576" s="7">
        <v>29</v>
      </c>
      <c r="E576">
        <v>0.48689778645833298</v>
      </c>
      <c r="F576">
        <v>38.203744750954002</v>
      </c>
      <c r="G576">
        <v>0.98709081159708401</v>
      </c>
      <c r="H576">
        <v>18.891010608485999</v>
      </c>
      <c r="I576">
        <v>41.2247579614926</v>
      </c>
      <c r="J576">
        <v>0.99098826478284796</v>
      </c>
      <c r="K576" s="8">
        <v>20.451915772033399</v>
      </c>
      <c r="L576" s="7">
        <v>26</v>
      </c>
      <c r="M576">
        <v>0.47981770833333298</v>
      </c>
      <c r="N576">
        <v>39.120334591026399</v>
      </c>
      <c r="O576">
        <v>0.98887944223826196</v>
      </c>
      <c r="P576">
        <v>19.538734297710501</v>
      </c>
      <c r="Q576">
        <v>42.166898449685199</v>
      </c>
      <c r="R576">
        <v>0.99204384319658101</v>
      </c>
      <c r="S576" s="1">
        <v>20.9929666619763</v>
      </c>
      <c r="T576" s="7"/>
      <c r="U576" s="1"/>
      <c r="V576" s="1"/>
      <c r="W576" s="8"/>
      <c r="X576" s="7"/>
      <c r="Y576" s="1"/>
      <c r="Z576" s="1"/>
      <c r="AA576" s="8"/>
      <c r="AB576" s="7">
        <v>32</v>
      </c>
      <c r="AC576">
        <v>0.33140055338541602</v>
      </c>
      <c r="AD576">
        <v>37.1681379031616</v>
      </c>
      <c r="AE576">
        <v>0.98691163441157703</v>
      </c>
      <c r="AF576">
        <v>18.8311458265065</v>
      </c>
      <c r="AG576">
        <v>40.295850721140297</v>
      </c>
      <c r="AH576">
        <v>0.98971758826281497</v>
      </c>
      <c r="AI576" s="1">
        <v>19.879050097271801</v>
      </c>
      <c r="AJ576" s="1">
        <v>13.867246627807599</v>
      </c>
      <c r="AK576" s="1">
        <v>7.1191000938415501</v>
      </c>
      <c r="AL576" s="7"/>
      <c r="AM576" s="1"/>
      <c r="AN576" s="1"/>
      <c r="AO576" s="8"/>
      <c r="AP576" s="1"/>
      <c r="AQ576" s="1"/>
      <c r="AR576" s="1"/>
      <c r="AS576" s="8"/>
      <c r="AT576" s="7">
        <v>0.32</v>
      </c>
      <c r="AU576">
        <v>0.25933837890625</v>
      </c>
      <c r="AV576">
        <v>33.2613199724317</v>
      </c>
      <c r="AW576">
        <v>0.98824979403806501</v>
      </c>
      <c r="AX576">
        <v>19.2995452085202</v>
      </c>
      <c r="AY576">
        <v>36.670100893392998</v>
      </c>
      <c r="AZ576">
        <v>0.99068417503610495</v>
      </c>
      <c r="BA576" s="1">
        <v>20.3077868006961</v>
      </c>
      <c r="BB576" s="1">
        <v>6.61222100257873</v>
      </c>
      <c r="BC576" s="1">
        <v>4.0098862648010201</v>
      </c>
      <c r="BD576" s="7"/>
      <c r="BE576" s="1"/>
      <c r="BF576" s="1"/>
      <c r="BG576" s="8"/>
      <c r="BH576" s="1"/>
      <c r="BI576" s="1"/>
      <c r="BJ576" s="1"/>
      <c r="BK576" s="8"/>
    </row>
    <row r="577" spans="1:63">
      <c r="A577" s="49"/>
      <c r="B577" s="7" t="s">
        <v>18</v>
      </c>
      <c r="C577" s="17">
        <v>0.25</v>
      </c>
      <c r="D577" s="7">
        <v>35</v>
      </c>
      <c r="E577">
        <v>0.24540201822916599</v>
      </c>
      <c r="F577">
        <v>34.914914251388304</v>
      </c>
      <c r="G577">
        <v>0.97834910937040098</v>
      </c>
      <c r="H577">
        <v>16.645242338342001</v>
      </c>
      <c r="I577">
        <v>37.964711206986799</v>
      </c>
      <c r="J577">
        <v>0.98368483060820699</v>
      </c>
      <c r="K577" s="8">
        <v>17.874084128023199</v>
      </c>
      <c r="L577" s="7">
        <v>33</v>
      </c>
      <c r="M577">
        <v>0.22349039713541599</v>
      </c>
      <c r="N577">
        <v>35.804366993604198</v>
      </c>
      <c r="O577">
        <v>0.98164065160941205</v>
      </c>
      <c r="P577">
        <v>17.361427368272501</v>
      </c>
      <c r="Q577">
        <v>38.931545716682201</v>
      </c>
      <c r="R577">
        <v>0.98551757279349195</v>
      </c>
      <c r="S577" s="1">
        <v>18.391586457318098</v>
      </c>
      <c r="T577" s="7"/>
      <c r="U577" s="1"/>
      <c r="V577" s="1"/>
      <c r="W577" s="8"/>
      <c r="X577" s="7"/>
      <c r="Y577" s="1"/>
      <c r="Z577" s="1"/>
      <c r="AA577" s="8"/>
      <c r="AB577" s="7">
        <v>16</v>
      </c>
      <c r="AC577">
        <v>0.22873942057291599</v>
      </c>
      <c r="AD577">
        <v>35.409362502477997</v>
      </c>
      <c r="AE577">
        <v>0.98238931329747303</v>
      </c>
      <c r="AF577">
        <v>17.542237090353701</v>
      </c>
      <c r="AG577">
        <v>38.648074979942301</v>
      </c>
      <c r="AH577">
        <v>0.98537683257971398</v>
      </c>
      <c r="AI577" s="1">
        <v>18.349585477500799</v>
      </c>
      <c r="AJ577" s="1">
        <v>6.8841907978057799</v>
      </c>
      <c r="AK577" s="1">
        <v>4.1611559391021702</v>
      </c>
      <c r="AL577" s="7"/>
      <c r="AM577" s="1"/>
      <c r="AN577" s="1"/>
      <c r="AO577" s="8"/>
      <c r="AP577" s="1"/>
      <c r="AQ577" s="1"/>
      <c r="AR577" s="1"/>
      <c r="AS577" s="8"/>
      <c r="AT577" s="7">
        <v>0.16</v>
      </c>
      <c r="AU577">
        <v>0.17978922526041599</v>
      </c>
      <c r="AV577">
        <v>31.8692607745988</v>
      </c>
      <c r="AW577">
        <v>0.98435412700792102</v>
      </c>
      <c r="AX577">
        <v>18.0560019953185</v>
      </c>
      <c r="AY577">
        <v>35.289067570200601</v>
      </c>
      <c r="AZ577">
        <v>0.98725860328957404</v>
      </c>
      <c r="BA577" s="1">
        <v>18.947829620805301</v>
      </c>
      <c r="BB577" s="1">
        <v>6.1412868499755797</v>
      </c>
      <c r="BC577" s="1">
        <v>3.7063527107238698</v>
      </c>
      <c r="BD577" s="7"/>
      <c r="BE577" s="1"/>
      <c r="BF577" s="1"/>
      <c r="BG577" s="8"/>
      <c r="BH577" s="1"/>
      <c r="BI577" s="1"/>
      <c r="BJ577" s="1"/>
      <c r="BK577" s="8"/>
    </row>
    <row r="578" spans="1:63">
      <c r="A578" s="49"/>
      <c r="B578" s="7" t="s">
        <v>18</v>
      </c>
      <c r="C578" s="17">
        <v>0.12</v>
      </c>
      <c r="D578" s="7">
        <v>41</v>
      </c>
      <c r="E578">
        <v>0.10978190104166601</v>
      </c>
      <c r="F578">
        <v>31.428940257043099</v>
      </c>
      <c r="G578">
        <v>0.95906483803815201</v>
      </c>
      <c r="H578">
        <v>13.879034869649701</v>
      </c>
      <c r="I578">
        <v>34.515516431102903</v>
      </c>
      <c r="J578">
        <v>0.96644011610235103</v>
      </c>
      <c r="K578" s="8">
        <v>14.7417955030751</v>
      </c>
      <c r="L578" s="7">
        <v>38</v>
      </c>
      <c r="M578">
        <v>0.119588216145833</v>
      </c>
      <c r="N578">
        <v>32.979748960168003</v>
      </c>
      <c r="O578">
        <v>0.96985660004097796</v>
      </c>
      <c r="P578">
        <v>15.2080776396018</v>
      </c>
      <c r="Q578">
        <v>36.1960136053642</v>
      </c>
      <c r="R578">
        <v>0.97449299627085795</v>
      </c>
      <c r="S578" s="1">
        <v>15.933405543390901</v>
      </c>
      <c r="T578" s="7"/>
      <c r="U578" s="1"/>
      <c r="V578" s="1"/>
      <c r="W578" s="8"/>
      <c r="X578" s="7"/>
      <c r="Y578" s="1"/>
      <c r="Z578" s="1"/>
      <c r="AA578" s="8"/>
      <c r="AB578" s="7">
        <v>8</v>
      </c>
      <c r="AC578">
        <v>0.15655517578125</v>
      </c>
      <c r="AD578">
        <v>33.709280663884499</v>
      </c>
      <c r="AE578">
        <v>0.97624732034407402</v>
      </c>
      <c r="AF578">
        <v>16.242873883913401</v>
      </c>
      <c r="AG578">
        <v>37.076569093585299</v>
      </c>
      <c r="AH578">
        <v>0.97948807008844896</v>
      </c>
      <c r="AI578" s="1">
        <v>16.879934761257299</v>
      </c>
      <c r="AJ578" s="1">
        <v>6.3517374992370597</v>
      </c>
      <c r="AK578" s="1">
        <v>4.04483842849731</v>
      </c>
      <c r="AL578" s="7"/>
      <c r="AM578" s="1"/>
      <c r="AN578" s="1"/>
      <c r="AO578" s="8"/>
      <c r="AP578" s="1"/>
      <c r="AQ578" s="1"/>
      <c r="AR578" s="1"/>
      <c r="AS578" s="8"/>
      <c r="AT578" s="7">
        <v>0.08</v>
      </c>
      <c r="AU578">
        <v>0.12567138671875</v>
      </c>
      <c r="AV578">
        <v>30.4327988602879</v>
      </c>
      <c r="AW578">
        <v>0.97894138872207503</v>
      </c>
      <c r="AX578">
        <v>16.7657027200238</v>
      </c>
      <c r="AY578">
        <v>33.4028620972393</v>
      </c>
      <c r="AZ578">
        <v>0.98232967803569005</v>
      </c>
      <c r="BA578" s="1">
        <v>17.527555373042599</v>
      </c>
      <c r="BB578" s="1">
        <v>6.0178456306457502</v>
      </c>
      <c r="BC578" s="1">
        <v>4.1560549736022896</v>
      </c>
      <c r="BD578" s="7"/>
      <c r="BE578" s="1"/>
      <c r="BF578" s="1"/>
      <c r="BG578" s="8"/>
      <c r="BH578" s="1"/>
      <c r="BI578" s="1"/>
      <c r="BJ578" s="1"/>
      <c r="BK578" s="8"/>
    </row>
    <row r="579" spans="1:63" ht="15" thickBot="1">
      <c r="A579" s="50"/>
      <c r="B579" s="9" t="s">
        <v>18</v>
      </c>
      <c r="C579" s="18">
        <v>0.06</v>
      </c>
      <c r="D579" s="9">
        <v>46</v>
      </c>
      <c r="E579" s="10">
        <v>5.2897135416666602E-2</v>
      </c>
      <c r="F579" s="10">
        <v>28.767637339507701</v>
      </c>
      <c r="G579" s="10">
        <v>0.92753109418441304</v>
      </c>
      <c r="H579" s="10">
        <v>11.398482959031901</v>
      </c>
      <c r="I579" s="10">
        <v>31.9013609991053</v>
      </c>
      <c r="J579" s="10">
        <v>0.93681856832084498</v>
      </c>
      <c r="K579" s="11">
        <v>11.9941053728949</v>
      </c>
      <c r="L579" s="9">
        <v>44</v>
      </c>
      <c r="M579" s="10">
        <v>5.2530924479166602E-2</v>
      </c>
      <c r="N579" s="10">
        <v>29.742413545206102</v>
      </c>
      <c r="O579" s="10">
        <v>0.94079541962383895</v>
      </c>
      <c r="P579" s="10">
        <v>12.276446926834801</v>
      </c>
      <c r="Q579" s="10">
        <v>32.998519204444001</v>
      </c>
      <c r="R579" s="10">
        <v>0.94685706312533302</v>
      </c>
      <c r="S579" s="10">
        <v>12.745544485479201</v>
      </c>
      <c r="T579" s="9"/>
      <c r="U579" s="10"/>
      <c r="V579" s="10"/>
      <c r="W579" s="11"/>
      <c r="X579" s="9"/>
      <c r="Y579" s="10"/>
      <c r="Z579" s="10"/>
      <c r="AA579" s="11"/>
      <c r="AB579" s="9">
        <v>4</v>
      </c>
      <c r="AC579" s="10">
        <v>0.107930501302083</v>
      </c>
      <c r="AD579" s="10">
        <v>32.011218000990802</v>
      </c>
      <c r="AE579" s="10">
        <v>0.96722183334558498</v>
      </c>
      <c r="AF579" s="10">
        <v>14.844153410076601</v>
      </c>
      <c r="AG579" s="10">
        <v>35.4969613512188</v>
      </c>
      <c r="AH579" s="10">
        <v>0.970644031113158</v>
      </c>
      <c r="AI579" s="10">
        <v>15.3230358126263</v>
      </c>
      <c r="AJ579" s="10">
        <v>6.78584861755371</v>
      </c>
      <c r="AK579" s="10">
        <v>4.3157706260681099</v>
      </c>
      <c r="AL579" s="9"/>
      <c r="AM579" s="10"/>
      <c r="AN579" s="10"/>
      <c r="AO579" s="11"/>
      <c r="AP579" s="10"/>
      <c r="AQ579" s="10"/>
      <c r="AR579" s="10"/>
      <c r="AS579" s="11"/>
      <c r="AT579" s="9">
        <v>0.04</v>
      </c>
      <c r="AU579" s="10">
        <v>8.746337890625E-2</v>
      </c>
      <c r="AV579" s="10">
        <v>29.1914046477313</v>
      </c>
      <c r="AW579" s="10">
        <v>0.97084278396857104</v>
      </c>
      <c r="AX579" s="10">
        <v>15.352539453714799</v>
      </c>
      <c r="AY579" s="10">
        <v>32.053900127492597</v>
      </c>
      <c r="AZ579" s="10">
        <v>0.97526965626747097</v>
      </c>
      <c r="BA579" s="10">
        <v>16.067698472414801</v>
      </c>
      <c r="BB579" s="10">
        <v>6.6354427337646396</v>
      </c>
      <c r="BC579" s="10">
        <v>4.8728771209716797</v>
      </c>
      <c r="BD579" s="9"/>
      <c r="BE579" s="10"/>
      <c r="BF579" s="10"/>
      <c r="BG579" s="11"/>
      <c r="BH579" s="10"/>
      <c r="BI579" s="10"/>
      <c r="BJ579" s="10"/>
      <c r="BK579" s="11"/>
    </row>
    <row r="582" spans="1:63">
      <c r="A582" t="s">
        <v>118</v>
      </c>
    </row>
    <row r="583" spans="1:63" ht="15" thickBot="1">
      <c r="A583" s="51" t="s">
        <v>119</v>
      </c>
      <c r="B583" s="52"/>
      <c r="C583" s="52"/>
      <c r="D583" s="52"/>
      <c r="E583" s="52"/>
      <c r="F583" s="52"/>
      <c r="G583" s="52"/>
      <c r="H583" s="52"/>
      <c r="I583" s="52"/>
      <c r="J583" s="52"/>
    </row>
    <row r="584" spans="1:63">
      <c r="A584" s="27"/>
      <c r="C584" s="45" t="s">
        <v>5</v>
      </c>
      <c r="D584" s="46"/>
      <c r="E584" s="46"/>
      <c r="F584" s="47"/>
      <c r="G584" s="45" t="s">
        <v>6</v>
      </c>
      <c r="H584" s="46"/>
      <c r="I584" s="46"/>
      <c r="J584" s="47"/>
    </row>
    <row r="585" spans="1:63" ht="15" thickBot="1">
      <c r="A585" t="s">
        <v>234</v>
      </c>
      <c r="B585" s="37" t="s">
        <v>120</v>
      </c>
      <c r="C585" s="4" t="s">
        <v>10</v>
      </c>
      <c r="D585" s="3" t="s">
        <v>11</v>
      </c>
      <c r="E585" s="3" t="s">
        <v>13</v>
      </c>
      <c r="F585" s="6" t="s">
        <v>14</v>
      </c>
      <c r="G585" s="4" t="s">
        <v>10</v>
      </c>
      <c r="H585" s="3" t="s">
        <v>11</v>
      </c>
      <c r="I585" s="3" t="s">
        <v>13</v>
      </c>
      <c r="J585" s="6" t="s">
        <v>14</v>
      </c>
    </row>
    <row r="586" spans="1:63">
      <c r="A586" s="48" t="s">
        <v>126</v>
      </c>
      <c r="B586" s="15" t="s">
        <v>121</v>
      </c>
      <c r="C586" s="34">
        <f>AVERAGE(T4:T147)</f>
        <v>-0.15051528407870715</v>
      </c>
      <c r="D586" s="28">
        <f t="shared" ref="D586:F586" si="0">AVERAGE(U4:U147)</f>
        <v>-0.15983582038356034</v>
      </c>
      <c r="E586" s="28">
        <f t="shared" si="0"/>
        <v>-0.15854289285737144</v>
      </c>
      <c r="F586" s="29">
        <f t="shared" si="0"/>
        <v>-0.13092346780042166</v>
      </c>
      <c r="G586" s="28">
        <f>AVERAGE(X4:X147)</f>
        <v>-0.23613007588382098</v>
      </c>
      <c r="H586" s="28">
        <f>AVERAGE(Y4:Y147)</f>
        <v>-0.23145223065501555</v>
      </c>
      <c r="I586" s="28">
        <f>AVERAGE(Z4:Z147)</f>
        <v>-0.25123663734575763</v>
      </c>
      <c r="J586" s="29">
        <f>AVERAGE(AA4:AA147)</f>
        <v>-0.18951653712929506</v>
      </c>
    </row>
    <row r="587" spans="1:63">
      <c r="A587" s="49"/>
      <c r="B587" s="7" t="s">
        <v>122</v>
      </c>
      <c r="C587" s="35">
        <f>AVERAGE(T148:T291)</f>
        <v>-0.15260581639051526</v>
      </c>
      <c r="D587" s="30">
        <f t="shared" ref="D587:F587" si="1">AVERAGE(U148:U291)</f>
        <v>-0.17217682847822649</v>
      </c>
      <c r="E587" s="30">
        <f t="shared" si="1"/>
        <v>-0.15901382773724101</v>
      </c>
      <c r="F587" s="31">
        <f t="shared" si="1"/>
        <v>-0.13629938163752134</v>
      </c>
      <c r="G587" s="30">
        <f>AVERAGE(X148:X291)</f>
        <v>-0.23698408981397048</v>
      </c>
      <c r="H587" s="30">
        <f>AVERAGE(Y148:Y291)</f>
        <v>-0.24662214324028039</v>
      </c>
      <c r="I587" s="30">
        <f>AVERAGE(Z148:Z291)</f>
        <v>-0.2532872185895394</v>
      </c>
      <c r="J587" s="31">
        <f>AVERAGE(AA148:AA291)</f>
        <v>-0.1875768383879948</v>
      </c>
    </row>
    <row r="588" spans="1:63">
      <c r="A588" s="49"/>
      <c r="B588" s="7" t="s">
        <v>123</v>
      </c>
      <c r="C588" s="35">
        <f>AVERAGE(T292:T435)</f>
        <v>-0.22365807697689921</v>
      </c>
      <c r="D588" s="30">
        <f t="shared" ref="D588:F588" si="2">AVERAGE(U292:U435)</f>
        <v>-0.2406430391074624</v>
      </c>
      <c r="E588" s="30">
        <f t="shared" si="2"/>
        <v>-0.2259489548592514</v>
      </c>
      <c r="F588" s="31">
        <f t="shared" si="2"/>
        <v>-0.18883375486526358</v>
      </c>
      <c r="G588" s="30">
        <f>AVERAGE(X292:X435)</f>
        <v>-0.28821259776667191</v>
      </c>
      <c r="H588" s="30">
        <f>AVERAGE(Y292:Y435)</f>
        <v>-0.28162159394487529</v>
      </c>
      <c r="I588" s="30">
        <f>AVERAGE(Z292:Z435)</f>
        <v>-0.29566031059670045</v>
      </c>
      <c r="J588" s="31">
        <f>AVERAGE(AA292:AA435)</f>
        <v>-0.22831835371345163</v>
      </c>
    </row>
    <row r="589" spans="1:63" ht="15" thickBot="1">
      <c r="A589" s="49"/>
      <c r="B589" s="7" t="s">
        <v>124</v>
      </c>
      <c r="C589" s="35">
        <f>AVERAGE(T436:T579)</f>
        <v>-0.1901407326351896</v>
      </c>
      <c r="D589" s="30">
        <f t="shared" ref="D589:F589" si="3">AVERAGE(U436:U579)</f>
        <v>-0.18251254025701233</v>
      </c>
      <c r="E589" s="30">
        <f t="shared" si="3"/>
        <v>-0.20438102895648849</v>
      </c>
      <c r="F589" s="31">
        <f t="shared" si="3"/>
        <v>-0.14624613669066469</v>
      </c>
      <c r="G589" s="30">
        <f>AVERAGE(X436:X579)</f>
        <v>-0.23537128860027057</v>
      </c>
      <c r="H589" s="30">
        <f>AVERAGE(Y436:Y579)</f>
        <v>-0.20664713652042752</v>
      </c>
      <c r="I589" s="30">
        <f>AVERAGE(Z436:Z579)</f>
        <v>-0.27037984624076833</v>
      </c>
      <c r="J589" s="31">
        <f>AVERAGE(AA436:AA579)</f>
        <v>-0.16044845770641267</v>
      </c>
    </row>
    <row r="590" spans="1:63" ht="15" thickBot="1">
      <c r="A590" s="50"/>
      <c r="B590" s="38" t="s">
        <v>125</v>
      </c>
      <c r="C590" s="39">
        <f>AVERAGE(T4:T579)</f>
        <v>-0.17922997752032788</v>
      </c>
      <c r="D590" s="40">
        <f t="shared" ref="D590:F590" si="4">AVERAGE(U4:U579)</f>
        <v>-0.18879205705656543</v>
      </c>
      <c r="E590" s="40">
        <f t="shared" si="4"/>
        <v>-0.18697167610258805</v>
      </c>
      <c r="F590" s="41">
        <f t="shared" si="4"/>
        <v>-0.15057568524846787</v>
      </c>
      <c r="G590" s="40">
        <f>AVERAGE(X4:X579)</f>
        <v>-0.24917451301618346</v>
      </c>
      <c r="H590" s="40">
        <f>AVERAGE(Y4:Y579)</f>
        <v>-0.24158577609014956</v>
      </c>
      <c r="I590" s="40">
        <f>AVERAGE(Z4:Z579)</f>
        <v>-0.26764100319319162</v>
      </c>
      <c r="J590" s="41">
        <f>AVERAGE(AA4:AA579)</f>
        <v>-0.19146504673428855</v>
      </c>
    </row>
    <row r="591" spans="1:63">
      <c r="A591" s="48" t="s">
        <v>136</v>
      </c>
      <c r="B591" s="15" t="s">
        <v>121</v>
      </c>
      <c r="C591" s="34" t="e">
        <f>AVERAGE(AL4:AL147)</f>
        <v>#VALUE!</v>
      </c>
      <c r="D591" s="28" t="e">
        <f>AVERAGE(AM4:AM147)</f>
        <v>#VALUE!</v>
      </c>
      <c r="E591" s="28" t="e">
        <f t="shared" ref="E591:F591" si="5">AVERAGE(AN4:AN147)</f>
        <v>#VALUE!</v>
      </c>
      <c r="F591" s="28" t="e">
        <f t="shared" si="5"/>
        <v>#VALUE!</v>
      </c>
      <c r="G591" s="34">
        <f>AVERAGE(AP4:AP147)</f>
        <v>-0.14718071709099634</v>
      </c>
      <c r="H591" s="28">
        <f>AVERAGE(AQ4:AQ147)</f>
        <v>-0.20523600134862216</v>
      </c>
      <c r="I591" s="28">
        <f>AVERAGE(AR4:AR147)</f>
        <v>-0.18635568870228222</v>
      </c>
      <c r="J591" s="29">
        <f>AVERAGE(AS4:AS147)</f>
        <v>-0.12911518206084319</v>
      </c>
    </row>
    <row r="592" spans="1:63">
      <c r="A592" s="49"/>
      <c r="B592" s="7" t="s">
        <v>122</v>
      </c>
      <c r="C592" s="35" t="e">
        <f>AVERAGE(AL148:AL291)</f>
        <v>#VALUE!</v>
      </c>
      <c r="D592" s="30" t="e">
        <f t="shared" ref="D592:F592" si="6">AVERAGE(AM148:AM291)</f>
        <v>#VALUE!</v>
      </c>
      <c r="E592" s="30" t="e">
        <f t="shared" si="6"/>
        <v>#VALUE!</v>
      </c>
      <c r="F592" s="30" t="e">
        <f t="shared" si="6"/>
        <v>#VALUE!</v>
      </c>
      <c r="G592" s="35">
        <f>AVERAGE(AP148:AP291)</f>
        <v>-0.1372234506972852</v>
      </c>
      <c r="H592" s="30">
        <f>AVERAGE(AQ148:AQ291)</f>
        <v>-0.22591205168713988</v>
      </c>
      <c r="I592" s="30">
        <f>AVERAGE(AR148:AR291)</f>
        <v>-0.17524863412286337</v>
      </c>
      <c r="J592" s="31">
        <f>AVERAGE(AS148:AS291)</f>
        <v>-0.14418580717006546</v>
      </c>
    </row>
    <row r="593" spans="1:10">
      <c r="A593" s="49"/>
      <c r="B593" s="7" t="s">
        <v>123</v>
      </c>
      <c r="C593" s="35" t="e">
        <f>AVERAGE(AL292:AL435)</f>
        <v>#VALUE!</v>
      </c>
      <c r="D593" s="30" t="e">
        <f t="shared" ref="D593:F593" si="7">AVERAGE(AM292:AM435)</f>
        <v>#VALUE!</v>
      </c>
      <c r="E593" s="30" t="e">
        <f t="shared" si="7"/>
        <v>#VALUE!</v>
      </c>
      <c r="F593" s="30" t="e">
        <f t="shared" si="7"/>
        <v>#VALUE!</v>
      </c>
      <c r="G593" s="35">
        <f>AVERAGE(AP292:AP435)</f>
        <v>-0.20995894391470868</v>
      </c>
      <c r="H593" s="30">
        <f>AVERAGE(AQ292:AQ435)</f>
        <v>-0.2725574145752927</v>
      </c>
      <c r="I593" s="30">
        <f>AVERAGE(AR292:AR435)</f>
        <v>-0.21487229497502183</v>
      </c>
      <c r="J593" s="31">
        <f>AVERAGE(AS292:AS435)</f>
        <v>-0.1880365495831359</v>
      </c>
    </row>
    <row r="594" spans="1:10" ht="15" thickBot="1">
      <c r="A594" s="49"/>
      <c r="B594" s="7" t="s">
        <v>124</v>
      </c>
      <c r="C594" s="35" t="e">
        <f>AVERAGE(AL436:AL579)</f>
        <v>#VALUE!</v>
      </c>
      <c r="D594" s="30" t="e">
        <f t="shared" ref="D594:F594" si="8">AVERAGE(AM436:AM579)</f>
        <v>#VALUE!</v>
      </c>
      <c r="E594" s="30" t="e">
        <f t="shared" si="8"/>
        <v>#VALUE!</v>
      </c>
      <c r="F594" s="30" t="e">
        <f t="shared" si="8"/>
        <v>#VALUE!</v>
      </c>
      <c r="G594" s="35">
        <f>AVERAGE(AP436:AP579)</f>
        <v>-0.16744129795181864</v>
      </c>
      <c r="H594" s="30">
        <f>AVERAGE(AQ436:AQ579)</f>
        <v>-0.21480114320416574</v>
      </c>
      <c r="I594" s="30">
        <f>AVERAGE(AR436:AR579)</f>
        <v>-0.19885102159181425</v>
      </c>
      <c r="J594" s="31">
        <f>AVERAGE(AS436:AS579)</f>
        <v>-0.15498835440906336</v>
      </c>
    </row>
    <row r="595" spans="1:10" ht="15" thickBot="1">
      <c r="A595" s="50"/>
      <c r="B595" s="38" t="s">
        <v>125</v>
      </c>
      <c r="C595" s="34" t="e">
        <f t="shared" ref="C595:J595" si="9">AVERAGE(AL4:AL579)</f>
        <v>#VALUE!</v>
      </c>
      <c r="D595" s="28" t="e">
        <f t="shared" si="9"/>
        <v>#VALUE!</v>
      </c>
      <c r="E595" s="28" t="e">
        <f t="shared" si="9"/>
        <v>#VALUE!</v>
      </c>
      <c r="F595" s="28" t="e">
        <f t="shared" si="9"/>
        <v>#VALUE!</v>
      </c>
      <c r="G595" s="34">
        <f t="shared" si="9"/>
        <v>-0.16545110241370214</v>
      </c>
      <c r="H595" s="28">
        <f t="shared" si="9"/>
        <v>-0.22962665270380522</v>
      </c>
      <c r="I595" s="28">
        <f t="shared" si="9"/>
        <v>-0.1938319098479955</v>
      </c>
      <c r="J595" s="29">
        <f t="shared" si="9"/>
        <v>-0.15408147330577696</v>
      </c>
    </row>
    <row r="596" spans="1:10">
      <c r="A596" s="48" t="s">
        <v>137</v>
      </c>
      <c r="B596" s="15" t="s">
        <v>121</v>
      </c>
      <c r="C596" s="34" t="e">
        <f>AVERAGE(BD4:BD147)</f>
        <v>#VALUE!</v>
      </c>
      <c r="D596" s="28" t="e">
        <f t="shared" ref="D596:F596" si="10">AVERAGE(BE4:BE147)</f>
        <v>#VALUE!</v>
      </c>
      <c r="E596" s="28" t="e">
        <f t="shared" si="10"/>
        <v>#VALUE!</v>
      </c>
      <c r="F596" s="29" t="e">
        <f t="shared" si="10"/>
        <v>#VALUE!</v>
      </c>
      <c r="G596" s="28">
        <f t="shared" ref="G596" si="11">AVERAGE(BH4:BH147)</f>
        <v>0.39319846630506444</v>
      </c>
      <c r="H596" s="28">
        <f t="shared" ref="H596" si="12">AVERAGE(BI4:BI147)</f>
        <v>-0.46407080459534433</v>
      </c>
      <c r="I596" s="28">
        <f t="shared" ref="I596" si="13">AVERAGE(BJ4:BJ147)</f>
        <v>0.50917415651860842</v>
      </c>
      <c r="J596" s="29">
        <f t="shared" ref="J596" si="14">AVERAGE(BK4:BK147)</f>
        <v>-0.42636462971912109</v>
      </c>
    </row>
    <row r="597" spans="1:10">
      <c r="A597" s="49"/>
      <c r="B597" s="7" t="s">
        <v>122</v>
      </c>
      <c r="C597" s="35" t="e">
        <f>AVERAGE(BD148:BD291)</f>
        <v>#VALUE!</v>
      </c>
      <c r="D597" s="30" t="e">
        <f t="shared" ref="D597:F597" si="15">AVERAGE(BE148:BE291)</f>
        <v>#VALUE!</v>
      </c>
      <c r="E597" s="30" t="e">
        <f t="shared" si="15"/>
        <v>#VALUE!</v>
      </c>
      <c r="F597" s="31" t="e">
        <f t="shared" si="15"/>
        <v>#VALUE!</v>
      </c>
      <c r="G597" s="30">
        <f t="shared" ref="G597" si="16">AVERAGE(BH148:BH291)</f>
        <v>0.4547859051752014</v>
      </c>
      <c r="H597" s="30">
        <f t="shared" ref="H597" si="17">AVERAGE(BI148:BI291)</f>
        <v>-0.46940305422207856</v>
      </c>
      <c r="I597" s="30">
        <f t="shared" ref="I597" si="18">AVERAGE(BJ148:BJ291)</f>
        <v>0.54005873142050265</v>
      </c>
      <c r="J597" s="31">
        <f t="shared" ref="J597" si="19">AVERAGE(BK148:BK291)</f>
        <v>-0.41868911158877936</v>
      </c>
    </row>
    <row r="598" spans="1:10">
      <c r="A598" s="49"/>
      <c r="B598" s="7" t="s">
        <v>123</v>
      </c>
      <c r="C598" s="35" t="e">
        <f>AVERAGE(BD292:BD435)</f>
        <v>#VALUE!</v>
      </c>
      <c r="D598" s="30" t="e">
        <f t="shared" ref="D598:F598" si="20">AVERAGE(BE292:BE435)</f>
        <v>#VALUE!</v>
      </c>
      <c r="E598" s="30" t="e">
        <f t="shared" si="20"/>
        <v>#VALUE!</v>
      </c>
      <c r="F598" s="31" t="e">
        <f t="shared" si="20"/>
        <v>#VALUE!</v>
      </c>
      <c r="G598" s="30">
        <f t="shared" ref="G598" si="21">AVERAGE(BH292:BH435)</f>
        <v>0.23146596867175231</v>
      </c>
      <c r="H598" s="30">
        <f t="shared" ref="H598" si="22">AVERAGE(BI292:BI435)</f>
        <v>-0.51732253805488881</v>
      </c>
      <c r="I598" s="30">
        <f t="shared" ref="I598" si="23">AVERAGE(BJ292:BJ435)</f>
        <v>0.29452772570386182</v>
      </c>
      <c r="J598" s="31">
        <f t="shared" ref="J598" si="24">AVERAGE(BK292:BK435)</f>
        <v>-0.44157655460038986</v>
      </c>
    </row>
    <row r="599" spans="1:10" ht="15" thickBot="1">
      <c r="A599" s="49"/>
      <c r="B599" s="7" t="s">
        <v>124</v>
      </c>
      <c r="C599" s="36" t="e">
        <f>AVERAGE(BD436:BD579)</f>
        <v>#VALUE!</v>
      </c>
      <c r="D599" s="32" t="e">
        <f t="shared" ref="D599:F599" si="25">AVERAGE(BE436:BE579)</f>
        <v>#VALUE!</v>
      </c>
      <c r="E599" s="32" t="e">
        <f t="shared" si="25"/>
        <v>#VALUE!</v>
      </c>
      <c r="F599" s="33" t="e">
        <f t="shared" si="25"/>
        <v>#VALUE!</v>
      </c>
      <c r="G599" s="30">
        <f t="shared" ref="G599" si="26">AVERAGE(BH436:BH579)</f>
        <v>0.62699999860980016</v>
      </c>
      <c r="H599" s="30">
        <f t="shared" ref="H599" si="27">AVERAGE(BI436:BI579)</f>
        <v>-0.4806319825000776</v>
      </c>
      <c r="I599" s="30">
        <f t="shared" ref="I599" si="28">AVERAGE(BJ436:BJ579)</f>
        <v>0.52261685392095736</v>
      </c>
      <c r="J599" s="31">
        <f t="shared" ref="J599" si="29">AVERAGE(BK436:BK579)</f>
        <v>-0.44064020793361941</v>
      </c>
    </row>
    <row r="600" spans="1:10" ht="15" thickBot="1">
      <c r="A600" s="50"/>
      <c r="B600" s="38" t="s">
        <v>125</v>
      </c>
      <c r="C600" s="39" t="e">
        <f>AVERAGE(BD4:BD579)</f>
        <v>#VALUE!</v>
      </c>
      <c r="D600" s="40" t="e">
        <f t="shared" ref="D600:F600" si="30">AVERAGE(BE4:BE579)</f>
        <v>#VALUE!</v>
      </c>
      <c r="E600" s="40" t="e">
        <f t="shared" si="30"/>
        <v>#VALUE!</v>
      </c>
      <c r="F600" s="41" t="e">
        <f t="shared" si="30"/>
        <v>#VALUE!</v>
      </c>
      <c r="G600" s="40">
        <f t="shared" ref="G600" si="31">AVERAGE(BH4:BH579)</f>
        <v>0.42661258469045465</v>
      </c>
      <c r="H600" s="40">
        <f t="shared" ref="H600" si="32">AVERAGE(BI4:BI579)</f>
        <v>-0.48285709484309725</v>
      </c>
      <c r="I600" s="40">
        <f t="shared" ref="I600" si="33">AVERAGE(BJ4:BJ579)</f>
        <v>0.46659436689098266</v>
      </c>
      <c r="J600" s="41">
        <f t="shared" ref="J600" si="34">AVERAGE(BK4:BK579)</f>
        <v>-0.43181762596047774</v>
      </c>
    </row>
  </sheetData>
  <mergeCells count="23">
    <mergeCell ref="A596:A600"/>
    <mergeCell ref="A583:J583"/>
    <mergeCell ref="AL1:AS1"/>
    <mergeCell ref="AL2:AO2"/>
    <mergeCell ref="AP2:AS2"/>
    <mergeCell ref="A591:A595"/>
    <mergeCell ref="G584:J584"/>
    <mergeCell ref="AB1:AK1"/>
    <mergeCell ref="C584:F584"/>
    <mergeCell ref="A586:A590"/>
    <mergeCell ref="T1:AA1"/>
    <mergeCell ref="T2:W2"/>
    <mergeCell ref="A292:A435"/>
    <mergeCell ref="A436:A579"/>
    <mergeCell ref="AT1:BC1"/>
    <mergeCell ref="BD1:BK1"/>
    <mergeCell ref="BD2:BG2"/>
    <mergeCell ref="BH2:BK2"/>
    <mergeCell ref="D1:K1"/>
    <mergeCell ref="L1:S1"/>
    <mergeCell ref="X2:AA2"/>
    <mergeCell ref="A4:A147"/>
    <mergeCell ref="A148:A291"/>
  </mergeCells>
  <phoneticPr fontId="2" type="noConversion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F6CEB7-B319-45AF-B931-9B6F6117B5BB}">
  <dimension ref="A1:BK600"/>
  <sheetViews>
    <sheetView tabSelected="1" topLeftCell="A572" workbookViewId="0">
      <selection activeCell="F603" sqref="F603"/>
    </sheetView>
  </sheetViews>
  <sheetFormatPr defaultRowHeight="14.25"/>
  <cols>
    <col min="1" max="1" width="15.125" customWidth="1"/>
    <col min="2" max="2" width="13.5" customWidth="1"/>
    <col min="9" max="9" width="9.875" customWidth="1"/>
    <col min="44" max="44" width="9.5" bestFit="1" customWidth="1"/>
  </cols>
  <sheetData>
    <row r="1" spans="1:63" ht="15" thickBot="1">
      <c r="D1" s="42" t="s">
        <v>2</v>
      </c>
      <c r="E1" s="43"/>
      <c r="F1" s="43"/>
      <c r="G1" s="43"/>
      <c r="H1" s="43"/>
      <c r="I1" s="43"/>
      <c r="J1" s="43"/>
      <c r="K1" s="44"/>
      <c r="L1" s="42" t="s">
        <v>3</v>
      </c>
      <c r="M1" s="43"/>
      <c r="N1" s="43"/>
      <c r="O1" s="43"/>
      <c r="P1" s="43"/>
      <c r="Q1" s="43"/>
      <c r="R1" s="43"/>
      <c r="S1" s="44"/>
      <c r="T1" s="42" t="s">
        <v>4</v>
      </c>
      <c r="U1" s="43"/>
      <c r="V1" s="43"/>
      <c r="W1" s="43"/>
      <c r="X1" s="43"/>
      <c r="Y1" s="43"/>
      <c r="Z1" s="43"/>
      <c r="AA1" s="44"/>
      <c r="AB1" s="42" t="s">
        <v>133</v>
      </c>
      <c r="AC1" s="43"/>
      <c r="AD1" s="43"/>
      <c r="AE1" s="43"/>
      <c r="AF1" s="43"/>
      <c r="AG1" s="43"/>
      <c r="AH1" s="43"/>
      <c r="AI1" s="43"/>
      <c r="AJ1" s="43"/>
      <c r="AK1" s="44"/>
      <c r="AL1" s="42" t="s">
        <v>134</v>
      </c>
      <c r="AM1" s="43"/>
      <c r="AN1" s="43"/>
      <c r="AO1" s="43"/>
      <c r="AP1" s="43"/>
      <c r="AQ1" s="43"/>
      <c r="AR1" s="43"/>
      <c r="AS1" s="44"/>
      <c r="AT1" s="42" t="s">
        <v>132</v>
      </c>
      <c r="AU1" s="43"/>
      <c r="AV1" s="43"/>
      <c r="AW1" s="43"/>
      <c r="AX1" s="43"/>
      <c r="AY1" s="43"/>
      <c r="AZ1" s="43"/>
      <c r="BA1" s="43"/>
      <c r="BB1" s="43"/>
      <c r="BC1" s="44"/>
      <c r="BD1" s="42" t="s">
        <v>135</v>
      </c>
      <c r="BE1" s="43"/>
      <c r="BF1" s="43"/>
      <c r="BG1" s="43"/>
      <c r="BH1" s="43"/>
      <c r="BI1" s="43"/>
      <c r="BJ1" s="43"/>
      <c r="BK1" s="44"/>
    </row>
    <row r="2" spans="1:63">
      <c r="D2" s="4"/>
      <c r="E2" s="5"/>
      <c r="F2" s="5"/>
      <c r="G2" s="5"/>
      <c r="H2" s="5"/>
      <c r="I2" s="5"/>
      <c r="J2" s="5"/>
      <c r="K2" s="6"/>
      <c r="L2" s="4"/>
      <c r="M2" s="5"/>
      <c r="N2" s="5"/>
      <c r="O2" s="5"/>
      <c r="P2" s="5"/>
      <c r="Q2" s="5"/>
      <c r="R2" s="5"/>
      <c r="S2" s="3"/>
      <c r="T2" s="45" t="s">
        <v>5</v>
      </c>
      <c r="U2" s="46"/>
      <c r="V2" s="46"/>
      <c r="W2" s="47"/>
      <c r="X2" s="45" t="s">
        <v>6</v>
      </c>
      <c r="Y2" s="46"/>
      <c r="Z2" s="46"/>
      <c r="AA2" s="47"/>
      <c r="AB2" s="4"/>
      <c r="AC2" s="5"/>
      <c r="AD2" s="5"/>
      <c r="AE2" s="5"/>
      <c r="AF2" s="5"/>
      <c r="AG2" s="5"/>
      <c r="AH2" s="5"/>
      <c r="AI2" s="3"/>
      <c r="AJ2" s="3"/>
      <c r="AK2" s="3"/>
      <c r="AL2" s="45" t="s">
        <v>5</v>
      </c>
      <c r="AM2" s="46"/>
      <c r="AN2" s="46"/>
      <c r="AO2" s="47"/>
      <c r="AP2" s="45" t="s">
        <v>6</v>
      </c>
      <c r="AQ2" s="46"/>
      <c r="AR2" s="46"/>
      <c r="AS2" s="47"/>
      <c r="AT2" s="4"/>
      <c r="AU2" s="5"/>
      <c r="AV2" s="5"/>
      <c r="AW2" s="5"/>
      <c r="AX2" s="5"/>
      <c r="AY2" s="5"/>
      <c r="AZ2" s="5"/>
      <c r="BA2" s="3"/>
      <c r="BB2" s="3"/>
      <c r="BC2" s="3"/>
      <c r="BD2" s="45" t="s">
        <v>5</v>
      </c>
      <c r="BE2" s="46"/>
      <c r="BF2" s="46"/>
      <c r="BG2" s="47"/>
      <c r="BH2" s="45" t="s">
        <v>6</v>
      </c>
      <c r="BI2" s="46"/>
      <c r="BJ2" s="46"/>
      <c r="BK2" s="47"/>
    </row>
    <row r="3" spans="1:63" ht="15" thickBot="1">
      <c r="A3" t="s">
        <v>7</v>
      </c>
      <c r="B3" t="s">
        <v>8</v>
      </c>
      <c r="C3" t="s">
        <v>9</v>
      </c>
      <c r="D3" s="4" t="s">
        <v>0</v>
      </c>
      <c r="E3" s="5" t="s">
        <v>1</v>
      </c>
      <c r="F3" s="5" t="s">
        <v>10</v>
      </c>
      <c r="G3" s="5" t="s">
        <v>11</v>
      </c>
      <c r="H3" s="5" t="s">
        <v>12</v>
      </c>
      <c r="I3" s="5" t="s">
        <v>13</v>
      </c>
      <c r="J3" s="5" t="s">
        <v>14</v>
      </c>
      <c r="K3" s="6" t="s">
        <v>15</v>
      </c>
      <c r="L3" s="4" t="s">
        <v>0</v>
      </c>
      <c r="M3" s="5" t="s">
        <v>1</v>
      </c>
      <c r="N3" s="5" t="s">
        <v>10</v>
      </c>
      <c r="O3" s="5" t="s">
        <v>11</v>
      </c>
      <c r="P3" s="5" t="s">
        <v>12</v>
      </c>
      <c r="Q3" s="5" t="s">
        <v>13</v>
      </c>
      <c r="R3" s="5" t="s">
        <v>14</v>
      </c>
      <c r="S3" s="3" t="s">
        <v>15</v>
      </c>
      <c r="T3" s="24" t="s">
        <v>10</v>
      </c>
      <c r="U3" s="25" t="s">
        <v>11</v>
      </c>
      <c r="V3" s="25" t="s">
        <v>13</v>
      </c>
      <c r="W3" s="26" t="s">
        <v>14</v>
      </c>
      <c r="X3" s="24" t="s">
        <v>10</v>
      </c>
      <c r="Y3" s="25" t="s">
        <v>11</v>
      </c>
      <c r="Z3" s="25" t="s">
        <v>13</v>
      </c>
      <c r="AA3" s="26" t="s">
        <v>14</v>
      </c>
      <c r="AB3" s="4" t="s">
        <v>127</v>
      </c>
      <c r="AC3" s="5" t="s">
        <v>1</v>
      </c>
      <c r="AD3" s="5" t="s">
        <v>10</v>
      </c>
      <c r="AE3" s="5" t="s">
        <v>11</v>
      </c>
      <c r="AF3" s="5" t="s">
        <v>12</v>
      </c>
      <c r="AG3" s="5" t="s">
        <v>13</v>
      </c>
      <c r="AH3" s="5" t="s">
        <v>14</v>
      </c>
      <c r="AI3" s="3" t="s">
        <v>15</v>
      </c>
      <c r="AJ3" s="3" t="s">
        <v>128</v>
      </c>
      <c r="AK3" s="3" t="s">
        <v>129</v>
      </c>
      <c r="AL3" s="4" t="s">
        <v>10</v>
      </c>
      <c r="AM3" s="3" t="s">
        <v>11</v>
      </c>
      <c r="AN3" s="3" t="s">
        <v>13</v>
      </c>
      <c r="AO3" s="6" t="s">
        <v>14</v>
      </c>
      <c r="AP3" s="4" t="s">
        <v>10</v>
      </c>
      <c r="AQ3" s="3" t="s">
        <v>11</v>
      </c>
      <c r="AR3" s="3" t="s">
        <v>13</v>
      </c>
      <c r="AS3" s="6" t="s">
        <v>14</v>
      </c>
      <c r="AT3" s="4" t="s">
        <v>127</v>
      </c>
      <c r="AU3" s="5" t="s">
        <v>1</v>
      </c>
      <c r="AV3" s="5" t="s">
        <v>10</v>
      </c>
      <c r="AW3" s="5" t="s">
        <v>11</v>
      </c>
      <c r="AX3" s="5" t="s">
        <v>12</v>
      </c>
      <c r="AY3" s="5" t="s">
        <v>13</v>
      </c>
      <c r="AZ3" s="5" t="s">
        <v>14</v>
      </c>
      <c r="BA3" s="3" t="s">
        <v>15</v>
      </c>
      <c r="BB3" s="3" t="s">
        <v>128</v>
      </c>
      <c r="BC3" s="3" t="s">
        <v>129</v>
      </c>
      <c r="BD3" s="4" t="s">
        <v>10</v>
      </c>
      <c r="BE3" s="3" t="s">
        <v>11</v>
      </c>
      <c r="BF3" s="3" t="s">
        <v>13</v>
      </c>
      <c r="BG3" s="6" t="s">
        <v>14</v>
      </c>
      <c r="BH3" s="4" t="s">
        <v>10</v>
      </c>
      <c r="BI3" s="3" t="s">
        <v>11</v>
      </c>
      <c r="BJ3" s="3" t="s">
        <v>13</v>
      </c>
      <c r="BK3" s="6" t="s">
        <v>14</v>
      </c>
    </row>
    <row r="4" spans="1:63">
      <c r="A4" s="48" t="s">
        <v>16</v>
      </c>
      <c r="B4" s="15" t="s">
        <v>17</v>
      </c>
      <c r="C4" s="16">
        <v>1.5</v>
      </c>
      <c r="D4" s="15">
        <v>19</v>
      </c>
      <c r="E4" s="19">
        <v>1.35300169100914</v>
      </c>
      <c r="F4" s="19">
        <v>44.894428314424196</v>
      </c>
      <c r="G4" s="19">
        <v>0.99693261667365896</v>
      </c>
      <c r="H4" s="19">
        <v>25.132319474894</v>
      </c>
      <c r="I4" s="19">
        <v>48.120356005489498</v>
      </c>
      <c r="J4" s="19">
        <v>0.99812840178549</v>
      </c>
      <c r="K4" s="20">
        <v>27.277873777931799</v>
      </c>
      <c r="L4" s="15">
        <v>16</v>
      </c>
      <c r="M4" s="19">
        <v>1.42743952458553</v>
      </c>
      <c r="N4" s="19">
        <v>45.596859224816598</v>
      </c>
      <c r="O4" s="19">
        <v>0.99743202388835805</v>
      </c>
      <c r="P4" s="19">
        <v>25.904090205683602</v>
      </c>
      <c r="Q4" s="19">
        <v>48.985511664881997</v>
      </c>
      <c r="R4" s="19">
        <v>0.99845155966667798</v>
      </c>
      <c r="S4" s="20">
        <v>28.101055248299801</v>
      </c>
      <c r="T4" s="21">
        <f>bdrate(E4:E7,F4:F7,M4:M7,N4:N7)</f>
        <v>-0.14515405042739604</v>
      </c>
      <c r="U4" s="22">
        <f>bdrate(E4:E7,H4:H7,M4:M7,P4:P7)</f>
        <v>-0.16521862575263546</v>
      </c>
      <c r="V4" s="22">
        <f>bdrate(E4:E7,I4:I7,M4:M7,Q4:Q7)</f>
        <v>-0.15926353252852343</v>
      </c>
      <c r="W4" s="23">
        <f>bdrate(E4:E7,K4:K7,M4:M7,S4:S7)</f>
        <v>-0.15147778690616831</v>
      </c>
      <c r="X4" s="21">
        <f>bdrate(E6:E9,F6:F9,M6:M9,N6:N9)</f>
        <v>-0.20729788028702756</v>
      </c>
      <c r="Y4" s="22">
        <f>bdrate(E6:E9,H6:H9,M6:M9,P6:P9)</f>
        <v>-0.22048354270467729</v>
      </c>
      <c r="Z4" s="22">
        <f>bdrate(E6:E9,I6:I9,M6:M9,Q6:Q9)</f>
        <v>-0.21297597287154435</v>
      </c>
      <c r="AA4" s="23">
        <f>bdrate(E6:E9,K6:K9,M6:M9,S6:S9)</f>
        <v>-0.18762461522768625</v>
      </c>
      <c r="AB4" s="15">
        <v>256</v>
      </c>
      <c r="AC4" s="19">
        <v>1.09256631255053</v>
      </c>
      <c r="AD4" s="19">
        <v>45.003057576281101</v>
      </c>
      <c r="AE4" s="19">
        <v>0.99748499981580196</v>
      </c>
      <c r="AF4" s="19">
        <v>25.994619788004801</v>
      </c>
      <c r="AG4" s="19">
        <v>47.781126984752198</v>
      </c>
      <c r="AH4" s="19">
        <v>0.99812139478556805</v>
      </c>
      <c r="AI4" s="19">
        <v>27.261644765295198</v>
      </c>
      <c r="AJ4" s="19">
        <v>610.262127161026</v>
      </c>
      <c r="AK4" s="19">
        <v>332.84362983703602</v>
      </c>
      <c r="AL4" s="21">
        <f>bdrate(E4:E7,F4:F7,AC4:AC7,AD4:AD7)</f>
        <v>-0.20950670285512785</v>
      </c>
      <c r="AM4" s="22">
        <f>bdrate(E4:E7,H4:H7,AC4:AC7,AF4:AF7)</f>
        <v>-0.31517156929770784</v>
      </c>
      <c r="AN4" s="22">
        <f>bdrate(E4:E7,I4:I7,AC4:AC7,AG4:AG7)</f>
        <v>-0.15271853488053599</v>
      </c>
      <c r="AO4" s="23">
        <f>bdrate(E4:E7,K4:K7,AC4:AC7,AI4:AI7)</f>
        <v>-0.23277838200773027</v>
      </c>
      <c r="AP4" s="22">
        <f>bdrate(E6:E9,F6:F9,AC6:AC9,AD6:AD9)</f>
        <v>-0.22852453728580546</v>
      </c>
      <c r="AQ4" s="22">
        <f>bdrate(E6:E9,H6:H9,AC6:AC9,AF6:AF9)</f>
        <v>-0.27655482148892874</v>
      </c>
      <c r="AR4" s="22">
        <f>bdrate(E6:E9,I6:I9,AC6:AC9,AG6:AG9)</f>
        <v>-0.16940531547451265</v>
      </c>
      <c r="AS4" s="23">
        <f>bdrate(E6:E9,K6:K9,AC6:AC9,AI6:AI9)</f>
        <v>-0.22706737019123813</v>
      </c>
      <c r="AT4" s="15">
        <v>6.4</v>
      </c>
      <c r="AU4" s="19">
        <v>1.09781559309688</v>
      </c>
      <c r="AV4" s="19">
        <v>43.352530969286597</v>
      </c>
      <c r="AW4" s="19">
        <v>0.99870305383564195</v>
      </c>
      <c r="AX4" s="19">
        <v>28.8707805090703</v>
      </c>
      <c r="AY4" s="19">
        <v>46.180281216525103</v>
      </c>
      <c r="AZ4" s="19">
        <v>0.99911622284368096</v>
      </c>
      <c r="BA4" s="19">
        <v>30.536572281788398</v>
      </c>
      <c r="BB4" s="19">
        <v>982.56636714935303</v>
      </c>
      <c r="BC4" s="19">
        <v>403.56208825111298</v>
      </c>
      <c r="BD4" s="21">
        <f>bdrate(E4:E7,F4:F7,AU4:AU7,AV4:AV7)</f>
        <v>2.4254628398555633E-2</v>
      </c>
      <c r="BE4" s="22">
        <f>bdrate(E4:E7,H4:H7,AU4:AU7,AX4:AX7)</f>
        <v>-0.48814069405300731</v>
      </c>
      <c r="BF4" s="22">
        <f>bdrate(E4:E7,I4:I7,AU4:AU7,AY4:AY7)</f>
        <v>8.7522190778597464E-2</v>
      </c>
      <c r="BG4" s="23">
        <f>bdrate(E4:E7,K4:K7,AU4:AU7,BA4:BA7)</f>
        <v>-0.42234171367292794</v>
      </c>
      <c r="BH4" s="22">
        <f>bdrate(E6:E9,F6:F9,AU6:AU9,AV6:AV9)</f>
        <v>-5.263649674695059E-2</v>
      </c>
      <c r="BI4" s="22">
        <f>bdrate(E6:E9,H6:H9,AU6:AU9,AX6:AX9)</f>
        <v>-0.40111224263621104</v>
      </c>
      <c r="BJ4" s="22">
        <f>bdrate(E6:E9,I6:I9,AU6:AU9,AY6:AY9)</f>
        <v>1.0667747255993065E-2</v>
      </c>
      <c r="BK4" s="23">
        <f>bdrate(E6:E9,K6:K9,AU6:AU9,BA6:BA9)</f>
        <v>-0.3497027975674869</v>
      </c>
    </row>
    <row r="5" spans="1:63">
      <c r="A5" s="49"/>
      <c r="B5" s="7" t="s">
        <v>18</v>
      </c>
      <c r="C5" s="17">
        <v>1</v>
      </c>
      <c r="D5" s="7">
        <v>22</v>
      </c>
      <c r="E5" s="1">
        <v>0.99923041813553504</v>
      </c>
      <c r="F5" s="1">
        <v>43.265080436527299</v>
      </c>
      <c r="G5" s="1">
        <v>0.99607421512008198</v>
      </c>
      <c r="H5" s="1">
        <v>24.0607350199131</v>
      </c>
      <c r="I5" s="1">
        <v>46.442526762987299</v>
      </c>
      <c r="J5" s="1">
        <v>0.99750913600660096</v>
      </c>
      <c r="K5" s="8">
        <v>26.036499852411701</v>
      </c>
      <c r="L5" s="7">
        <v>20</v>
      </c>
      <c r="M5" s="1">
        <v>0.91041246111688501</v>
      </c>
      <c r="N5" s="1">
        <v>43.416164317303199</v>
      </c>
      <c r="O5" s="1">
        <v>0.996220229280953</v>
      </c>
      <c r="P5" s="1">
        <v>24.2253454367413</v>
      </c>
      <c r="Q5" s="1">
        <v>46.717701334164303</v>
      </c>
      <c r="R5" s="1">
        <v>0.99756461433745702</v>
      </c>
      <c r="S5" s="8">
        <v>26.1343225504408</v>
      </c>
      <c r="T5" s="7"/>
      <c r="U5" s="1"/>
      <c r="V5" s="1"/>
      <c r="W5" s="8"/>
      <c r="X5" s="7"/>
      <c r="Y5" s="1"/>
      <c r="Z5" s="1"/>
      <c r="AA5" s="8"/>
      <c r="AB5" s="7">
        <v>128</v>
      </c>
      <c r="AC5" s="1">
        <v>0.77312586106447501</v>
      </c>
      <c r="AD5" s="1">
        <v>43.2221493898627</v>
      </c>
      <c r="AE5" s="1">
        <v>0.99666528120088405</v>
      </c>
      <c r="AF5" s="1">
        <v>24.769407821795799</v>
      </c>
      <c r="AG5" s="1">
        <v>46.007855191624103</v>
      </c>
      <c r="AH5" s="1">
        <v>0.99755058268445096</v>
      </c>
      <c r="AI5" s="1">
        <v>26.109372163452701</v>
      </c>
      <c r="AJ5" s="1">
        <v>639.41099858283997</v>
      </c>
      <c r="AK5" s="1">
        <v>351.23868083953801</v>
      </c>
      <c r="AL5" s="7"/>
      <c r="AM5" s="1"/>
      <c r="AN5" s="1"/>
      <c r="AO5" s="8"/>
      <c r="AP5" s="1"/>
      <c r="AQ5" s="1"/>
      <c r="AR5" s="1"/>
      <c r="AS5" s="8"/>
      <c r="AT5" s="7">
        <v>3.2</v>
      </c>
      <c r="AU5" s="1">
        <v>0.82387137176913305</v>
      </c>
      <c r="AV5" s="1">
        <v>41.757517354182802</v>
      </c>
      <c r="AW5" s="1">
        <v>0.99799993206136195</v>
      </c>
      <c r="AX5" s="1">
        <v>26.989552518988699</v>
      </c>
      <c r="AY5" s="1">
        <v>44.6153410512512</v>
      </c>
      <c r="AZ5" s="1">
        <v>0.99859679262320999</v>
      </c>
      <c r="BA5" s="1">
        <v>28.5287814084617</v>
      </c>
      <c r="BB5" s="1">
        <v>808.84275460243202</v>
      </c>
      <c r="BC5" s="1">
        <v>363.00763988494799</v>
      </c>
      <c r="BD5" s="7"/>
      <c r="BE5" s="1"/>
      <c r="BF5" s="1"/>
      <c r="BG5" s="8"/>
      <c r="BH5" s="1"/>
      <c r="BI5" s="1"/>
      <c r="BJ5" s="1"/>
      <c r="BK5" s="8"/>
    </row>
    <row r="6" spans="1:63">
      <c r="A6" s="49"/>
      <c r="B6" s="7" t="s">
        <v>18</v>
      </c>
      <c r="C6" s="17">
        <v>0.5</v>
      </c>
      <c r="D6" s="7">
        <v>29</v>
      </c>
      <c r="E6" s="1">
        <v>0.46427923462513299</v>
      </c>
      <c r="F6" s="1">
        <v>39.190290412262797</v>
      </c>
      <c r="G6" s="1">
        <v>0.99211546102627701</v>
      </c>
      <c r="H6" s="1">
        <v>21.032236957430602</v>
      </c>
      <c r="I6" s="1">
        <v>42.381068682674297</v>
      </c>
      <c r="J6" s="1">
        <v>0.99482697847419399</v>
      </c>
      <c r="K6" s="8">
        <v>22.8625571441539</v>
      </c>
      <c r="L6" s="7">
        <v>26</v>
      </c>
      <c r="M6" s="1">
        <v>0.46594724137260202</v>
      </c>
      <c r="N6" s="1">
        <v>40.076723709133198</v>
      </c>
      <c r="O6" s="1">
        <v>0.99345111882549397</v>
      </c>
      <c r="P6" s="1">
        <v>21.838328895108202</v>
      </c>
      <c r="Q6" s="1">
        <v>43.329245960803298</v>
      </c>
      <c r="R6" s="1">
        <v>0.99569903757425404</v>
      </c>
      <c r="S6" s="8">
        <v>23.664343515316101</v>
      </c>
      <c r="T6" s="7"/>
      <c r="U6" s="1"/>
      <c r="V6" s="1"/>
      <c r="W6" s="8"/>
      <c r="X6" s="7"/>
      <c r="Y6" s="1"/>
      <c r="Z6" s="1"/>
      <c r="AA6" s="8"/>
      <c r="AB6" s="7">
        <v>64</v>
      </c>
      <c r="AC6" s="1">
        <v>0.55371818244955395</v>
      </c>
      <c r="AD6" s="1">
        <v>41.306560047605799</v>
      </c>
      <c r="AE6" s="1">
        <v>0.99535369680218599</v>
      </c>
      <c r="AF6" s="1">
        <v>23.328924534163001</v>
      </c>
      <c r="AG6" s="1">
        <v>44.1272022870806</v>
      </c>
      <c r="AH6" s="1">
        <v>0.99667648121859098</v>
      </c>
      <c r="AI6" s="1">
        <v>24.784018626581901</v>
      </c>
      <c r="AJ6" s="1">
        <v>408.80707073211602</v>
      </c>
      <c r="AK6" s="1">
        <v>220.50308394432</v>
      </c>
      <c r="AL6" s="7"/>
      <c r="AM6" s="1"/>
      <c r="AN6" s="1"/>
      <c r="AO6" s="8"/>
      <c r="AP6" s="1"/>
      <c r="AQ6" s="1"/>
      <c r="AR6" s="1"/>
      <c r="AS6" s="8"/>
      <c r="AT6" s="7">
        <v>1.28</v>
      </c>
      <c r="AU6" s="1">
        <v>0.52883772280985097</v>
      </c>
      <c r="AV6" s="1">
        <v>39.718365311920401</v>
      </c>
      <c r="AW6" s="1">
        <v>0.99640782858690302</v>
      </c>
      <c r="AX6" s="1">
        <v>24.446429476211701</v>
      </c>
      <c r="AY6" s="1">
        <v>42.597147697882697</v>
      </c>
      <c r="AZ6" s="1">
        <v>0.99738092465542005</v>
      </c>
      <c r="BA6" s="1">
        <v>25.8185200777394</v>
      </c>
      <c r="BB6" s="1">
        <v>792.53166127204895</v>
      </c>
      <c r="BC6" s="1">
        <v>320.78526806831297</v>
      </c>
      <c r="BD6" s="7"/>
      <c r="BE6" s="1"/>
      <c r="BF6" s="1"/>
      <c r="BG6" s="8"/>
      <c r="BH6" s="1"/>
      <c r="BI6" s="1"/>
      <c r="BJ6" s="1"/>
      <c r="BK6" s="8"/>
    </row>
    <row r="7" spans="1:63">
      <c r="A7" s="49"/>
      <c r="B7" s="7" t="s">
        <v>19</v>
      </c>
      <c r="C7" s="17">
        <v>0.25</v>
      </c>
      <c r="D7" s="7">
        <v>35</v>
      </c>
      <c r="E7" s="1">
        <v>0.24301982592287499</v>
      </c>
      <c r="F7" s="1">
        <v>35.8922289049993</v>
      </c>
      <c r="G7" s="1">
        <v>0.98440875634963398</v>
      </c>
      <c r="H7" s="1">
        <v>18.071192415174099</v>
      </c>
      <c r="I7" s="1">
        <v>39.1531718657087</v>
      </c>
      <c r="J7" s="1">
        <v>0.98957016226675198</v>
      </c>
      <c r="K7" s="8">
        <v>19.8172244824685</v>
      </c>
      <c r="L7" s="7">
        <v>32</v>
      </c>
      <c r="M7" s="1">
        <v>0.23661524804610801</v>
      </c>
      <c r="N7" s="1">
        <v>36.881227796835198</v>
      </c>
      <c r="O7" s="1">
        <v>0.98747929364855802</v>
      </c>
      <c r="P7" s="1">
        <v>19.023711698571901</v>
      </c>
      <c r="Q7" s="1">
        <v>40.159771985545902</v>
      </c>
      <c r="R7" s="1">
        <v>0.99140290159645705</v>
      </c>
      <c r="S7" s="8">
        <v>20.656481022403501</v>
      </c>
      <c r="T7" s="7"/>
      <c r="U7" s="1"/>
      <c r="V7" s="1"/>
      <c r="W7" s="8"/>
      <c r="X7" s="7"/>
      <c r="Y7" s="1"/>
      <c r="Z7" s="1"/>
      <c r="AA7" s="8"/>
      <c r="AB7" s="7">
        <v>16</v>
      </c>
      <c r="AC7" s="1">
        <v>0.27751070258719202</v>
      </c>
      <c r="AD7" s="1">
        <v>37.803966461743798</v>
      </c>
      <c r="AE7" s="1">
        <v>0.99033253750808803</v>
      </c>
      <c r="AF7" s="1">
        <v>20.146875042393599</v>
      </c>
      <c r="AG7" s="1">
        <v>40.671439294093801</v>
      </c>
      <c r="AH7" s="1">
        <v>0.99313121519809</v>
      </c>
      <c r="AI7" s="1">
        <v>21.6312008979727</v>
      </c>
      <c r="AJ7" s="1">
        <v>950.83232903480496</v>
      </c>
      <c r="AK7" s="1">
        <v>218.23612809181199</v>
      </c>
      <c r="AL7" s="7"/>
      <c r="AM7" s="1"/>
      <c r="AN7" s="1"/>
      <c r="AO7" s="8"/>
      <c r="AP7" s="1"/>
      <c r="AQ7" s="1"/>
      <c r="AR7" s="1"/>
      <c r="AS7" s="8"/>
      <c r="AT7" s="7">
        <v>0.32</v>
      </c>
      <c r="AU7" s="1">
        <v>0.25450416184399</v>
      </c>
      <c r="AV7" s="1">
        <v>36.6801895247267</v>
      </c>
      <c r="AW7" s="1">
        <v>0.99213465117622401</v>
      </c>
      <c r="AX7" s="1">
        <v>21.042820118987301</v>
      </c>
      <c r="AY7" s="1">
        <v>39.614370910128002</v>
      </c>
      <c r="AZ7" s="1">
        <v>0.99419832769708505</v>
      </c>
      <c r="BA7" s="1">
        <v>22.364468051878401</v>
      </c>
      <c r="BB7" s="1">
        <v>404.43513417243901</v>
      </c>
      <c r="BC7" s="1">
        <v>274.47332787513699</v>
      </c>
      <c r="BD7" s="7"/>
      <c r="BE7" s="1"/>
      <c r="BF7" s="1"/>
      <c r="BG7" s="8"/>
      <c r="BH7" s="1"/>
      <c r="BI7" s="1"/>
      <c r="BJ7" s="1"/>
      <c r="BK7" s="8"/>
    </row>
    <row r="8" spans="1:63">
      <c r="A8" s="49"/>
      <c r="B8" s="7" t="s">
        <v>18</v>
      </c>
      <c r="C8" s="17">
        <v>0.12</v>
      </c>
      <c r="D8" s="7">
        <v>41</v>
      </c>
      <c r="E8" s="1">
        <v>0.11842907077187199</v>
      </c>
      <c r="F8" s="1">
        <v>32.3600864604647</v>
      </c>
      <c r="G8" s="1">
        <v>0.96677953562282903</v>
      </c>
      <c r="H8" s="1">
        <v>14.785943009925999</v>
      </c>
      <c r="I8" s="1">
        <v>35.659989806949497</v>
      </c>
      <c r="J8" s="1">
        <v>0.97675870718638003</v>
      </c>
      <c r="K8" s="8">
        <v>16.3373971766704</v>
      </c>
      <c r="L8" s="7">
        <v>38</v>
      </c>
      <c r="M8" s="1">
        <v>0.118559245118961</v>
      </c>
      <c r="N8" s="1">
        <v>33.495276357365597</v>
      </c>
      <c r="O8" s="1">
        <v>0.97452444551247297</v>
      </c>
      <c r="P8" s="1">
        <v>15.9387635459327</v>
      </c>
      <c r="Q8" s="1">
        <v>36.824945717675803</v>
      </c>
      <c r="R8" s="1">
        <v>0.98164265357925895</v>
      </c>
      <c r="S8" s="8">
        <v>17.361900964527901</v>
      </c>
      <c r="T8" s="7"/>
      <c r="U8" s="1"/>
      <c r="V8" s="1"/>
      <c r="W8" s="8"/>
      <c r="X8" s="7"/>
      <c r="Y8" s="1"/>
      <c r="Z8" s="1"/>
      <c r="AA8" s="8"/>
      <c r="AB8" s="7">
        <v>4</v>
      </c>
      <c r="AC8" s="1">
        <v>0.14385241660909201</v>
      </c>
      <c r="AD8" s="1">
        <v>34.6172668963832</v>
      </c>
      <c r="AE8" s="1">
        <v>0.98063278461252101</v>
      </c>
      <c r="AF8" s="1">
        <v>17.129328175249402</v>
      </c>
      <c r="AG8" s="1">
        <v>37.537136251015298</v>
      </c>
      <c r="AH8" s="1">
        <v>0.985950224152364</v>
      </c>
      <c r="AI8" s="1">
        <v>18.523306045070399</v>
      </c>
      <c r="AJ8" s="1">
        <v>736.90933370590199</v>
      </c>
      <c r="AK8" s="1">
        <v>433.72199344634998</v>
      </c>
      <c r="AL8" s="7"/>
      <c r="AM8" s="1"/>
      <c r="AN8" s="1"/>
      <c r="AO8" s="8"/>
      <c r="AP8" s="1"/>
      <c r="AQ8" s="1"/>
      <c r="AR8" s="1"/>
      <c r="AS8" s="8"/>
      <c r="AT8" s="7">
        <v>0.08</v>
      </c>
      <c r="AU8" s="1">
        <v>0.137506417188516</v>
      </c>
      <c r="AV8" s="1">
        <v>33.104524616803602</v>
      </c>
      <c r="AW8" s="1">
        <v>0.98254596296005303</v>
      </c>
      <c r="AX8" s="1">
        <v>17.5810410673372</v>
      </c>
      <c r="AY8" s="1">
        <v>36.120021736073198</v>
      </c>
      <c r="AZ8" s="1">
        <v>0.98717847492761901</v>
      </c>
      <c r="BA8" s="1">
        <v>18.9206031404287</v>
      </c>
      <c r="BB8" s="1">
        <v>319.17707228660498</v>
      </c>
      <c r="BC8" s="1">
        <v>213.76704668998701</v>
      </c>
      <c r="BD8" s="7"/>
      <c r="BE8" s="1"/>
      <c r="BF8" s="1"/>
      <c r="BG8" s="8"/>
      <c r="BH8" s="1"/>
      <c r="BI8" s="1"/>
      <c r="BJ8" s="1"/>
      <c r="BK8" s="8"/>
    </row>
    <row r="9" spans="1:63">
      <c r="A9" s="49"/>
      <c r="B9" s="7" t="s">
        <v>18</v>
      </c>
      <c r="C9" s="17">
        <v>0.06</v>
      </c>
      <c r="D9" s="7">
        <v>46</v>
      </c>
      <c r="E9" s="1">
        <v>5.8595615535686998E-2</v>
      </c>
      <c r="F9" s="1">
        <v>29.406569631615799</v>
      </c>
      <c r="G9" s="1">
        <v>0.93743734259403999</v>
      </c>
      <c r="H9" s="1">
        <v>12.0368481250202</v>
      </c>
      <c r="I9" s="1">
        <v>32.704158070368102</v>
      </c>
      <c r="J9" s="1">
        <v>0.95306184136580196</v>
      </c>
      <c r="K9" s="8">
        <v>13.2847395160774</v>
      </c>
      <c r="L9" s="7">
        <v>44</v>
      </c>
      <c r="M9" s="1">
        <v>5.3140718691091E-2</v>
      </c>
      <c r="N9" s="1">
        <v>30.028950947886901</v>
      </c>
      <c r="O9" s="1">
        <v>0.94600426274973504</v>
      </c>
      <c r="P9" s="1">
        <v>12.676405246541</v>
      </c>
      <c r="Q9" s="1">
        <v>33.324933109032401</v>
      </c>
      <c r="R9" s="1">
        <v>0.95761563420667295</v>
      </c>
      <c r="S9" s="8">
        <v>13.7279431090278</v>
      </c>
      <c r="T9" s="7"/>
      <c r="U9" s="1"/>
      <c r="V9" s="1"/>
      <c r="W9" s="8"/>
      <c r="X9" s="7"/>
      <c r="Y9" s="1"/>
      <c r="Z9" s="1"/>
      <c r="AA9" s="8"/>
      <c r="AB9" s="7">
        <v>2</v>
      </c>
      <c r="AC9" s="1">
        <v>9.5554183629703096E-2</v>
      </c>
      <c r="AD9" s="1">
        <v>32.615990169912003</v>
      </c>
      <c r="AE9" s="1">
        <v>0.97082584741393196</v>
      </c>
      <c r="AF9" s="1">
        <v>15.3500174993691</v>
      </c>
      <c r="AG9" s="1">
        <v>35.543774631859101</v>
      </c>
      <c r="AH9" s="1">
        <v>0.97846178441610798</v>
      </c>
      <c r="AI9" s="1">
        <v>16.667902803402999</v>
      </c>
      <c r="AJ9" s="1">
        <v>434.440069198608</v>
      </c>
      <c r="AK9" s="1">
        <v>322.76748728752102</v>
      </c>
      <c r="AL9" s="7"/>
      <c r="AM9" s="1"/>
      <c r="AN9" s="1"/>
      <c r="AO9" s="8"/>
      <c r="AP9" s="1"/>
      <c r="AQ9" s="1"/>
      <c r="AR9" s="1"/>
      <c r="AS9" s="8"/>
      <c r="AT9" s="7">
        <v>0.04</v>
      </c>
      <c r="AU9" s="1">
        <v>9.1643036201264003E-2</v>
      </c>
      <c r="AV9" s="1">
        <v>31.2559020971607</v>
      </c>
      <c r="AW9" s="1">
        <v>0.974334949919752</v>
      </c>
      <c r="AX9" s="1">
        <v>15.906578839629701</v>
      </c>
      <c r="AY9" s="1">
        <v>34.233932194905897</v>
      </c>
      <c r="AZ9" s="1">
        <v>0.98090743049472695</v>
      </c>
      <c r="BA9" s="1">
        <v>17.191356197013299</v>
      </c>
      <c r="BB9" s="1">
        <v>422.26666164398102</v>
      </c>
      <c r="BC9" s="1">
        <v>331.55046296119599</v>
      </c>
      <c r="BD9" s="7"/>
      <c r="BE9" s="1"/>
      <c r="BF9" s="1"/>
      <c r="BG9" s="8"/>
      <c r="BH9" s="1"/>
      <c r="BI9" s="1"/>
      <c r="BJ9" s="1"/>
      <c r="BK9" s="8"/>
    </row>
    <row r="10" spans="1:63">
      <c r="A10" s="49"/>
      <c r="B10" s="7" t="s">
        <v>20</v>
      </c>
      <c r="C10" s="17">
        <v>1.5</v>
      </c>
      <c r="D10" s="7">
        <v>25</v>
      </c>
      <c r="E10" s="1">
        <v>1.3616280000000001</v>
      </c>
      <c r="F10" s="1">
        <v>38.7832325219795</v>
      </c>
      <c r="G10" s="1">
        <v>0.99112872487830095</v>
      </c>
      <c r="H10" s="1">
        <v>20.520139519251401</v>
      </c>
      <c r="I10" s="1">
        <v>41.819221817080901</v>
      </c>
      <c r="J10" s="1">
        <v>0.99428442542873596</v>
      </c>
      <c r="K10" s="8">
        <v>22.429401046236499</v>
      </c>
      <c r="L10" s="7">
        <v>22</v>
      </c>
      <c r="M10" s="1">
        <v>1.46082166666666</v>
      </c>
      <c r="N10" s="1">
        <v>40.064147077452198</v>
      </c>
      <c r="O10" s="1">
        <v>0.99319538317529199</v>
      </c>
      <c r="P10" s="1">
        <v>21.671963253615299</v>
      </c>
      <c r="Q10" s="1">
        <v>43.130127960434201</v>
      </c>
      <c r="R10" s="1">
        <v>0.99568203846710301</v>
      </c>
      <c r="S10" s="8">
        <v>23.647212309516199</v>
      </c>
      <c r="T10" s="13">
        <f>bdrate(E10:E13,F10:F13,M10:M13,N10:N13)</f>
        <v>-0.19160814826676054</v>
      </c>
      <c r="U10" s="12">
        <f>bdrate(E10:E13,H10:H13,M10:M13,P10:P13)</f>
        <v>-0.16337855560859182</v>
      </c>
      <c r="V10" s="12">
        <f>bdrate(E10:E13,I10:I13,M10:M13,Q10:Q13)</f>
        <v>-0.19442478918909722</v>
      </c>
      <c r="W10" s="14">
        <f>bdrate(E10:E13,K10:K13,M10:M13,S10:S13)</f>
        <v>-0.14042761234637036</v>
      </c>
      <c r="X10" s="13">
        <f>bdrate(E12:E15,F12:F15,M12:M15,N12:N15)</f>
        <v>-0.30452636994178428</v>
      </c>
      <c r="Y10" s="12">
        <f>bdrate(E12:E15,H12:H15,M12:M15,P12:P15)</f>
        <v>-0.25690705876229525</v>
      </c>
      <c r="Z10" s="12">
        <f>bdrate(E12:E15,I12:I15,M12:M15,Q12:Q15)</f>
        <v>-0.31027127264539567</v>
      </c>
      <c r="AA10" s="14">
        <f>bdrate(E12:E15,K12:K15,M12:M15,S12:S15)</f>
        <v>-0.22370283700137594</v>
      </c>
      <c r="AB10" s="7">
        <v>128</v>
      </c>
      <c r="AC10" s="1">
        <v>1.6001179999999999</v>
      </c>
      <c r="AD10" s="1">
        <v>40.709829964065001</v>
      </c>
      <c r="AE10" s="1">
        <v>0.99500295360693203</v>
      </c>
      <c r="AF10" s="1">
        <v>23.012866185062101</v>
      </c>
      <c r="AG10" s="1">
        <v>43.492677121326999</v>
      </c>
      <c r="AH10" s="1">
        <v>0.99652312258978903</v>
      </c>
      <c r="AI10" s="1">
        <v>24.588106216571099</v>
      </c>
      <c r="AJ10" s="1">
        <v>595.32627010345402</v>
      </c>
      <c r="AK10" s="1">
        <v>303.72120618820099</v>
      </c>
      <c r="AL10" s="13">
        <f>bdrate(E10:E13,F10:F13,AC10:AC13,AD10:AD13)</f>
        <v>-0.11034802601798543</v>
      </c>
      <c r="AM10" s="12">
        <f>bdrate(E10:E13,H10:H13,AC10:AC13,AF10:AF13)</f>
        <v>-0.19363973482429897</v>
      </c>
      <c r="AN10" s="12">
        <f>bdrate(E10:E13,I10:I13,AC10:AC13,AG10:AG13)</f>
        <v>-6.1176818839158154E-2</v>
      </c>
      <c r="AO10" s="14">
        <f>bdrate(E10:E13,K10:K13,AC10:AC13,AI10:AI13)</f>
        <v>-0.13466039274610009</v>
      </c>
      <c r="AP10" s="12">
        <f>bdrate(E12:E15,F12:F15,AC12:AC15,AD12:AD15)</f>
        <v>-0.122074967504198</v>
      </c>
      <c r="AQ10" s="12">
        <f>bdrate(E12:E15,H12:H15,AC12:AC15,AF12:AF15)</f>
        <v>-0.22264297652197695</v>
      </c>
      <c r="AR10" s="12">
        <f>bdrate(E12:E15,I12:I15,AC12:AC15,AG12:AG15)</f>
        <v>-7.3445088965967131E-2</v>
      </c>
      <c r="AS10" s="14">
        <f>bdrate(E12:E15,K12:K15,AC12:AC15,AI12:AI15)</f>
        <v>-0.16663372717855651</v>
      </c>
      <c r="AT10" s="7">
        <v>3.2</v>
      </c>
      <c r="AU10" s="1">
        <v>1.4127110000000001</v>
      </c>
      <c r="AV10" s="1">
        <v>37.379803960113698</v>
      </c>
      <c r="AW10" s="1">
        <v>0.99704900716171796</v>
      </c>
      <c r="AX10" s="1">
        <v>25.300318444813101</v>
      </c>
      <c r="AY10" s="1">
        <v>40.226786314767601</v>
      </c>
      <c r="AZ10" s="1">
        <v>0.99781844057311297</v>
      </c>
      <c r="BA10" s="1">
        <v>26.6123295209382</v>
      </c>
      <c r="BB10" s="1">
        <v>1427.0645105838701</v>
      </c>
      <c r="BC10" s="1">
        <v>441.84643578529301</v>
      </c>
      <c r="BD10" s="13">
        <f>bdrate(E10:E13,F10:F13,AU10:AU13,AV10:AV13)</f>
        <v>0.60493941209787305</v>
      </c>
      <c r="BE10" s="12">
        <f>bdrate(E10:E13,H10:H13,AU10:AU13,AX10:AX13)</f>
        <v>-0.52888678122195876</v>
      </c>
      <c r="BF10" s="12">
        <f>bdrate(E10:E13,I10:I13,AU10:AU13,AY10:AY13)</f>
        <v>0.65081338522891197</v>
      </c>
      <c r="BG10" s="14">
        <f>bdrate(E10:E13,K10:K13,AU10:AU13,BA10:BA13)</f>
        <v>-0.48204300281313961</v>
      </c>
      <c r="BH10" s="12">
        <f>bdrate(E12:E15,F12:F15,AU12:AU15,AV12:AV15)</f>
        <v>0.67744418175070176</v>
      </c>
      <c r="BI10" s="12">
        <f>bdrate(E12:E15,H12:H15,AU12:AU15,AX12:AX15)</f>
        <v>-0.53653429125783636</v>
      </c>
      <c r="BJ10" s="12">
        <f>bdrate(E12:E15,I12:I15,AU12:AU15,AY12:AY15)</f>
        <v>0.72883393776337546</v>
      </c>
      <c r="BK10" s="14">
        <f>bdrate(E12:E15,K12:K15,AU12:AU15,BA12:BA15)</f>
        <v>-0.50986156108662772</v>
      </c>
    </row>
    <row r="11" spans="1:63">
      <c r="A11" s="49"/>
      <c r="B11" s="7" t="s">
        <v>18</v>
      </c>
      <c r="C11" s="17">
        <v>1</v>
      </c>
      <c r="D11" s="7">
        <v>28</v>
      </c>
      <c r="E11" s="1">
        <v>0.87215799999999999</v>
      </c>
      <c r="F11" s="1">
        <v>36.597576413648397</v>
      </c>
      <c r="G11" s="1">
        <v>0.98492537749612996</v>
      </c>
      <c r="H11" s="1">
        <v>18.217535545800999</v>
      </c>
      <c r="I11" s="1">
        <v>39.570381081453</v>
      </c>
      <c r="J11" s="1">
        <v>0.98923819286692705</v>
      </c>
      <c r="K11" s="8">
        <v>19.681147953960799</v>
      </c>
      <c r="L11" s="7">
        <v>25</v>
      </c>
      <c r="M11" s="1">
        <v>0.96985600000000005</v>
      </c>
      <c r="N11" s="1">
        <v>37.9028686952878</v>
      </c>
      <c r="O11" s="1">
        <v>0.98861298784218499</v>
      </c>
      <c r="P11" s="1">
        <v>19.435902156573601</v>
      </c>
      <c r="Q11" s="1">
        <v>40.901308546075299</v>
      </c>
      <c r="R11" s="1">
        <v>0.99200080987329797</v>
      </c>
      <c r="S11" s="8">
        <v>20.969539806716899</v>
      </c>
      <c r="T11" s="7"/>
      <c r="U11" s="1"/>
      <c r="V11" s="1"/>
      <c r="W11" s="8"/>
      <c r="X11" s="7"/>
      <c r="Y11" s="1"/>
      <c r="Z11" s="1"/>
      <c r="AA11" s="8"/>
      <c r="AB11" s="7">
        <v>64</v>
      </c>
      <c r="AC11" s="1">
        <v>1.101739</v>
      </c>
      <c r="AD11" s="1">
        <v>38.311686428626203</v>
      </c>
      <c r="AE11" s="1">
        <v>0.99133104526743598</v>
      </c>
      <c r="AF11" s="1">
        <v>20.620332648359799</v>
      </c>
      <c r="AG11" s="1">
        <v>41.062867254996497</v>
      </c>
      <c r="AH11" s="1">
        <v>0.99361632050327497</v>
      </c>
      <c r="AI11" s="1">
        <v>21.9492892558874</v>
      </c>
      <c r="AJ11" s="1">
        <v>386.39159584045399</v>
      </c>
      <c r="AK11" s="1">
        <v>194.06362223625101</v>
      </c>
      <c r="AL11" s="7"/>
      <c r="AM11" s="1"/>
      <c r="AN11" s="1"/>
      <c r="AO11" s="8"/>
      <c r="AP11" s="1"/>
      <c r="AQ11" s="1"/>
      <c r="AR11" s="1"/>
      <c r="AS11" s="8"/>
      <c r="AT11" s="7">
        <v>1.28</v>
      </c>
      <c r="AU11" s="1">
        <v>0.92269633333333301</v>
      </c>
      <c r="AV11" s="1">
        <v>35.034712762984398</v>
      </c>
      <c r="AW11" s="1">
        <v>0.99428983071439803</v>
      </c>
      <c r="AX11" s="1">
        <v>22.4335101632287</v>
      </c>
      <c r="AY11" s="1">
        <v>37.882789398993701</v>
      </c>
      <c r="AZ11" s="1">
        <v>0.99562754894091898</v>
      </c>
      <c r="BA11" s="1">
        <v>23.5927504288763</v>
      </c>
      <c r="BB11" s="1">
        <v>982.71237254142704</v>
      </c>
      <c r="BC11" s="1">
        <v>384.10115742683399</v>
      </c>
      <c r="BD11" s="7"/>
      <c r="BE11" s="1"/>
      <c r="BF11" s="1"/>
      <c r="BG11" s="8"/>
      <c r="BH11" s="1"/>
      <c r="BI11" s="1"/>
      <c r="BJ11" s="1"/>
      <c r="BK11" s="8"/>
    </row>
    <row r="12" spans="1:63">
      <c r="A12" s="49"/>
      <c r="B12" s="7" t="s">
        <v>18</v>
      </c>
      <c r="C12" s="17">
        <v>0.5</v>
      </c>
      <c r="D12" s="7">
        <v>32</v>
      </c>
      <c r="E12" s="1">
        <v>0.43616233333333299</v>
      </c>
      <c r="F12" s="1">
        <v>34.101541494680603</v>
      </c>
      <c r="G12" s="1">
        <v>0.97075652941935597</v>
      </c>
      <c r="H12" s="1">
        <v>15.339710870979101</v>
      </c>
      <c r="I12" s="1">
        <v>37.0478868311125</v>
      </c>
      <c r="J12" s="1">
        <v>0.97694494752773997</v>
      </c>
      <c r="K12" s="8">
        <v>16.372338850087999</v>
      </c>
      <c r="L12" s="7">
        <v>29</v>
      </c>
      <c r="M12" s="1">
        <v>0.497049666666666</v>
      </c>
      <c r="N12" s="1">
        <v>35.266823987422001</v>
      </c>
      <c r="O12" s="1">
        <v>0.97792651513115803</v>
      </c>
      <c r="P12" s="1">
        <v>16.561290968413999</v>
      </c>
      <c r="Q12" s="1">
        <v>38.245356999155398</v>
      </c>
      <c r="R12" s="1">
        <v>0.98278950211632299</v>
      </c>
      <c r="S12" s="8">
        <v>17.642065657557801</v>
      </c>
      <c r="T12" s="7"/>
      <c r="U12" s="1"/>
      <c r="V12" s="1"/>
      <c r="W12" s="8"/>
      <c r="X12" s="7"/>
      <c r="Y12" s="1"/>
      <c r="Z12" s="1"/>
      <c r="AA12" s="8"/>
      <c r="AB12" s="7">
        <v>16</v>
      </c>
      <c r="AC12" s="1">
        <v>0.41717100000000001</v>
      </c>
      <c r="AD12" s="1">
        <v>34.2673732338395</v>
      </c>
      <c r="AE12" s="1">
        <v>0.97440262501424801</v>
      </c>
      <c r="AF12" s="1">
        <v>15.9180456936221</v>
      </c>
      <c r="AG12" s="1">
        <v>37.024356084918402</v>
      </c>
      <c r="AH12" s="1">
        <v>0.97891592703503905</v>
      </c>
      <c r="AI12" s="1">
        <v>16.760454895058</v>
      </c>
      <c r="AJ12" s="1">
        <v>378.57961153984002</v>
      </c>
      <c r="AK12" s="1">
        <v>236.64944028854299</v>
      </c>
      <c r="AL12" s="7"/>
      <c r="AM12" s="1"/>
      <c r="AN12" s="1"/>
      <c r="AO12" s="8"/>
      <c r="AP12" s="1"/>
      <c r="AQ12" s="1"/>
      <c r="AR12" s="1"/>
      <c r="AS12" s="8"/>
      <c r="AT12" s="7">
        <v>0.32</v>
      </c>
      <c r="AU12" s="1">
        <v>0.458892666666666</v>
      </c>
      <c r="AV12" s="1">
        <v>32.445301080867999</v>
      </c>
      <c r="AW12" s="1">
        <v>0.98670074590136903</v>
      </c>
      <c r="AX12" s="1">
        <v>18.761727161707199</v>
      </c>
      <c r="AY12" s="1">
        <v>35.290062300607801</v>
      </c>
      <c r="AZ12" s="1">
        <v>0.98961975555475101</v>
      </c>
      <c r="BA12" s="1">
        <v>19.837924191298999</v>
      </c>
      <c r="BB12" s="1">
        <v>480.16013288497902</v>
      </c>
      <c r="BC12" s="1">
        <v>245.849704265594</v>
      </c>
      <c r="BD12" s="7"/>
      <c r="BE12" s="1"/>
      <c r="BF12" s="1"/>
      <c r="BG12" s="8"/>
      <c r="BH12" s="1"/>
      <c r="BI12" s="1"/>
      <c r="BJ12" s="1"/>
      <c r="BK12" s="8"/>
    </row>
    <row r="13" spans="1:63">
      <c r="A13" s="49"/>
      <c r="B13" s="7" t="s">
        <v>18</v>
      </c>
      <c r="C13" s="17">
        <v>0.25</v>
      </c>
      <c r="D13" s="7">
        <v>36</v>
      </c>
      <c r="E13" s="1">
        <v>0.234454</v>
      </c>
      <c r="F13" s="1">
        <v>32.235254638981701</v>
      </c>
      <c r="G13" s="1">
        <v>0.95475575708883098</v>
      </c>
      <c r="H13" s="1">
        <v>13.444366746019201</v>
      </c>
      <c r="I13" s="1">
        <v>35.1719164140573</v>
      </c>
      <c r="J13" s="1">
        <v>0.96335946717091503</v>
      </c>
      <c r="K13" s="8">
        <v>14.360382194187901</v>
      </c>
      <c r="L13" s="7">
        <v>33</v>
      </c>
      <c r="M13" s="1">
        <v>0.248627666666666</v>
      </c>
      <c r="N13" s="1">
        <v>33.316201104443799</v>
      </c>
      <c r="O13" s="1">
        <v>0.96312461960874995</v>
      </c>
      <c r="P13" s="1">
        <v>14.3326349098751</v>
      </c>
      <c r="Q13" s="1">
        <v>36.288345726168899</v>
      </c>
      <c r="R13" s="1">
        <v>0.96963404023564204</v>
      </c>
      <c r="S13" s="8">
        <v>15.176129877580401</v>
      </c>
      <c r="T13" s="7"/>
      <c r="U13" s="1"/>
      <c r="V13" s="1"/>
      <c r="W13" s="8"/>
      <c r="X13" s="7"/>
      <c r="Y13" s="1"/>
      <c r="Z13" s="1"/>
      <c r="AA13" s="8"/>
      <c r="AB13" s="7">
        <v>8</v>
      </c>
      <c r="AC13" s="1">
        <v>0.25355899999999998</v>
      </c>
      <c r="AD13" s="1">
        <v>32.879314166351001</v>
      </c>
      <c r="AE13" s="1">
        <v>0.963221503450856</v>
      </c>
      <c r="AF13" s="1">
        <v>14.3440602805487</v>
      </c>
      <c r="AG13" s="1">
        <v>35.654031676159903</v>
      </c>
      <c r="AH13" s="1">
        <v>0.96904604087095803</v>
      </c>
      <c r="AI13" s="1">
        <v>15.092837951759799</v>
      </c>
      <c r="AJ13" s="1">
        <v>305.229504585266</v>
      </c>
      <c r="AK13" s="1">
        <v>191.56687021255399</v>
      </c>
      <c r="AL13" s="7"/>
      <c r="AM13" s="1"/>
      <c r="AN13" s="1"/>
      <c r="AO13" s="8"/>
      <c r="AP13" s="1"/>
      <c r="AQ13" s="1"/>
      <c r="AR13" s="1"/>
      <c r="AS13" s="8"/>
      <c r="AT13" s="7">
        <v>0.16</v>
      </c>
      <c r="AU13" s="1">
        <v>0.30001966666666602</v>
      </c>
      <c r="AV13" s="1">
        <v>31.217930748217</v>
      </c>
      <c r="AW13" s="1">
        <v>0.97920348602278096</v>
      </c>
      <c r="AX13" s="1">
        <v>16.820094576978001</v>
      </c>
      <c r="AY13" s="1">
        <v>34.0619041710994</v>
      </c>
      <c r="AZ13" s="1">
        <v>0.98335523148915704</v>
      </c>
      <c r="BA13" s="1">
        <v>17.787222404690201</v>
      </c>
      <c r="BB13" s="1">
        <v>547.47636938095002</v>
      </c>
      <c r="BC13" s="1">
        <v>391.72604775428698</v>
      </c>
      <c r="BD13" s="7"/>
      <c r="BE13" s="1"/>
      <c r="BF13" s="1"/>
      <c r="BG13" s="8"/>
      <c r="BH13" s="1"/>
      <c r="BI13" s="1"/>
      <c r="BJ13" s="1"/>
      <c r="BK13" s="8"/>
    </row>
    <row r="14" spans="1:63">
      <c r="A14" s="49"/>
      <c r="B14" s="7" t="s">
        <v>18</v>
      </c>
      <c r="C14" s="17">
        <v>0.12</v>
      </c>
      <c r="D14" s="7">
        <v>41</v>
      </c>
      <c r="E14" s="1">
        <v>0.11190899999999999</v>
      </c>
      <c r="F14" s="1">
        <v>30.003379585357202</v>
      </c>
      <c r="G14" s="1">
        <v>0.93002900170093605</v>
      </c>
      <c r="H14" s="1">
        <v>11.550819298225701</v>
      </c>
      <c r="I14" s="1">
        <v>32.930745741396798</v>
      </c>
      <c r="J14" s="1">
        <v>0.94182354322690598</v>
      </c>
      <c r="K14" s="8">
        <v>12.3525273291283</v>
      </c>
      <c r="L14" s="7">
        <v>38</v>
      </c>
      <c r="M14" s="1">
        <v>0.116659333333333</v>
      </c>
      <c r="N14" s="1">
        <v>31.290655335635702</v>
      </c>
      <c r="O14" s="1">
        <v>0.94299658632851602</v>
      </c>
      <c r="P14" s="1">
        <v>12.440991356556401</v>
      </c>
      <c r="Q14" s="1">
        <v>34.242411755752201</v>
      </c>
      <c r="R14" s="1">
        <v>0.95191285001173398</v>
      </c>
      <c r="S14" s="8">
        <v>13.1797096177102</v>
      </c>
      <c r="T14" s="7"/>
      <c r="U14" s="1"/>
      <c r="V14" s="1"/>
      <c r="W14" s="8"/>
      <c r="X14" s="7"/>
      <c r="Y14" s="1"/>
      <c r="Z14" s="1"/>
      <c r="AA14" s="8"/>
      <c r="AB14" s="7">
        <v>4</v>
      </c>
      <c r="AC14" s="1">
        <v>0.16839799999999999</v>
      </c>
      <c r="AD14" s="1">
        <v>31.634158618767199</v>
      </c>
      <c r="AE14" s="1">
        <v>0.95302737909239899</v>
      </c>
      <c r="AF14" s="1">
        <v>13.281552070308701</v>
      </c>
      <c r="AG14" s="1">
        <v>34.417090251250997</v>
      </c>
      <c r="AH14" s="1">
        <v>0.96024155619964902</v>
      </c>
      <c r="AI14" s="1">
        <v>14.005706228196701</v>
      </c>
      <c r="AJ14" s="1">
        <v>711.35134434700001</v>
      </c>
      <c r="AK14" s="1">
        <v>404.895933151245</v>
      </c>
      <c r="AL14" s="7"/>
      <c r="AM14" s="1"/>
      <c r="AN14" s="1"/>
      <c r="AO14" s="8"/>
      <c r="AP14" s="1"/>
      <c r="AQ14" s="1"/>
      <c r="AR14" s="1"/>
      <c r="AS14" s="8"/>
      <c r="AT14" s="7">
        <v>0.08</v>
      </c>
      <c r="AU14" s="1">
        <v>0.18108766666666601</v>
      </c>
      <c r="AV14" s="1">
        <v>30.014589595938101</v>
      </c>
      <c r="AW14" s="1">
        <v>0.96792688099188096</v>
      </c>
      <c r="AX14" s="1">
        <v>14.938588042702101</v>
      </c>
      <c r="AY14" s="1">
        <v>32.849016286362399</v>
      </c>
      <c r="AZ14" s="1">
        <v>0.97346422665473598</v>
      </c>
      <c r="BA14" s="1">
        <v>15.7616825098969</v>
      </c>
      <c r="BB14" s="1">
        <v>283.87755322456297</v>
      </c>
      <c r="BC14" s="1">
        <v>189.756567955017</v>
      </c>
      <c r="BD14" s="7"/>
      <c r="BE14" s="1"/>
      <c r="BF14" s="1"/>
      <c r="BG14" s="8"/>
      <c r="BH14" s="1"/>
      <c r="BI14" s="1"/>
      <c r="BJ14" s="1"/>
      <c r="BK14" s="8"/>
    </row>
    <row r="15" spans="1:63">
      <c r="A15" s="49"/>
      <c r="B15" s="7" t="s">
        <v>18</v>
      </c>
      <c r="C15" s="17">
        <v>0.06</v>
      </c>
      <c r="D15" s="7">
        <v>46</v>
      </c>
      <c r="E15" s="1">
        <v>5.1748666666666603E-2</v>
      </c>
      <c r="F15" s="1">
        <v>27.685229153925</v>
      </c>
      <c r="G15" s="1">
        <v>0.89339895811777903</v>
      </c>
      <c r="H15" s="1">
        <v>9.7223855064258</v>
      </c>
      <c r="I15" s="1">
        <v>30.612615647563601</v>
      </c>
      <c r="J15" s="1">
        <v>0.90762354202371798</v>
      </c>
      <c r="K15" s="8">
        <v>10.3443869407958</v>
      </c>
      <c r="L15" s="7">
        <v>43</v>
      </c>
      <c r="M15" s="1">
        <v>5.5893999999999999E-2</v>
      </c>
      <c r="N15" s="1">
        <v>29.205680454314301</v>
      </c>
      <c r="O15" s="1">
        <v>0.91766281117836201</v>
      </c>
      <c r="P15" s="1">
        <v>10.844039648839701</v>
      </c>
      <c r="Q15" s="1">
        <v>32.156212580852703</v>
      </c>
      <c r="R15" s="1">
        <v>0.92857954438253598</v>
      </c>
      <c r="S15" s="8">
        <v>11.461773836095</v>
      </c>
      <c r="T15" s="7"/>
      <c r="U15" s="1"/>
      <c r="V15" s="1"/>
      <c r="W15" s="8"/>
      <c r="X15" s="7"/>
      <c r="Y15" s="1"/>
      <c r="Z15" s="1"/>
      <c r="AA15" s="8"/>
      <c r="AB15" s="7">
        <v>2</v>
      </c>
      <c r="AC15" s="1">
        <v>0.106311666666666</v>
      </c>
      <c r="AD15" s="1">
        <v>30.2481237238446</v>
      </c>
      <c r="AE15" s="1">
        <v>0.93856146537327101</v>
      </c>
      <c r="AF15" s="1">
        <v>12.115591512303601</v>
      </c>
      <c r="AG15" s="1">
        <v>33.035447295741498</v>
      </c>
      <c r="AH15" s="1">
        <v>0.94716456613639299</v>
      </c>
      <c r="AI15" s="1">
        <v>12.7707472197208</v>
      </c>
      <c r="AJ15" s="1">
        <v>1608.4941327571801</v>
      </c>
      <c r="AK15" s="1">
        <v>294.24956941604597</v>
      </c>
      <c r="AL15" s="7"/>
      <c r="AM15" s="1"/>
      <c r="AN15" s="1"/>
      <c r="AO15" s="8"/>
      <c r="AP15" s="1"/>
      <c r="AQ15" s="1"/>
      <c r="AR15" s="1"/>
      <c r="AS15" s="8"/>
      <c r="AT15" s="7">
        <v>0.04</v>
      </c>
      <c r="AU15" s="1">
        <v>0.10700233333333301</v>
      </c>
      <c r="AV15" s="1">
        <v>28.8872333510737</v>
      </c>
      <c r="AW15" s="1">
        <v>0.95515218645802502</v>
      </c>
      <c r="AX15" s="1">
        <v>13.482587251907299</v>
      </c>
      <c r="AY15" s="1">
        <v>31.707927826488401</v>
      </c>
      <c r="AZ15" s="1">
        <v>0.96227793119948302</v>
      </c>
      <c r="BA15" s="1">
        <v>14.234044971645501</v>
      </c>
      <c r="BB15" s="1">
        <v>405.15670847892699</v>
      </c>
      <c r="BC15" s="1">
        <v>304.67003941535899</v>
      </c>
      <c r="BD15" s="7"/>
      <c r="BE15" s="1"/>
      <c r="BF15" s="1"/>
      <c r="BG15" s="8"/>
      <c r="BH15" s="1"/>
      <c r="BI15" s="1"/>
      <c r="BJ15" s="1"/>
      <c r="BK15" s="8"/>
    </row>
    <row r="16" spans="1:63">
      <c r="A16" s="49"/>
      <c r="B16" s="7" t="s">
        <v>21</v>
      </c>
      <c r="C16" s="17">
        <v>1.5</v>
      </c>
      <c r="D16" s="7">
        <v>26</v>
      </c>
      <c r="E16" s="1">
        <v>1.43440733333333</v>
      </c>
      <c r="F16" s="1">
        <v>38.087415838617503</v>
      </c>
      <c r="G16" s="1">
        <v>0.99300436275270898</v>
      </c>
      <c r="H16" s="1">
        <v>21.551727185736301</v>
      </c>
      <c r="I16" s="1">
        <v>41.168952972714798</v>
      </c>
      <c r="J16" s="1">
        <v>0.99643405503047799</v>
      </c>
      <c r="K16" s="8">
        <v>24.4782536324077</v>
      </c>
      <c r="L16" s="7">
        <v>23</v>
      </c>
      <c r="M16" s="1">
        <v>1.4730226666666599</v>
      </c>
      <c r="N16" s="1">
        <v>39.317528738746198</v>
      </c>
      <c r="O16" s="1">
        <v>0.99420200956499905</v>
      </c>
      <c r="P16" s="1">
        <v>22.367225054401199</v>
      </c>
      <c r="Q16" s="1">
        <v>42.497375942838801</v>
      </c>
      <c r="R16" s="1">
        <v>0.99730144557588996</v>
      </c>
      <c r="S16" s="8">
        <v>25.688688187134201</v>
      </c>
      <c r="T16" s="13">
        <f>bdrate(E16:E19,F16:F19,M16:M19,N16:N19)</f>
        <v>-0.2397788426298797</v>
      </c>
      <c r="U16" s="12">
        <f>bdrate(E16:E19,H16:H19,M16:M19,P16:P19)</f>
        <v>-0.20188713402243208</v>
      </c>
      <c r="V16" s="12">
        <f>bdrate(E16:E19,I16:I19,M16:M19,Q16:Q19)</f>
        <v>-0.24237617252426458</v>
      </c>
      <c r="W16" s="14">
        <f>bdrate(E16:E19,K16:K19,M16:M19,S16:S19)</f>
        <v>-0.17651882312782197</v>
      </c>
      <c r="X16" s="13">
        <f>bdrate(E18:E21,F18:F21,M18:M21,N18:N21)</f>
        <v>-0.32784302380075947</v>
      </c>
      <c r="Y16" s="12">
        <f>bdrate(E18:E21,H18:H21,M18:M21,P18:P21)</f>
        <v>-0.3083007521123754</v>
      </c>
      <c r="Z16" s="12">
        <f>bdrate(E18:E21,I18:I21,M18:M21,Q18:Q21)</f>
        <v>-0.32321638956255438</v>
      </c>
      <c r="AA16" s="14">
        <f>bdrate(E18:E21,K18:K21,M18:M21,S18:S21)</f>
        <v>-0.21406018420353401</v>
      </c>
      <c r="AB16" s="7">
        <v>128</v>
      </c>
      <c r="AC16" s="1">
        <v>1.7137766666666601</v>
      </c>
      <c r="AD16" s="1">
        <v>41.113676674088502</v>
      </c>
      <c r="AE16" s="1">
        <v>0.99673572998695903</v>
      </c>
      <c r="AF16" s="1">
        <v>24.8621392457393</v>
      </c>
      <c r="AG16" s="1">
        <v>43.8601920650393</v>
      </c>
      <c r="AH16" s="1">
        <v>0.99815272280468503</v>
      </c>
      <c r="AI16" s="1">
        <v>27.334679311093801</v>
      </c>
      <c r="AJ16" s="1">
        <v>758.56273841857899</v>
      </c>
      <c r="AK16" s="1">
        <v>311.51235032081598</v>
      </c>
      <c r="AL16" s="13">
        <f>bdrate(E16:E19,F16:F19,AC16:AC19,AD16:AD19)</f>
        <v>-0.27500349724979511</v>
      </c>
      <c r="AM16" s="12">
        <f>bdrate(E16:E19,H16:H19,AC16:AC19,AF16:AF19)</f>
        <v>-0.28680291965543403</v>
      </c>
      <c r="AN16" s="12">
        <f>bdrate(E16:E19,I16:I19,AC16:AC19,AG16:AG19)</f>
        <v>-0.23231004704386948</v>
      </c>
      <c r="AO16" s="14">
        <f>bdrate(E16:E19,K16:K19,AC16:AC19,AI16:AI19)</f>
        <v>-0.19695851503502471</v>
      </c>
      <c r="AP16" s="12">
        <f>bdrate(E18:E21,F18:F21,AC18:AC21,AD18:AD21)</f>
        <v>-0.29370976391007353</v>
      </c>
      <c r="AQ16" s="12">
        <f>bdrate(E18:E21,H18:H21,AC18:AC21,AF18:AF21)</f>
        <v>-0.30473114389629286</v>
      </c>
      <c r="AR16" s="12">
        <f>bdrate(E18:E21,I18:I21,AC18:AC21,AG18:AG21)</f>
        <v>-0.25112140561075924</v>
      </c>
      <c r="AS16" s="14">
        <f>bdrate(E18:E21,K18:K21,AC18:AC21,AI18:AI21)</f>
        <v>-0.18113560436417753</v>
      </c>
      <c r="AT16" s="7">
        <v>3.2</v>
      </c>
      <c r="AU16" s="1">
        <v>1.40863633333333</v>
      </c>
      <c r="AV16" s="1">
        <v>38.418881677061101</v>
      </c>
      <c r="AW16" s="1">
        <v>0.99723993330990501</v>
      </c>
      <c r="AX16" s="1">
        <v>25.590804241702699</v>
      </c>
      <c r="AY16" s="1">
        <v>41.229215680480102</v>
      </c>
      <c r="AZ16" s="1">
        <v>0.99808908193882195</v>
      </c>
      <c r="BA16" s="1">
        <v>27.1875793478766</v>
      </c>
      <c r="BB16" s="1">
        <v>1820.6099102497101</v>
      </c>
      <c r="BC16" s="1">
        <v>532.24183821678105</v>
      </c>
      <c r="BD16" s="13">
        <f>bdrate(E16:E19,F16:F19,AU16:AU19,AV16:AV19)</f>
        <v>-0.10780026990306613</v>
      </c>
      <c r="BE16" s="12">
        <f>bdrate(E16:E19,H16:H19,AU16:AU19,AX16:AX19)</f>
        <v>-0.45663126610440441</v>
      </c>
      <c r="BF16" s="12">
        <f>bdrate(E16:E19,I16:I19,AU16:AU19,AY16:AY19)</f>
        <v>-6.0395306364487644E-2</v>
      </c>
      <c r="BG16" s="14">
        <f>bdrate(E16:E19,K16:K19,AU16:AU19,BA16:BA19)</f>
        <v>-0.34546132288434728</v>
      </c>
      <c r="BH16" s="12">
        <f>bdrate(E18:E21,F18:F21,AU18:AU21,AV18:AV21)</f>
        <v>-0.17056176230357001</v>
      </c>
      <c r="BI16" s="12">
        <f>bdrate(E18:E21,H18:H21,AU18:AU21,AX18:AX21)</f>
        <v>-0.45998708921048426</v>
      </c>
      <c r="BJ16" s="12">
        <f>bdrate(E18:E21,I18:I21,AU18:AU21,AY18:AY21)</f>
        <v>-0.11434417153054965</v>
      </c>
      <c r="BK16" s="14">
        <f>bdrate(E18:E21,K18:K21,AU18:AU21,BA18:BA21)</f>
        <v>-0.34762683026647467</v>
      </c>
    </row>
    <row r="17" spans="1:63">
      <c r="A17" s="49"/>
      <c r="B17" s="7" t="s">
        <v>18</v>
      </c>
      <c r="C17" s="17">
        <v>1</v>
      </c>
      <c r="D17" s="7">
        <v>29</v>
      </c>
      <c r="E17" s="1">
        <v>0.98344833333333304</v>
      </c>
      <c r="F17" s="1">
        <v>35.937715581993203</v>
      </c>
      <c r="G17" s="1">
        <v>0.98775291890342098</v>
      </c>
      <c r="H17" s="1">
        <v>19.119674063771001</v>
      </c>
      <c r="I17" s="1">
        <v>38.968034051325198</v>
      </c>
      <c r="J17" s="1">
        <v>0.99319576964969902</v>
      </c>
      <c r="K17" s="8">
        <v>21.6722099221249</v>
      </c>
      <c r="L17" s="7">
        <v>27</v>
      </c>
      <c r="M17" s="1">
        <v>0.87855266666666598</v>
      </c>
      <c r="N17" s="1">
        <v>36.486109445095202</v>
      </c>
      <c r="O17" s="1">
        <v>0.98848968686828498</v>
      </c>
      <c r="P17" s="1">
        <v>19.389128614678501</v>
      </c>
      <c r="Q17" s="1">
        <v>39.555443556869598</v>
      </c>
      <c r="R17" s="1">
        <v>0.99374976765349199</v>
      </c>
      <c r="S17" s="8">
        <v>22.041038378670599</v>
      </c>
      <c r="T17" s="7"/>
      <c r="U17" s="1"/>
      <c r="V17" s="1"/>
      <c r="W17" s="8"/>
      <c r="X17" s="7"/>
      <c r="Y17" s="1"/>
      <c r="Z17" s="1"/>
      <c r="AA17" s="8"/>
      <c r="AB17" s="7">
        <v>32</v>
      </c>
      <c r="AC17" s="1">
        <v>0.82502366666666604</v>
      </c>
      <c r="AD17" s="1">
        <v>36.637351809169402</v>
      </c>
      <c r="AE17" s="1">
        <v>0.99002527270288498</v>
      </c>
      <c r="AF17" s="1">
        <v>20.010989688218999</v>
      </c>
      <c r="AG17" s="1">
        <v>39.383411287692603</v>
      </c>
      <c r="AH17" s="1">
        <v>0.99361962643291302</v>
      </c>
      <c r="AI17" s="1">
        <v>21.951538928501702</v>
      </c>
      <c r="AJ17" s="1">
        <v>375.22692275047302</v>
      </c>
      <c r="AK17" s="1">
        <v>197.75177693366999</v>
      </c>
      <c r="AL17" s="7"/>
      <c r="AM17" s="1"/>
      <c r="AN17" s="1"/>
      <c r="AO17" s="8"/>
      <c r="AP17" s="1"/>
      <c r="AQ17" s="1"/>
      <c r="AR17" s="1"/>
      <c r="AS17" s="8"/>
      <c r="AT17" s="7">
        <v>1.28</v>
      </c>
      <c r="AU17" s="1">
        <v>0.94514500000000001</v>
      </c>
      <c r="AV17" s="1">
        <v>36.167363224574402</v>
      </c>
      <c r="AW17" s="1">
        <v>0.99463882137683501</v>
      </c>
      <c r="AX17" s="1">
        <v>22.707397227574798</v>
      </c>
      <c r="AY17" s="1">
        <v>38.975769110958701</v>
      </c>
      <c r="AZ17" s="1">
        <v>0.99619815313379301</v>
      </c>
      <c r="BA17" s="1">
        <v>24.200053799747302</v>
      </c>
      <c r="BB17" s="1">
        <v>1042.47323155403</v>
      </c>
      <c r="BC17" s="1">
        <v>398.21779775619501</v>
      </c>
      <c r="BD17" s="7"/>
      <c r="BE17" s="1"/>
      <c r="BF17" s="1"/>
      <c r="BG17" s="8"/>
      <c r="BH17" s="1"/>
      <c r="BI17" s="1"/>
      <c r="BJ17" s="1"/>
      <c r="BK17" s="8"/>
    </row>
    <row r="18" spans="1:63">
      <c r="A18" s="49"/>
      <c r="B18" s="7" t="s">
        <v>18</v>
      </c>
      <c r="C18" s="17">
        <v>0.5</v>
      </c>
      <c r="D18" s="7">
        <v>35</v>
      </c>
      <c r="E18" s="1">
        <v>0.451832333333333</v>
      </c>
      <c r="F18" s="1">
        <v>32.416632243097197</v>
      </c>
      <c r="G18" s="1">
        <v>0.96767658816110802</v>
      </c>
      <c r="H18" s="1">
        <v>14.9048280431454</v>
      </c>
      <c r="I18" s="1">
        <v>35.377837978383099</v>
      </c>
      <c r="J18" s="1">
        <v>0.98038525573139401</v>
      </c>
      <c r="K18" s="8">
        <v>17.0741734970407</v>
      </c>
      <c r="L18" s="7">
        <v>31</v>
      </c>
      <c r="M18" s="1">
        <v>0.49682833333333298</v>
      </c>
      <c r="N18" s="1">
        <v>34.072754035628698</v>
      </c>
      <c r="O18" s="1">
        <v>0.97850381825113497</v>
      </c>
      <c r="P18" s="1">
        <v>16.6763867462683</v>
      </c>
      <c r="Q18" s="1">
        <v>37.083837738640298</v>
      </c>
      <c r="R18" s="1">
        <v>0.98667995926799201</v>
      </c>
      <c r="S18" s="8">
        <v>18.754944471132401</v>
      </c>
      <c r="T18" s="7"/>
      <c r="U18" s="1"/>
      <c r="V18" s="1"/>
      <c r="W18" s="8"/>
      <c r="X18" s="7"/>
      <c r="Y18" s="1"/>
      <c r="Z18" s="1"/>
      <c r="AA18" s="8"/>
      <c r="AB18" s="7">
        <v>16</v>
      </c>
      <c r="AC18" s="1">
        <v>0.54340900000000003</v>
      </c>
      <c r="AD18" s="1">
        <v>34.672554863508203</v>
      </c>
      <c r="AE18" s="1">
        <v>0.98309350704703402</v>
      </c>
      <c r="AF18" s="1">
        <v>17.7194647218566</v>
      </c>
      <c r="AG18" s="1">
        <v>37.413821228858602</v>
      </c>
      <c r="AH18" s="1">
        <v>0.988541000680626</v>
      </c>
      <c r="AI18" s="1">
        <v>19.408533063694598</v>
      </c>
      <c r="AJ18" s="1">
        <v>417.29626154899597</v>
      </c>
      <c r="AK18" s="1">
        <v>271.93680143356301</v>
      </c>
      <c r="AL18" s="7"/>
      <c r="AM18" s="1"/>
      <c r="AN18" s="1"/>
      <c r="AO18" s="8"/>
      <c r="AP18" s="1"/>
      <c r="AQ18" s="1"/>
      <c r="AR18" s="1"/>
      <c r="AS18" s="8"/>
      <c r="AT18" s="7">
        <v>0.32</v>
      </c>
      <c r="AU18" s="1">
        <v>0.51235900000000001</v>
      </c>
      <c r="AV18" s="1">
        <v>33.5970996616457</v>
      </c>
      <c r="AW18" s="1">
        <v>0.98715177907788498</v>
      </c>
      <c r="AX18" s="1">
        <v>18.9115700441046</v>
      </c>
      <c r="AY18" s="1">
        <v>36.3182522910503</v>
      </c>
      <c r="AZ18" s="1">
        <v>0.99073899154498002</v>
      </c>
      <c r="BA18" s="1">
        <v>20.333417193003601</v>
      </c>
      <c r="BB18" s="1">
        <v>507.51461648941</v>
      </c>
      <c r="BC18" s="1">
        <v>287.37806105613703</v>
      </c>
      <c r="BD18" s="7"/>
      <c r="BE18" s="1"/>
      <c r="BF18" s="1"/>
      <c r="BG18" s="8"/>
      <c r="BH18" s="1"/>
      <c r="BI18" s="1"/>
      <c r="BJ18" s="1"/>
      <c r="BK18" s="8"/>
    </row>
    <row r="19" spans="1:63">
      <c r="A19" s="49"/>
      <c r="B19" s="7" t="s">
        <v>18</v>
      </c>
      <c r="C19" s="17">
        <v>0.25</v>
      </c>
      <c r="D19" s="7">
        <v>40</v>
      </c>
      <c r="E19" s="1">
        <v>0.23082066666666601</v>
      </c>
      <c r="F19" s="1">
        <v>29.797321169372101</v>
      </c>
      <c r="G19" s="1">
        <v>0.93534136992807304</v>
      </c>
      <c r="H19" s="1">
        <v>11.8937350106231</v>
      </c>
      <c r="I19" s="1">
        <v>32.683942507881603</v>
      </c>
      <c r="J19" s="1">
        <v>0.95689539593585604</v>
      </c>
      <c r="K19" s="8">
        <v>13.654763397496501</v>
      </c>
      <c r="L19" s="7">
        <v>37</v>
      </c>
      <c r="M19" s="1">
        <v>0.22199533333333299</v>
      </c>
      <c r="N19" s="1">
        <v>31.068206947378499</v>
      </c>
      <c r="O19" s="1">
        <v>0.952402713397001</v>
      </c>
      <c r="P19" s="1">
        <v>13.224178045680199</v>
      </c>
      <c r="Q19" s="1">
        <v>33.979568322417201</v>
      </c>
      <c r="R19" s="1">
        <v>0.96572053320553097</v>
      </c>
      <c r="S19" s="8">
        <v>14.6496594200032</v>
      </c>
      <c r="T19" s="7"/>
      <c r="U19" s="1"/>
      <c r="V19" s="1"/>
      <c r="W19" s="8"/>
      <c r="X19" s="7"/>
      <c r="Y19" s="1"/>
      <c r="Z19" s="1"/>
      <c r="AA19" s="8"/>
      <c r="AB19" s="7">
        <v>8</v>
      </c>
      <c r="AC19" s="1">
        <v>0.367589</v>
      </c>
      <c r="AD19" s="1">
        <v>33.062035503045102</v>
      </c>
      <c r="AE19" s="1">
        <v>0.97321257387290205</v>
      </c>
      <c r="AF19" s="1">
        <v>15.720690136221</v>
      </c>
      <c r="AG19" s="1">
        <v>35.792266120746902</v>
      </c>
      <c r="AH19" s="1">
        <v>0.98101512217740106</v>
      </c>
      <c r="AI19" s="1">
        <v>17.215921934223601</v>
      </c>
      <c r="AJ19" s="1">
        <v>307.91073870658801</v>
      </c>
      <c r="AK19" s="1">
        <v>190.79456734657199</v>
      </c>
      <c r="AL19" s="7"/>
      <c r="AM19" s="1"/>
      <c r="AN19" s="1"/>
      <c r="AO19" s="8"/>
      <c r="AP19" s="1"/>
      <c r="AQ19" s="1"/>
      <c r="AR19" s="1"/>
      <c r="AS19" s="8"/>
      <c r="AT19" s="7">
        <v>0.16</v>
      </c>
      <c r="AU19" s="1">
        <v>0.35947966666666598</v>
      </c>
      <c r="AV19" s="1">
        <v>32.205011563357402</v>
      </c>
      <c r="AW19" s="1">
        <v>0.97910891969164504</v>
      </c>
      <c r="AX19" s="1">
        <v>16.8003910143537</v>
      </c>
      <c r="AY19" s="1">
        <v>34.892575443165398</v>
      </c>
      <c r="AZ19" s="1">
        <v>0.98465881257162902</v>
      </c>
      <c r="BA19" s="1">
        <v>18.141410241138502</v>
      </c>
      <c r="BB19" s="1">
        <v>432.77310466766301</v>
      </c>
      <c r="BC19" s="1">
        <v>298.75487542152399</v>
      </c>
      <c r="BD19" s="7"/>
      <c r="BE19" s="1"/>
      <c r="BF19" s="1"/>
      <c r="BG19" s="8"/>
      <c r="BH19" s="1"/>
      <c r="BI19" s="1"/>
      <c r="BJ19" s="1"/>
      <c r="BK19" s="8"/>
    </row>
    <row r="20" spans="1:63">
      <c r="A20" s="49"/>
      <c r="B20" s="7" t="s">
        <v>18</v>
      </c>
      <c r="C20" s="17">
        <v>0.12</v>
      </c>
      <c r="D20" s="7">
        <v>45</v>
      </c>
      <c r="E20" s="1">
        <v>0.110788</v>
      </c>
      <c r="F20" s="1">
        <v>27.326769475297901</v>
      </c>
      <c r="G20" s="1">
        <v>0.88111301884901605</v>
      </c>
      <c r="H20" s="1">
        <v>9.24865700670221</v>
      </c>
      <c r="I20" s="1">
        <v>30.107158323630799</v>
      </c>
      <c r="J20" s="1">
        <v>0.90992291288145599</v>
      </c>
      <c r="K20" s="8">
        <v>10.4538566632928</v>
      </c>
      <c r="L20" s="7">
        <v>42</v>
      </c>
      <c r="M20" s="1">
        <v>0.110667666666666</v>
      </c>
      <c r="N20" s="1">
        <v>28.677345017216201</v>
      </c>
      <c r="O20" s="1">
        <v>0.91227191368302896</v>
      </c>
      <c r="P20" s="1">
        <v>10.5686134415157</v>
      </c>
      <c r="Q20" s="1">
        <v>31.484069292776599</v>
      </c>
      <c r="R20" s="1">
        <v>0.92828848952519005</v>
      </c>
      <c r="S20" s="8">
        <v>11.444111297648201</v>
      </c>
      <c r="T20" s="7"/>
      <c r="U20" s="1"/>
      <c r="V20" s="1"/>
      <c r="W20" s="8"/>
      <c r="X20" s="7"/>
      <c r="Y20" s="1"/>
      <c r="Z20" s="1"/>
      <c r="AA20" s="8"/>
      <c r="AB20" s="7">
        <v>4</v>
      </c>
      <c r="AC20" s="1">
        <v>0.267143666666666</v>
      </c>
      <c r="AD20" s="1">
        <v>31.576008893455999</v>
      </c>
      <c r="AE20" s="1">
        <v>0.95996938853786395</v>
      </c>
      <c r="AF20" s="1">
        <v>13.976077760551901</v>
      </c>
      <c r="AG20" s="1">
        <v>34.280837136639498</v>
      </c>
      <c r="AH20" s="1">
        <v>0.96990137562184398</v>
      </c>
      <c r="AI20" s="1">
        <v>15.2145335286557</v>
      </c>
      <c r="AJ20" s="1">
        <v>573.25275874137799</v>
      </c>
      <c r="AK20" s="1">
        <v>406.83826231956402</v>
      </c>
      <c r="AL20" s="7"/>
      <c r="AM20" s="1"/>
      <c r="AN20" s="1"/>
      <c r="AO20" s="8"/>
      <c r="AP20" s="1"/>
      <c r="AQ20" s="1"/>
      <c r="AR20" s="1"/>
      <c r="AS20" s="8"/>
      <c r="AT20" s="7">
        <v>0.08</v>
      </c>
      <c r="AU20" s="1">
        <v>0.243177</v>
      </c>
      <c r="AV20" s="1">
        <v>30.706521053509501</v>
      </c>
      <c r="AW20" s="1">
        <v>0.96692904597294804</v>
      </c>
      <c r="AX20" s="1">
        <v>14.8055327642866</v>
      </c>
      <c r="AY20" s="1">
        <v>33.3712654023971</v>
      </c>
      <c r="AZ20" s="1">
        <v>0.97487637898748203</v>
      </c>
      <c r="BA20" s="1">
        <v>15.999177665103501</v>
      </c>
      <c r="BB20" s="1">
        <v>287.58020997047402</v>
      </c>
      <c r="BC20" s="1">
        <v>185.809589624404</v>
      </c>
      <c r="BD20" s="7"/>
      <c r="BE20" s="1"/>
      <c r="BF20" s="1"/>
      <c r="BG20" s="8"/>
      <c r="BH20" s="1"/>
      <c r="BI20" s="1"/>
      <c r="BJ20" s="1"/>
      <c r="BK20" s="8"/>
    </row>
    <row r="21" spans="1:63">
      <c r="A21" s="49"/>
      <c r="B21" s="7" t="s">
        <v>18</v>
      </c>
      <c r="C21" s="17">
        <v>0.06</v>
      </c>
      <c r="D21" s="7">
        <v>49</v>
      </c>
      <c r="E21" s="1">
        <v>5.88366666666666E-2</v>
      </c>
      <c r="F21" s="1">
        <v>25.469246888620798</v>
      </c>
      <c r="G21" s="1">
        <v>0.81888268374236695</v>
      </c>
      <c r="H21" s="1">
        <v>7.4204002569023402</v>
      </c>
      <c r="I21" s="1">
        <v>28.163564273191898</v>
      </c>
      <c r="J21" s="1">
        <v>0.84810101787401604</v>
      </c>
      <c r="K21" s="8">
        <v>8.1844513633174607</v>
      </c>
      <c r="L21" s="7">
        <v>47</v>
      </c>
      <c r="M21" s="1">
        <v>5.2971999999999998E-2</v>
      </c>
      <c r="N21" s="1">
        <v>26.326034330689499</v>
      </c>
      <c r="O21" s="1">
        <v>0.84669968454021705</v>
      </c>
      <c r="P21" s="1">
        <v>8.14456951458072</v>
      </c>
      <c r="Q21" s="1">
        <v>29.0383937455085</v>
      </c>
      <c r="R21" s="1">
        <v>0.861868176000819</v>
      </c>
      <c r="S21" s="8">
        <v>8.5970625339084705</v>
      </c>
      <c r="T21" s="7"/>
      <c r="U21" s="1"/>
      <c r="V21" s="1"/>
      <c r="W21" s="8"/>
      <c r="X21" s="7"/>
      <c r="Y21" s="1"/>
      <c r="Z21" s="1"/>
      <c r="AA21" s="8"/>
      <c r="AB21" s="7">
        <v>2</v>
      </c>
      <c r="AC21" s="1">
        <v>0.16146199999999999</v>
      </c>
      <c r="AD21" s="1">
        <v>30.031316368134501</v>
      </c>
      <c r="AE21" s="1">
        <v>0.94027605076460796</v>
      </c>
      <c r="AF21" s="1">
        <v>12.2385148235306</v>
      </c>
      <c r="AG21" s="1">
        <v>32.698100548143401</v>
      </c>
      <c r="AH21" s="1">
        <v>0.95174924170717601</v>
      </c>
      <c r="AI21" s="1">
        <v>13.164958570393299</v>
      </c>
      <c r="AJ21" s="1">
        <v>515.08867907524098</v>
      </c>
      <c r="AK21" s="1">
        <v>338.00942134857098</v>
      </c>
      <c r="AL21" s="7"/>
      <c r="AM21" s="1"/>
      <c r="AN21" s="1"/>
      <c r="AO21" s="8"/>
      <c r="AP21" s="1"/>
      <c r="AQ21" s="1"/>
      <c r="AR21" s="1"/>
      <c r="AS21" s="8"/>
      <c r="AT21" s="7">
        <v>0.04</v>
      </c>
      <c r="AU21" s="1">
        <v>0.16072966666666599</v>
      </c>
      <c r="AV21" s="1">
        <v>29.140727699646298</v>
      </c>
      <c r="AW21" s="1">
        <v>0.95028495437701699</v>
      </c>
      <c r="AX21" s="1">
        <v>13.0351215770152</v>
      </c>
      <c r="AY21" s="1">
        <v>31.7686868828537</v>
      </c>
      <c r="AZ21" s="1">
        <v>0.96079611956211997</v>
      </c>
      <c r="BA21" s="1">
        <v>14.0667094396547</v>
      </c>
      <c r="BB21" s="1">
        <v>428.31447911262501</v>
      </c>
      <c r="BC21" s="1">
        <v>302.78823137283302</v>
      </c>
      <c r="BD21" s="7"/>
      <c r="BE21" s="1"/>
      <c r="BF21" s="1"/>
      <c r="BG21" s="8"/>
      <c r="BH21" s="1"/>
      <c r="BI21" s="1"/>
      <c r="BJ21" s="1"/>
      <c r="BK21" s="8"/>
    </row>
    <row r="22" spans="1:63">
      <c r="A22" s="49"/>
      <c r="B22" s="7" t="s">
        <v>22</v>
      </c>
      <c r="C22" s="17">
        <v>1.5</v>
      </c>
      <c r="D22" s="7">
        <v>23</v>
      </c>
      <c r="E22" s="1">
        <v>1.37533966666666</v>
      </c>
      <c r="F22" s="1">
        <v>41.004136559036901</v>
      </c>
      <c r="G22" s="1">
        <v>0.99215017306373599</v>
      </c>
      <c r="H22" s="1">
        <v>21.051399179622699</v>
      </c>
      <c r="I22" s="1">
        <v>44.0569871133685</v>
      </c>
      <c r="J22" s="1">
        <v>0.99429671878116899</v>
      </c>
      <c r="K22" s="8">
        <v>22.438752135849601</v>
      </c>
      <c r="L22" s="7">
        <v>20</v>
      </c>
      <c r="M22" s="1">
        <v>1.4965696666666599</v>
      </c>
      <c r="N22" s="1">
        <v>42.139378922999903</v>
      </c>
      <c r="O22" s="1">
        <v>0.99402898406058204</v>
      </c>
      <c r="P22" s="1">
        <v>22.239517694827601</v>
      </c>
      <c r="Q22" s="1">
        <v>45.186318246619102</v>
      </c>
      <c r="R22" s="1">
        <v>0.99573996369520801</v>
      </c>
      <c r="S22" s="8">
        <v>23.705866997462799</v>
      </c>
      <c r="T22" s="13">
        <f>bdrate(E22:E25,F22:F25,M22:M25,N22:N25)</f>
        <v>-0.12353802932765345</v>
      </c>
      <c r="U22" s="12">
        <f>bdrate(E22:E25,H22:H25,M22:M25,P22:P25)</f>
        <v>-0.13390634422409042</v>
      </c>
      <c r="V22" s="12">
        <f>bdrate(E22:E25,I22:I25,M22:M25,Q22:Q25)</f>
        <v>-0.13393261831372971</v>
      </c>
      <c r="W22" s="14">
        <f>bdrate(E22:E25,K22:K25,M22:M25,S22:S25)</f>
        <v>-0.10807754136787384</v>
      </c>
      <c r="X22" s="13">
        <f>bdrate(E24:E27,F24:F27,M24:M27,N24:N27)</f>
        <v>-0.18090264222517172</v>
      </c>
      <c r="Y22" s="12">
        <f>bdrate(E24:E27,H24:H27,M24:M27,P24:P27)</f>
        <v>-0.19608606493735403</v>
      </c>
      <c r="Z22" s="12">
        <f>bdrate(E24:E27,I24:I27,M24:M27,Q24:Q27)</f>
        <v>-0.20755579075150377</v>
      </c>
      <c r="AA22" s="14">
        <f>bdrate(E24:E27,K24:K27,M24:M27,S24:S27)</f>
        <v>-0.1591392104680307</v>
      </c>
      <c r="AB22" s="7">
        <v>128</v>
      </c>
      <c r="AC22" s="1">
        <v>1.34322866666666</v>
      </c>
      <c r="AD22" s="1">
        <v>41.752905856736902</v>
      </c>
      <c r="AE22" s="1">
        <v>0.99400315014999097</v>
      </c>
      <c r="AF22" s="1">
        <v>22.220768249539599</v>
      </c>
      <c r="AG22" s="1">
        <v>44.731760750672898</v>
      </c>
      <c r="AH22" s="1">
        <v>0.99500811716950699</v>
      </c>
      <c r="AI22" s="1">
        <v>23.017356169689901</v>
      </c>
      <c r="AJ22" s="1">
        <v>763.602466106414</v>
      </c>
      <c r="AK22" s="1">
        <v>312.42576599121003</v>
      </c>
      <c r="AL22" s="13">
        <f>bdrate(E22:E25,F22:F25,AC22:AC25,AD22:AD25)</f>
        <v>-0.16723311847533928</v>
      </c>
      <c r="AM22" s="12">
        <f>bdrate(E22:E25,H22:H25,AC22:AC25,AF22:AF25)</f>
        <v>-0.21721378192628948</v>
      </c>
      <c r="AN22" s="12">
        <f>bdrate(E22:E25,I22:I25,AC22:AC25,AG22:AG25)</f>
        <v>-0.17214337599990437</v>
      </c>
      <c r="AO22" s="14">
        <f>bdrate(E22:E25,K22:K25,AC22:AC25,AI22:AI25)</f>
        <v>-0.1310288662377278</v>
      </c>
      <c r="AP22" s="12">
        <f>bdrate(E24:E27,F24:F27,AC24:AC27,AD24:AD27)</f>
        <v>-0.24044342105407912</v>
      </c>
      <c r="AQ22" s="12">
        <f>bdrate(E24:E27,H24:H27,AC24:AC27,AF24:AF27)</f>
        <v>-0.28731725335401526</v>
      </c>
      <c r="AR22" s="12">
        <f>bdrate(E24:E27,I24:I27,AC24:AC27,AG24:AG27)</f>
        <v>-0.2417937702478925</v>
      </c>
      <c r="AS22" s="14">
        <f>bdrate(E24:E27,K24:K27,AC24:AC27,AI24:AI27)</f>
        <v>-0.19307431896750304</v>
      </c>
      <c r="AT22" s="7">
        <v>3.2</v>
      </c>
      <c r="AU22" s="1">
        <v>1.44563166666666</v>
      </c>
      <c r="AV22" s="1">
        <v>40.488681988428397</v>
      </c>
      <c r="AW22" s="1">
        <v>0.99705554347508296</v>
      </c>
      <c r="AX22" s="1">
        <v>25.3099485368191</v>
      </c>
      <c r="AY22" s="1">
        <v>43.747565142815397</v>
      </c>
      <c r="AZ22" s="1">
        <v>0.99754966932365596</v>
      </c>
      <c r="BA22" s="1">
        <v>26.107753028923</v>
      </c>
      <c r="BB22" s="1">
        <v>1466.5169699191999</v>
      </c>
      <c r="BC22" s="1">
        <v>503.465711832046</v>
      </c>
      <c r="BD22" s="13">
        <f>bdrate(E22:E25,F22:F25,AU22:AU25,AV22:AV25)</f>
        <v>0.29579723823117532</v>
      </c>
      <c r="BE22" s="12">
        <f>bdrate(E22:E25,H22:H25,AU22:AU25,AX22:AX25)</f>
        <v>-0.54556158765398233</v>
      </c>
      <c r="BF22" s="12">
        <f>bdrate(E22:E25,I22:I25,AU22:AU25,AY22:AY25)</f>
        <v>0.24732352410657255</v>
      </c>
      <c r="BG22" s="14">
        <f>bdrate(E22:E25,K22:K25,AU22:AU25,BA22:BA25)</f>
        <v>-0.48754117856444268</v>
      </c>
      <c r="BH22" s="12">
        <f>bdrate(E24:E27,F24:F27,AU24:AU27,AV24:AV27)</f>
        <v>0.42784895489811725</v>
      </c>
      <c r="BI22" s="12">
        <f>bdrate(E24:E27,H24:H27,AU24:AU27,AX24:AX27)</f>
        <v>-0.52697131173609169</v>
      </c>
      <c r="BJ22" s="12">
        <f>bdrate(E24:E27,I24:I27,AU24:AU27,AY24:AY27)</f>
        <v>0.53774932534434661</v>
      </c>
      <c r="BK22" s="14">
        <f>bdrate(E24:E27,K24:K27,AU24:AU27,BA24:BA27)</f>
        <v>-0.49547900293871505</v>
      </c>
    </row>
    <row r="23" spans="1:63">
      <c r="A23" s="49"/>
      <c r="B23" s="7" t="s">
        <v>18</v>
      </c>
      <c r="C23" s="17">
        <v>1</v>
      </c>
      <c r="D23" s="7">
        <v>25</v>
      </c>
      <c r="E23" s="1">
        <v>0.986920666666666</v>
      </c>
      <c r="F23" s="1">
        <v>39.270428402202</v>
      </c>
      <c r="G23" s="1">
        <v>0.98824540073766098</v>
      </c>
      <c r="H23" s="1">
        <v>19.297921722491001</v>
      </c>
      <c r="I23" s="1">
        <v>42.404604584527803</v>
      </c>
      <c r="J23" s="1">
        <v>0.99076293250261005</v>
      </c>
      <c r="K23" s="8">
        <v>20.3446588287526</v>
      </c>
      <c r="L23" s="7">
        <v>23</v>
      </c>
      <c r="M23" s="1">
        <v>0.98408166666666597</v>
      </c>
      <c r="N23" s="1">
        <v>39.798205701320498</v>
      </c>
      <c r="O23" s="1">
        <v>0.98977321164375398</v>
      </c>
      <c r="P23" s="1">
        <v>19.902607316984199</v>
      </c>
      <c r="Q23" s="1">
        <v>42.926663026388297</v>
      </c>
      <c r="R23" s="1">
        <v>0.99188372783129097</v>
      </c>
      <c r="S23" s="8">
        <v>20.906433978897699</v>
      </c>
      <c r="T23" s="7"/>
      <c r="U23" s="1"/>
      <c r="V23" s="1"/>
      <c r="W23" s="8"/>
      <c r="X23" s="7"/>
      <c r="Y23" s="1"/>
      <c r="Z23" s="1"/>
      <c r="AA23" s="8"/>
      <c r="AB23" s="7">
        <v>64</v>
      </c>
      <c r="AC23" s="1">
        <v>0.821932</v>
      </c>
      <c r="AD23" s="1">
        <v>39.1014965355782</v>
      </c>
      <c r="AE23" s="1">
        <v>0.98868767641495903</v>
      </c>
      <c r="AF23" s="1">
        <v>19.464481805284802</v>
      </c>
      <c r="AG23" s="1">
        <v>42.250720644363597</v>
      </c>
      <c r="AH23" s="1">
        <v>0.99003578314909901</v>
      </c>
      <c r="AI23" s="1">
        <v>20.015568294971501</v>
      </c>
      <c r="AJ23" s="1">
        <v>395.92864394187899</v>
      </c>
      <c r="AK23" s="1">
        <v>192.014691829681</v>
      </c>
      <c r="AL23" s="7"/>
      <c r="AM23" s="1"/>
      <c r="AN23" s="1"/>
      <c r="AO23" s="8"/>
      <c r="AP23" s="1"/>
      <c r="AQ23" s="1"/>
      <c r="AR23" s="1"/>
      <c r="AS23" s="8"/>
      <c r="AT23" s="7">
        <v>1.28</v>
      </c>
      <c r="AU23" s="1">
        <v>0.85251699999999997</v>
      </c>
      <c r="AV23" s="1">
        <v>37.7155651484318</v>
      </c>
      <c r="AW23" s="1">
        <v>0.99394485537831601</v>
      </c>
      <c r="AX23" s="1">
        <v>22.1787547966392</v>
      </c>
      <c r="AY23" s="1">
        <v>41.137419872963299</v>
      </c>
      <c r="AZ23" s="1">
        <v>0.99470819664943599</v>
      </c>
      <c r="BA23" s="1">
        <v>22.7639630306196</v>
      </c>
      <c r="BB23" s="1">
        <v>455.20904374122603</v>
      </c>
      <c r="BC23" s="1">
        <v>246.839493751525</v>
      </c>
      <c r="BD23" s="7"/>
      <c r="BE23" s="1"/>
      <c r="BF23" s="1"/>
      <c r="BG23" s="8"/>
      <c r="BH23" s="1"/>
      <c r="BI23" s="1"/>
      <c r="BJ23" s="1"/>
      <c r="BK23" s="8"/>
    </row>
    <row r="24" spans="1:63">
      <c r="A24" s="49"/>
      <c r="B24" s="7" t="s">
        <v>18</v>
      </c>
      <c r="C24" s="17">
        <v>0.5</v>
      </c>
      <c r="D24" s="7">
        <v>28</v>
      </c>
      <c r="E24" s="1">
        <v>0.49948199999999998</v>
      </c>
      <c r="F24" s="1">
        <v>36.794260346894603</v>
      </c>
      <c r="G24" s="1">
        <v>0.97820182403700195</v>
      </c>
      <c r="H24" s="1">
        <v>16.6157984595262</v>
      </c>
      <c r="I24" s="1">
        <v>40.095245873052697</v>
      </c>
      <c r="J24" s="1">
        <v>0.98124108076640304</v>
      </c>
      <c r="K24" s="8">
        <v>17.2679218644769</v>
      </c>
      <c r="L24" s="7">
        <v>27</v>
      </c>
      <c r="M24" s="1">
        <v>0.42195633333333299</v>
      </c>
      <c r="N24" s="1">
        <v>36.743613072245303</v>
      </c>
      <c r="O24" s="1">
        <v>0.97809062526172996</v>
      </c>
      <c r="P24" s="1">
        <v>16.593700163961099</v>
      </c>
      <c r="Q24" s="1">
        <v>40.0847775511712</v>
      </c>
      <c r="R24" s="1">
        <v>0.98073464323977499</v>
      </c>
      <c r="S24" s="8">
        <v>17.1522294421327</v>
      </c>
      <c r="T24" s="7"/>
      <c r="U24" s="1"/>
      <c r="V24" s="1"/>
      <c r="W24" s="8"/>
      <c r="X24" s="7"/>
      <c r="Y24" s="1"/>
      <c r="Z24" s="1"/>
      <c r="AA24" s="8"/>
      <c r="AB24" s="7">
        <v>32</v>
      </c>
      <c r="AC24" s="1">
        <v>0.400003</v>
      </c>
      <c r="AD24" s="1">
        <v>36.758804672870703</v>
      </c>
      <c r="AE24" s="1">
        <v>0.97856408496209502</v>
      </c>
      <c r="AF24" s="1">
        <v>16.688579729683301</v>
      </c>
      <c r="AG24" s="1">
        <v>40.100898819725202</v>
      </c>
      <c r="AH24" s="1">
        <v>0.98025794860361504</v>
      </c>
      <c r="AI24" s="1">
        <v>17.046077217858699</v>
      </c>
      <c r="AJ24" s="1">
        <v>357.87660169601401</v>
      </c>
      <c r="AK24" s="1">
        <v>198.852970361709</v>
      </c>
      <c r="AL24" s="7"/>
      <c r="AM24" s="1"/>
      <c r="AN24" s="1"/>
      <c r="AO24" s="8"/>
      <c r="AP24" s="1"/>
      <c r="AQ24" s="1"/>
      <c r="AR24" s="1"/>
      <c r="AS24" s="8"/>
      <c r="AT24" s="7">
        <v>0.64</v>
      </c>
      <c r="AU24" s="1">
        <v>0.54899433333333303</v>
      </c>
      <c r="AV24" s="1">
        <v>36.212737658998897</v>
      </c>
      <c r="AW24" s="1">
        <v>0.99038148529501002</v>
      </c>
      <c r="AX24" s="1">
        <v>20.1689198671782</v>
      </c>
      <c r="AY24" s="1">
        <v>39.659023522458199</v>
      </c>
      <c r="AZ24" s="1">
        <v>0.99141256389601096</v>
      </c>
      <c r="BA24" s="1">
        <v>20.661364813487701</v>
      </c>
      <c r="BB24" s="1">
        <v>507.68837785720802</v>
      </c>
      <c r="BC24" s="1">
        <v>299.54127097129799</v>
      </c>
      <c r="BD24" s="7"/>
      <c r="BE24" s="1"/>
      <c r="BF24" s="1"/>
      <c r="BG24" s="8"/>
      <c r="BH24" s="1"/>
      <c r="BI24" s="1"/>
      <c r="BJ24" s="1"/>
      <c r="BK24" s="8"/>
    </row>
    <row r="25" spans="1:63">
      <c r="A25" s="49"/>
      <c r="B25" s="7" t="s">
        <v>18</v>
      </c>
      <c r="C25" s="17">
        <v>0.25</v>
      </c>
      <c r="D25" s="7">
        <v>31</v>
      </c>
      <c r="E25" s="1">
        <v>0.19146333333333301</v>
      </c>
      <c r="F25" s="1">
        <v>35.009006534032302</v>
      </c>
      <c r="G25" s="1">
        <v>0.96544388591808705</v>
      </c>
      <c r="H25" s="1">
        <v>14.614751009057599</v>
      </c>
      <c r="I25" s="1">
        <v>38.403432150384901</v>
      </c>
      <c r="J25" s="1">
        <v>0.96907875449631198</v>
      </c>
      <c r="K25" s="8">
        <v>15.0974302107697</v>
      </c>
      <c r="L25" s="7">
        <v>29</v>
      </c>
      <c r="M25" s="1">
        <v>0.21124933333333301</v>
      </c>
      <c r="N25" s="1">
        <v>35.4046489616074</v>
      </c>
      <c r="O25" s="1">
        <v>0.96887717362644898</v>
      </c>
      <c r="P25" s="1">
        <v>15.0692097007889</v>
      </c>
      <c r="Q25" s="1">
        <v>38.845101697942901</v>
      </c>
      <c r="R25" s="1">
        <v>0.97178376994192905</v>
      </c>
      <c r="S25" s="8">
        <v>15.495010123516501</v>
      </c>
      <c r="T25" s="7"/>
      <c r="U25" s="1"/>
      <c r="V25" s="1"/>
      <c r="W25" s="8"/>
      <c r="X25" s="7"/>
      <c r="Y25" s="1"/>
      <c r="Z25" s="1"/>
      <c r="AA25" s="8"/>
      <c r="AB25" s="7">
        <v>16</v>
      </c>
      <c r="AC25" s="1">
        <v>0.14177466666666599</v>
      </c>
      <c r="AD25" s="1">
        <v>35.003371622052697</v>
      </c>
      <c r="AE25" s="1">
        <v>0.96624368451055798</v>
      </c>
      <c r="AF25" s="1">
        <v>14.716449628144399</v>
      </c>
      <c r="AG25" s="1">
        <v>38.390772987853197</v>
      </c>
      <c r="AH25" s="1">
        <v>0.96833738566828098</v>
      </c>
      <c r="AI25" s="1">
        <v>14.994532289883599</v>
      </c>
      <c r="AJ25" s="1">
        <v>404.06580638885498</v>
      </c>
      <c r="AK25" s="1">
        <v>272.46061301231299</v>
      </c>
      <c r="AL25" s="7"/>
      <c r="AM25" s="1"/>
      <c r="AN25" s="1"/>
      <c r="AO25" s="8"/>
      <c r="AP25" s="1"/>
      <c r="AQ25" s="1"/>
      <c r="AR25" s="1"/>
      <c r="AS25" s="8"/>
      <c r="AT25" s="7">
        <v>0.16</v>
      </c>
      <c r="AU25" s="1">
        <v>0.238721666666666</v>
      </c>
      <c r="AV25" s="1">
        <v>34.754894212561901</v>
      </c>
      <c r="AW25" s="1">
        <v>0.97903062096894</v>
      </c>
      <c r="AX25" s="1">
        <v>16.784144301630398</v>
      </c>
      <c r="AY25" s="1">
        <v>37.975564248787997</v>
      </c>
      <c r="AZ25" s="1">
        <v>0.98103731107067005</v>
      </c>
      <c r="BA25" s="1">
        <v>17.2210007921475</v>
      </c>
      <c r="BB25" s="1">
        <v>423.99135446548399</v>
      </c>
      <c r="BC25" s="1">
        <v>303.35669255256602</v>
      </c>
      <c r="BD25" s="7"/>
      <c r="BE25" s="1"/>
      <c r="BF25" s="1"/>
      <c r="BG25" s="8"/>
      <c r="BH25" s="1"/>
      <c r="BI25" s="1"/>
      <c r="BJ25" s="1"/>
      <c r="BK25" s="8"/>
    </row>
    <row r="26" spans="1:63">
      <c r="A26" s="49"/>
      <c r="B26" s="7" t="s">
        <v>18</v>
      </c>
      <c r="C26" s="17">
        <v>0.12</v>
      </c>
      <c r="D26" s="7">
        <v>34</v>
      </c>
      <c r="E26" s="1">
        <v>0.118994666666666</v>
      </c>
      <c r="F26" s="1">
        <v>34.398624952381901</v>
      </c>
      <c r="G26" s="1">
        <v>0.95990218058926502</v>
      </c>
      <c r="H26" s="1">
        <v>13.9687924442807</v>
      </c>
      <c r="I26" s="1">
        <v>37.6968778133282</v>
      </c>
      <c r="J26" s="1">
        <v>0.96432576282690596</v>
      </c>
      <c r="K26" s="8">
        <v>14.4764530469006</v>
      </c>
      <c r="L26" s="7">
        <v>32</v>
      </c>
      <c r="M26" s="1">
        <v>0.105283</v>
      </c>
      <c r="N26" s="1">
        <v>34.580091629571399</v>
      </c>
      <c r="O26" s="1">
        <v>0.96208851013294105</v>
      </c>
      <c r="P26" s="1">
        <v>14.212291480893001</v>
      </c>
      <c r="Q26" s="1">
        <v>37.982734631778499</v>
      </c>
      <c r="R26" s="1">
        <v>0.96544418189859604</v>
      </c>
      <c r="S26" s="8">
        <v>14.6147882074682</v>
      </c>
      <c r="T26" s="7"/>
      <c r="U26" s="1"/>
      <c r="V26" s="1"/>
      <c r="W26" s="8"/>
      <c r="X26" s="7"/>
      <c r="Y26" s="1"/>
      <c r="Z26" s="1"/>
      <c r="AA26" s="8"/>
      <c r="AB26" s="7">
        <v>8</v>
      </c>
      <c r="AC26" s="1">
        <v>9.1324333333333299E-2</v>
      </c>
      <c r="AD26" s="1">
        <v>34.452191340750403</v>
      </c>
      <c r="AE26" s="1">
        <v>0.96169774746204395</v>
      </c>
      <c r="AF26" s="1">
        <v>14.167756846204499</v>
      </c>
      <c r="AG26" s="1">
        <v>37.753512278413503</v>
      </c>
      <c r="AH26" s="1">
        <v>0.96427143717014796</v>
      </c>
      <c r="AI26" s="1">
        <v>14.469844528045</v>
      </c>
      <c r="AJ26" s="1">
        <v>299.08114480972199</v>
      </c>
      <c r="AK26" s="1">
        <v>191.080267906188</v>
      </c>
      <c r="AL26" s="7"/>
      <c r="AM26" s="1"/>
      <c r="AN26" s="1"/>
      <c r="AO26" s="8"/>
      <c r="AP26" s="1"/>
      <c r="AQ26" s="1"/>
      <c r="AR26" s="1"/>
      <c r="AS26" s="8"/>
      <c r="AT26" s="7">
        <v>0.08</v>
      </c>
      <c r="AU26" s="1">
        <v>0.100317666666666</v>
      </c>
      <c r="AV26" s="1">
        <v>33.6730812095754</v>
      </c>
      <c r="AW26" s="1">
        <v>0.96641893262397605</v>
      </c>
      <c r="AX26" s="1">
        <v>14.7390550390523</v>
      </c>
      <c r="AY26" s="1">
        <v>36.707502420063598</v>
      </c>
      <c r="AZ26" s="1">
        <v>0.96908104943262596</v>
      </c>
      <c r="BA26" s="1">
        <v>15.097752550685</v>
      </c>
      <c r="BB26" s="1">
        <v>278.79515910148598</v>
      </c>
      <c r="BC26" s="1">
        <v>183.12980008125299</v>
      </c>
      <c r="BD26" s="7"/>
      <c r="BE26" s="1"/>
      <c r="BF26" s="1"/>
      <c r="BG26" s="8"/>
      <c r="BH26" s="1"/>
      <c r="BI26" s="1"/>
      <c r="BJ26" s="1"/>
      <c r="BK26" s="8"/>
    </row>
    <row r="27" spans="1:63">
      <c r="A27" s="49"/>
      <c r="B27" s="7" t="s">
        <v>18</v>
      </c>
      <c r="C27" s="17">
        <v>0.06</v>
      </c>
      <c r="D27" s="7">
        <v>40</v>
      </c>
      <c r="E27" s="1">
        <v>5.3208999999999999E-2</v>
      </c>
      <c r="F27" s="1">
        <v>33.054104088654398</v>
      </c>
      <c r="G27" s="1">
        <v>0.94514436600767304</v>
      </c>
      <c r="H27" s="1">
        <v>12.6077876123195</v>
      </c>
      <c r="I27" s="1">
        <v>36.201077256269798</v>
      </c>
      <c r="J27" s="1">
        <v>0.95192333722155198</v>
      </c>
      <c r="K27" s="8">
        <v>13.180656863299101</v>
      </c>
      <c r="L27" s="7">
        <v>36</v>
      </c>
      <c r="M27" s="1">
        <v>5.9694999999999998E-2</v>
      </c>
      <c r="N27" s="1">
        <v>33.824549165143701</v>
      </c>
      <c r="O27" s="1">
        <v>0.95465021962635499</v>
      </c>
      <c r="P27" s="1">
        <v>13.434248118617701</v>
      </c>
      <c r="Q27" s="1">
        <v>37.139292660196297</v>
      </c>
      <c r="R27" s="1">
        <v>0.95892865826522999</v>
      </c>
      <c r="S27" s="8">
        <v>13.864611092113901</v>
      </c>
      <c r="T27" s="7"/>
      <c r="U27" s="1"/>
      <c r="V27" s="1"/>
      <c r="W27" s="8"/>
      <c r="X27" s="7"/>
      <c r="Y27" s="1"/>
      <c r="Z27" s="1"/>
      <c r="AA27" s="8"/>
      <c r="AB27" s="7">
        <v>4</v>
      </c>
      <c r="AC27" s="1">
        <v>6.1622999999999997E-2</v>
      </c>
      <c r="AD27" s="1">
        <v>33.853160224122902</v>
      </c>
      <c r="AE27" s="1">
        <v>0.956426929986256</v>
      </c>
      <c r="AF27" s="1">
        <v>13.607818400399699</v>
      </c>
      <c r="AG27" s="1">
        <v>37.037066451578902</v>
      </c>
      <c r="AH27" s="1">
        <v>0.95968328081632903</v>
      </c>
      <c r="AI27" s="1">
        <v>13.945148163045999</v>
      </c>
      <c r="AJ27" s="1">
        <v>396.33335423469498</v>
      </c>
      <c r="AK27" s="1">
        <v>284.46322798728897</v>
      </c>
      <c r="AL27" s="7"/>
      <c r="AM27" s="1"/>
      <c r="AN27" s="1"/>
      <c r="AO27" s="8"/>
      <c r="AP27" s="1"/>
      <c r="AQ27" s="1"/>
      <c r="AR27" s="1"/>
      <c r="AS27" s="8"/>
      <c r="AT27" s="7">
        <v>0.04</v>
      </c>
      <c r="AU27" s="1">
        <v>5.3408999999999998E-2</v>
      </c>
      <c r="AV27" s="1">
        <v>32.646702942049501</v>
      </c>
      <c r="AW27" s="1">
        <v>0.95846077566967203</v>
      </c>
      <c r="AX27" s="1">
        <v>13.815416173869499</v>
      </c>
      <c r="AY27" s="1">
        <v>35.483041998904497</v>
      </c>
      <c r="AZ27" s="1">
        <v>0.96199800247169898</v>
      </c>
      <c r="BA27" s="1">
        <v>14.201935746274501</v>
      </c>
      <c r="BB27" s="1">
        <v>402.40376830101002</v>
      </c>
      <c r="BC27" s="1">
        <v>303.82577896118102</v>
      </c>
      <c r="BD27" s="7"/>
      <c r="BE27" s="1"/>
      <c r="BF27" s="1"/>
      <c r="BG27" s="8"/>
      <c r="BH27" s="1"/>
      <c r="BI27" s="1"/>
      <c r="BJ27" s="1"/>
      <c r="BK27" s="8"/>
    </row>
    <row r="28" spans="1:63">
      <c r="A28" s="49"/>
      <c r="B28" s="7" t="s">
        <v>23</v>
      </c>
      <c r="C28" s="17">
        <v>1.5</v>
      </c>
      <c r="D28" s="7">
        <v>13</v>
      </c>
      <c r="E28" s="1">
        <v>1.3879113333333299</v>
      </c>
      <c r="F28" s="1">
        <v>49.3351333582564</v>
      </c>
      <c r="G28" s="1">
        <v>0.99875725129113502</v>
      </c>
      <c r="H28" s="1">
        <v>29.056166793925399</v>
      </c>
      <c r="I28" s="1">
        <v>52.5290915192139</v>
      </c>
      <c r="J28" s="1">
        <v>0.99924108469258199</v>
      </c>
      <c r="K28" s="8">
        <v>31.198066873105599</v>
      </c>
      <c r="L28" s="7">
        <v>10</v>
      </c>
      <c r="M28" s="1">
        <v>1.44548733333333</v>
      </c>
      <c r="N28" s="1">
        <v>49.6050529731246</v>
      </c>
      <c r="O28" s="1">
        <v>0.99887272152627204</v>
      </c>
      <c r="P28" s="1">
        <v>29.479687861152001</v>
      </c>
      <c r="Q28" s="1">
        <v>52.874606255887699</v>
      </c>
      <c r="R28" s="1">
        <v>0.99931749524965596</v>
      </c>
      <c r="S28" s="8">
        <v>31.658943215164701</v>
      </c>
      <c r="T28" s="13">
        <f>bdrate(E28:E31,F28:F31,M28:M31,N28:N31)</f>
        <v>-0.12914455564662441</v>
      </c>
      <c r="U28" s="12">
        <f>bdrate(E28:E31,H28:H31,M28:M31,P28:P31)</f>
        <v>-0.14862625011646358</v>
      </c>
      <c r="V28" s="12">
        <f>bdrate(E28:E31,I28:I31,M28:M31,Q28:Q31)</f>
        <v>-0.1325904996371009</v>
      </c>
      <c r="W28" s="14">
        <f>bdrate(E28:E31,K28:K31,M28:M31,S28:S31)</f>
        <v>-0.11991140283477786</v>
      </c>
      <c r="X28" s="13">
        <f>bdrate(E30:E33,F30:F33,M30:M33,N30:N33)</f>
        <v>-0.24521699242783845</v>
      </c>
      <c r="Y28" s="12">
        <f>bdrate(E30:E33,H30:H33,M30:M33,P30:P33)</f>
        <v>-0.242569323245858</v>
      </c>
      <c r="Z28" s="12">
        <f>bdrate(E30:E33,I30:I33,M30:M33,Q30:Q33)</f>
        <v>-0.24543461029635172</v>
      </c>
      <c r="AA28" s="14">
        <f>bdrate(E30:E33,K30:K33,M30:M33,S30:S33)</f>
        <v>-0.20304219751672647</v>
      </c>
      <c r="AB28" s="7">
        <v>256</v>
      </c>
      <c r="AC28" s="1">
        <v>0.50826300000000002</v>
      </c>
      <c r="AD28" s="1">
        <v>46.465583919372101</v>
      </c>
      <c r="AE28" s="1">
        <v>0.99771685838187996</v>
      </c>
      <c r="AF28" s="1">
        <v>26.414671493681599</v>
      </c>
      <c r="AG28" s="1">
        <v>49.339763922015798</v>
      </c>
      <c r="AH28" s="1">
        <v>0.99818117791330196</v>
      </c>
      <c r="AI28" s="1">
        <v>27.4020978062</v>
      </c>
      <c r="AJ28" s="1">
        <v>724.78445410728398</v>
      </c>
      <c r="AK28" s="1">
        <v>284.55185723304697</v>
      </c>
      <c r="AL28" s="13">
        <f>bdrate(E28:E31,F28:F31,AC28:AC31,AD28:AD31)</f>
        <v>-0.19842975524681139</v>
      </c>
      <c r="AM28" s="12">
        <f>bdrate(E28:E31,H28:H31,AC28:AC31,AF28:AF31)</f>
        <v>-0.22807128112859676</v>
      </c>
      <c r="AN28" s="12">
        <f>bdrate(E28:E31,I28:I31,AC28:AC31,AG28:AG31)</f>
        <v>-0.14753411090303048</v>
      </c>
      <c r="AO28" s="14">
        <f>bdrate(E28:E31,K28:K31,AC28:AC31,AI28:AI31)</f>
        <v>-0.14030328258831604</v>
      </c>
      <c r="AP28" s="12">
        <f>bdrate(E30:E33,F30:F33,AC30:AC33,AD30:AD33)</f>
        <v>-0.22385227667482244</v>
      </c>
      <c r="AQ28" s="12">
        <f>bdrate(E30:E33,H30:H33,AC30:AC33,AF30:AF33)</f>
        <v>-0.25285358767146471</v>
      </c>
      <c r="AR28" s="12">
        <f>bdrate(E30:E33,I30:I33,AC30:AC33,AG30:AG33)</f>
        <v>-0.17786635567562403</v>
      </c>
      <c r="AS28" s="14">
        <f>bdrate(E30:E33,K30:K33,AC30:AC33,AI30:AI33)</f>
        <v>-0.19101230508050326</v>
      </c>
      <c r="AT28" s="7">
        <v>6.4</v>
      </c>
      <c r="AU28" s="1">
        <v>0.70379966666666605</v>
      </c>
      <c r="AV28" s="1">
        <v>46.180172696780502</v>
      </c>
      <c r="AW28" s="1">
        <v>0.99894064034750496</v>
      </c>
      <c r="AX28" s="1">
        <v>29.7495657192589</v>
      </c>
      <c r="AY28" s="1">
        <v>49.099745777505703</v>
      </c>
      <c r="AZ28" s="1">
        <v>0.99921540733624303</v>
      </c>
      <c r="BA28" s="1">
        <v>31.053557570082301</v>
      </c>
      <c r="BB28" s="1">
        <v>1257.6843202114101</v>
      </c>
      <c r="BC28" s="1">
        <v>303.15126442909201</v>
      </c>
      <c r="BD28" s="13">
        <f>bdrate(E28:E31,F28:F31,AU28:AU31,AV28:AV31)</f>
        <v>0.31972751373155539</v>
      </c>
      <c r="BE28" s="12">
        <f>bdrate(E28:E31,H28:H31,AU28:AU31,AX28:AX31)</f>
        <v>-0.51460964415808341</v>
      </c>
      <c r="BF28" s="12">
        <f>bdrate(E28:E31,I28:I31,AU28:AU31,AY28:AY31)</f>
        <v>0.373722786767819</v>
      </c>
      <c r="BG28" s="14">
        <f>bdrate(E28:E31,K28:K31,AU28:AU31,BA28:BA31)</f>
        <v>-0.45394942975945973</v>
      </c>
      <c r="BH28" s="12">
        <f>bdrate(E30:E33,F30:F33,AU30:AU33,AV30:AV33)</f>
        <v>0.18348000619808258</v>
      </c>
      <c r="BI28" s="12">
        <f>bdrate(E30:E33,H30:H33,AU30:AU33,AX30:AX33)</f>
        <v>-0.46784876762361738</v>
      </c>
      <c r="BJ28" s="12">
        <f>bdrate(E30:E33,I30:I33,AU30:AU33,AY30:AY33)</f>
        <v>0.24059637474869322</v>
      </c>
      <c r="BK28" s="14">
        <f>bdrate(E30:E33,K30:K33,AU30:AU33,BA30:BA33)</f>
        <v>-0.43995492410004633</v>
      </c>
    </row>
    <row r="29" spans="1:63">
      <c r="A29" s="49"/>
      <c r="B29" s="7" t="s">
        <v>18</v>
      </c>
      <c r="C29" s="17">
        <v>1</v>
      </c>
      <c r="D29" s="7">
        <v>16</v>
      </c>
      <c r="E29" s="1">
        <v>0.92608266666666605</v>
      </c>
      <c r="F29" s="1">
        <v>47.847571968469097</v>
      </c>
      <c r="G29" s="1">
        <v>0.998261856701668</v>
      </c>
      <c r="H29" s="1">
        <v>27.599144217254601</v>
      </c>
      <c r="I29" s="1">
        <v>50.953697279562498</v>
      </c>
      <c r="J29" s="1">
        <v>0.99884196778501899</v>
      </c>
      <c r="K29" s="8">
        <v>29.3627935892154</v>
      </c>
      <c r="L29" s="7">
        <v>13</v>
      </c>
      <c r="M29" s="1">
        <v>0.99324533333333298</v>
      </c>
      <c r="N29" s="1">
        <v>48.438270248230999</v>
      </c>
      <c r="O29" s="1">
        <v>0.99852110349529299</v>
      </c>
      <c r="P29" s="1">
        <v>28.300622174888399</v>
      </c>
      <c r="Q29" s="1">
        <v>51.602284892247702</v>
      </c>
      <c r="R29" s="1">
        <v>0.99903713473929701</v>
      </c>
      <c r="S29" s="8">
        <v>30.164344819591701</v>
      </c>
      <c r="T29" s="7"/>
      <c r="U29" s="1"/>
      <c r="V29" s="1"/>
      <c r="W29" s="8"/>
      <c r="X29" s="7"/>
      <c r="Y29" s="1"/>
      <c r="Z29" s="1"/>
      <c r="AA29" s="8"/>
      <c r="AB29" s="7">
        <v>128</v>
      </c>
      <c r="AC29" s="1">
        <v>0.32793233333333299</v>
      </c>
      <c r="AD29" s="1">
        <v>45.238134647457201</v>
      </c>
      <c r="AE29" s="1">
        <v>0.99676721610783303</v>
      </c>
      <c r="AF29" s="1">
        <v>24.904233264977901</v>
      </c>
      <c r="AG29" s="1">
        <v>48.111266131921496</v>
      </c>
      <c r="AH29" s="1">
        <v>0.997415096383928</v>
      </c>
      <c r="AI29" s="1">
        <v>25.875556459119299</v>
      </c>
      <c r="AJ29" s="1">
        <v>824.51865887641895</v>
      </c>
      <c r="AK29" s="1">
        <v>313.78662037849398</v>
      </c>
      <c r="AL29" s="7"/>
      <c r="AM29" s="1"/>
      <c r="AN29" s="1"/>
      <c r="AO29" s="8"/>
      <c r="AP29" s="1"/>
      <c r="AQ29" s="1"/>
      <c r="AR29" s="1"/>
      <c r="AS29" s="8"/>
      <c r="AT29" s="7">
        <v>3.2</v>
      </c>
      <c r="AU29" s="1">
        <v>0.50707400000000002</v>
      </c>
      <c r="AV29" s="1">
        <v>44.929604500153403</v>
      </c>
      <c r="AW29" s="1">
        <v>0.998512991671756</v>
      </c>
      <c r="AX29" s="1">
        <v>28.27686599131</v>
      </c>
      <c r="AY29" s="1">
        <v>47.8836649110794</v>
      </c>
      <c r="AZ29" s="1">
        <v>0.99886389401737197</v>
      </c>
      <c r="BA29" s="1">
        <v>29.4458115319933</v>
      </c>
      <c r="BB29" s="1">
        <v>1717.22472214698</v>
      </c>
      <c r="BC29" s="1">
        <v>508.65915131568897</v>
      </c>
      <c r="BD29" s="7"/>
      <c r="BE29" s="1"/>
      <c r="BF29" s="1"/>
      <c r="BG29" s="8"/>
      <c r="BH29" s="1"/>
      <c r="BI29" s="1"/>
      <c r="BJ29" s="1"/>
      <c r="BK29" s="8"/>
    </row>
    <row r="30" spans="1:63">
      <c r="A30" s="49"/>
      <c r="B30" s="7" t="s">
        <v>18</v>
      </c>
      <c r="C30" s="17">
        <v>0.5</v>
      </c>
      <c r="D30" s="7">
        <v>21</v>
      </c>
      <c r="E30" s="1">
        <v>0.44410733333333302</v>
      </c>
      <c r="F30" s="1">
        <v>45.448254825627998</v>
      </c>
      <c r="G30" s="1">
        <v>0.99687235931381901</v>
      </c>
      <c r="H30" s="1">
        <v>25.047831459486499</v>
      </c>
      <c r="I30" s="1">
        <v>48.524310625653001</v>
      </c>
      <c r="J30" s="1">
        <v>0.99773531862236098</v>
      </c>
      <c r="K30" s="8">
        <v>26.449928910758299</v>
      </c>
      <c r="L30" s="7">
        <v>18</v>
      </c>
      <c r="M30" s="1">
        <v>0.46295266666666601</v>
      </c>
      <c r="N30" s="1">
        <v>46.0517786694828</v>
      </c>
      <c r="O30" s="1">
        <v>0.99734357022369002</v>
      </c>
      <c r="P30" s="1">
        <v>25.757016603356501</v>
      </c>
      <c r="Q30" s="1">
        <v>49.134874371367601</v>
      </c>
      <c r="R30" s="1">
        <v>0.99803558316088403</v>
      </c>
      <c r="S30" s="8">
        <v>27.0676635172237</v>
      </c>
      <c r="T30" s="7"/>
      <c r="U30" s="1"/>
      <c r="V30" s="1"/>
      <c r="W30" s="8"/>
      <c r="X30" s="7"/>
      <c r="Y30" s="1"/>
      <c r="Z30" s="1"/>
      <c r="AA30" s="8"/>
      <c r="AB30" s="7">
        <v>64</v>
      </c>
      <c r="AC30" s="1">
        <v>0.230863666666666</v>
      </c>
      <c r="AD30" s="1">
        <v>43.962295017427003</v>
      </c>
      <c r="AE30" s="1">
        <v>0.995563052411084</v>
      </c>
      <c r="AF30" s="1">
        <v>23.529157013215499</v>
      </c>
      <c r="AG30" s="1">
        <v>46.823027529818702</v>
      </c>
      <c r="AH30" s="1">
        <v>0.996448378417914</v>
      </c>
      <c r="AI30" s="1">
        <v>24.495733136048599</v>
      </c>
      <c r="AJ30" s="1">
        <v>473.63056921958901</v>
      </c>
      <c r="AK30" s="1">
        <v>191.6354367733</v>
      </c>
      <c r="AL30" s="7"/>
      <c r="AM30" s="1"/>
      <c r="AN30" s="1"/>
      <c r="AO30" s="8"/>
      <c r="AP30" s="1"/>
      <c r="AQ30" s="1"/>
      <c r="AR30" s="1"/>
      <c r="AS30" s="8"/>
      <c r="AT30" s="7">
        <v>1.28</v>
      </c>
      <c r="AU30" s="1">
        <v>0.30083633333333298</v>
      </c>
      <c r="AV30" s="1">
        <v>43.211541654956598</v>
      </c>
      <c r="AW30" s="1">
        <v>0.997520103743746</v>
      </c>
      <c r="AX30" s="1">
        <v>26.055664870282001</v>
      </c>
      <c r="AY30" s="1">
        <v>46.138690485894699</v>
      </c>
      <c r="AZ30" s="1">
        <v>0.99809193021676501</v>
      </c>
      <c r="BA30" s="1">
        <v>27.194057460263199</v>
      </c>
      <c r="BB30" s="1">
        <v>531.66887402534405</v>
      </c>
      <c r="BC30" s="1">
        <v>255.58825206756501</v>
      </c>
      <c r="BD30" s="7"/>
      <c r="BE30" s="1"/>
      <c r="BF30" s="1"/>
      <c r="BG30" s="8"/>
      <c r="BH30" s="1"/>
      <c r="BI30" s="1"/>
      <c r="BJ30" s="1"/>
      <c r="BK30" s="8"/>
    </row>
    <row r="31" spans="1:63">
      <c r="A31" s="49"/>
      <c r="B31" s="7" t="s">
        <v>18</v>
      </c>
      <c r="C31" s="17">
        <v>0.25</v>
      </c>
      <c r="D31" s="7">
        <v>26</v>
      </c>
      <c r="E31" s="1">
        <v>0.24504366666666599</v>
      </c>
      <c r="F31" s="1">
        <v>43.436063144493502</v>
      </c>
      <c r="G31" s="1">
        <v>0.99471260930373595</v>
      </c>
      <c r="H31" s="1">
        <v>22.767585974892899</v>
      </c>
      <c r="I31" s="1">
        <v>46.517523653792601</v>
      </c>
      <c r="J31" s="1">
        <v>0.99609252375091295</v>
      </c>
      <c r="K31" s="8">
        <v>24.081036530840802</v>
      </c>
      <c r="L31" s="7">
        <v>23</v>
      </c>
      <c r="M31" s="1">
        <v>0.239484</v>
      </c>
      <c r="N31" s="1">
        <v>44.2044196959923</v>
      </c>
      <c r="O31" s="1">
        <v>0.995700215295655</v>
      </c>
      <c r="P31" s="1">
        <v>23.665532895497002</v>
      </c>
      <c r="Q31" s="1">
        <v>47.2878286188771</v>
      </c>
      <c r="R31" s="1">
        <v>0.99671291021654596</v>
      </c>
      <c r="S31" s="8">
        <v>24.831884334522801</v>
      </c>
      <c r="T31" s="7"/>
      <c r="U31" s="1"/>
      <c r="V31" s="1"/>
      <c r="W31" s="8"/>
      <c r="X31" s="7"/>
      <c r="Y31" s="1"/>
      <c r="Z31" s="1"/>
      <c r="AA31" s="8"/>
      <c r="AB31" s="7">
        <v>32</v>
      </c>
      <c r="AC31" s="1">
        <v>0.15693633333333301</v>
      </c>
      <c r="AD31" s="1">
        <v>42.692729406726301</v>
      </c>
      <c r="AE31" s="1">
        <v>0.99381648630394903</v>
      </c>
      <c r="AF31" s="1">
        <v>22.087646729426702</v>
      </c>
      <c r="AG31" s="1">
        <v>45.556075281982402</v>
      </c>
      <c r="AH31" s="1">
        <v>0.99496474287516801</v>
      </c>
      <c r="AI31" s="1">
        <v>22.979783473458799</v>
      </c>
      <c r="AJ31" s="1">
        <v>368.44235491752602</v>
      </c>
      <c r="AK31" s="1">
        <v>198.17578506469701</v>
      </c>
      <c r="AL31" s="7"/>
      <c r="AM31" s="1"/>
      <c r="AN31" s="1"/>
      <c r="AO31" s="8"/>
      <c r="AP31" s="1"/>
      <c r="AQ31" s="1"/>
      <c r="AR31" s="1"/>
      <c r="AS31" s="8"/>
      <c r="AT31" s="7">
        <v>0.64</v>
      </c>
      <c r="AU31" s="1">
        <v>0.19883300000000001</v>
      </c>
      <c r="AV31" s="1">
        <v>41.894922394843199</v>
      </c>
      <c r="AW31" s="1">
        <v>0.996481793459428</v>
      </c>
      <c r="AX31" s="1">
        <v>24.536786683471401</v>
      </c>
      <c r="AY31" s="1">
        <v>44.836966429948397</v>
      </c>
      <c r="AZ31" s="1">
        <v>0.99725569429315497</v>
      </c>
      <c r="BA31" s="1">
        <v>25.6156751125956</v>
      </c>
      <c r="BB31" s="1">
        <v>517.30223941802899</v>
      </c>
      <c r="BC31" s="1">
        <v>314.38155007362298</v>
      </c>
      <c r="BD31" s="7"/>
      <c r="BE31" s="1"/>
      <c r="BF31" s="1"/>
      <c r="BG31" s="8"/>
      <c r="BH31" s="1"/>
      <c r="BI31" s="1"/>
      <c r="BJ31" s="1"/>
      <c r="BK31" s="8"/>
    </row>
    <row r="32" spans="1:63">
      <c r="A32" s="49"/>
      <c r="B32" s="7" t="s">
        <v>18</v>
      </c>
      <c r="C32" s="17">
        <v>0.12</v>
      </c>
      <c r="D32" s="7">
        <v>33</v>
      </c>
      <c r="E32" s="1">
        <v>0.10713766666666601</v>
      </c>
      <c r="F32" s="1">
        <v>40.214770681701403</v>
      </c>
      <c r="G32" s="1">
        <v>0.98842440754103</v>
      </c>
      <c r="H32" s="1">
        <v>19.364567717936801</v>
      </c>
      <c r="I32" s="1">
        <v>43.291545931296199</v>
      </c>
      <c r="J32" s="1">
        <v>0.99100699016580596</v>
      </c>
      <c r="K32" s="8">
        <v>20.4609493166896</v>
      </c>
      <c r="L32" s="7">
        <v>29</v>
      </c>
      <c r="M32" s="1">
        <v>0.118088</v>
      </c>
      <c r="N32" s="1">
        <v>41.779836685734303</v>
      </c>
      <c r="O32" s="1">
        <v>0.99199822161441797</v>
      </c>
      <c r="P32" s="1">
        <v>20.968134808565299</v>
      </c>
      <c r="Q32" s="1">
        <v>44.858455647589203</v>
      </c>
      <c r="R32" s="1">
        <v>0.99360870216608699</v>
      </c>
      <c r="S32" s="8">
        <v>21.944109438955198</v>
      </c>
      <c r="T32" s="7"/>
      <c r="U32" s="1"/>
      <c r="V32" s="1"/>
      <c r="W32" s="8"/>
      <c r="X32" s="7"/>
      <c r="Y32" s="1"/>
      <c r="Z32" s="1"/>
      <c r="AA32" s="8"/>
      <c r="AB32" s="7">
        <v>16</v>
      </c>
      <c r="AC32" s="1">
        <v>0.109236333333333</v>
      </c>
      <c r="AD32" s="1">
        <v>41.282384084830802</v>
      </c>
      <c r="AE32" s="1">
        <v>0.99135233525697997</v>
      </c>
      <c r="AF32" s="1">
        <v>20.6310115567351</v>
      </c>
      <c r="AG32" s="1">
        <v>44.133071219705997</v>
      </c>
      <c r="AH32" s="1">
        <v>0.99289630059903999</v>
      </c>
      <c r="AI32" s="1">
        <v>21.485154243785001</v>
      </c>
      <c r="AJ32" s="1">
        <v>404.56464910507202</v>
      </c>
      <c r="AK32" s="1">
        <v>271.97959494590702</v>
      </c>
      <c r="AL32" s="7"/>
      <c r="AM32" s="1"/>
      <c r="AN32" s="1"/>
      <c r="AO32" s="8"/>
      <c r="AP32" s="1"/>
      <c r="AQ32" s="1"/>
      <c r="AR32" s="1"/>
      <c r="AS32" s="8"/>
      <c r="AT32" s="7">
        <v>0.32</v>
      </c>
      <c r="AU32" s="1">
        <v>0.14138100000000001</v>
      </c>
      <c r="AV32" s="1">
        <v>40.742669250471799</v>
      </c>
      <c r="AW32" s="1">
        <v>0.995122353817815</v>
      </c>
      <c r="AX32" s="1">
        <v>23.117897060104099</v>
      </c>
      <c r="AY32" s="1">
        <v>43.6330849312167</v>
      </c>
      <c r="AZ32" s="1">
        <v>0.99618593917984299</v>
      </c>
      <c r="BA32" s="1">
        <v>24.186123858449001</v>
      </c>
      <c r="BB32" s="1">
        <v>535.17184042930603</v>
      </c>
      <c r="BC32" s="1">
        <v>290.18235635757401</v>
      </c>
      <c r="BD32" s="7"/>
      <c r="BE32" s="1"/>
      <c r="BF32" s="1"/>
      <c r="BG32" s="8"/>
      <c r="BH32" s="1"/>
      <c r="BI32" s="1"/>
      <c r="BJ32" s="1"/>
      <c r="BK32" s="8"/>
    </row>
    <row r="33" spans="1:63">
      <c r="A33" s="49"/>
      <c r="B33" s="7" t="s">
        <v>18</v>
      </c>
      <c r="C33" s="17">
        <v>0.06</v>
      </c>
      <c r="D33" s="7">
        <v>38</v>
      </c>
      <c r="E33" s="1">
        <v>5.7250666666666603E-2</v>
      </c>
      <c r="F33" s="1">
        <v>37.6792863076478</v>
      </c>
      <c r="G33" s="1">
        <v>0.97942194673078997</v>
      </c>
      <c r="H33" s="1">
        <v>16.865957128791901</v>
      </c>
      <c r="I33" s="1">
        <v>40.744241310000703</v>
      </c>
      <c r="J33" s="1">
        <v>0.98341925303086997</v>
      </c>
      <c r="K33" s="8">
        <v>17.803959082089001</v>
      </c>
      <c r="L33" s="7">
        <v>35</v>
      </c>
      <c r="M33" s="1">
        <v>5.65056666666666E-2</v>
      </c>
      <c r="N33" s="1">
        <v>38.994554135871397</v>
      </c>
      <c r="O33" s="1">
        <v>0.984288984707958</v>
      </c>
      <c r="P33" s="1">
        <v>18.037957486657199</v>
      </c>
      <c r="Q33" s="1">
        <v>42.066368830167399</v>
      </c>
      <c r="R33" s="1">
        <v>0.98689209931482003</v>
      </c>
      <c r="S33" s="8">
        <v>18.824668578024799</v>
      </c>
      <c r="T33" s="7"/>
      <c r="U33" s="1"/>
      <c r="V33" s="1"/>
      <c r="W33" s="8"/>
      <c r="X33" s="7"/>
      <c r="Y33" s="1"/>
      <c r="Z33" s="1"/>
      <c r="AA33" s="8"/>
      <c r="AB33" s="7">
        <v>4</v>
      </c>
      <c r="AC33" s="1">
        <v>5.1811666666666603E-2</v>
      </c>
      <c r="AD33" s="1">
        <v>38.476897184588303</v>
      </c>
      <c r="AE33" s="1">
        <v>0.98334160187285102</v>
      </c>
      <c r="AF33" s="1">
        <v>17.783667627123901</v>
      </c>
      <c r="AG33" s="1">
        <v>41.319926081200499</v>
      </c>
      <c r="AH33" s="1">
        <v>0.98571129739476904</v>
      </c>
      <c r="AI33" s="1">
        <v>18.450072027673698</v>
      </c>
      <c r="AJ33" s="1">
        <v>400.50788211822498</v>
      </c>
      <c r="AK33" s="1">
        <v>292.34020543098399</v>
      </c>
      <c r="AL33" s="7"/>
      <c r="AM33" s="1"/>
      <c r="AN33" s="1"/>
      <c r="AO33" s="8"/>
      <c r="AP33" s="1"/>
      <c r="AQ33" s="1"/>
      <c r="AR33" s="1"/>
      <c r="AS33" s="8"/>
      <c r="AT33" s="7">
        <v>0.08</v>
      </c>
      <c r="AU33" s="1">
        <v>6.8642333333333305E-2</v>
      </c>
      <c r="AV33" s="1">
        <v>37.738666883621697</v>
      </c>
      <c r="AW33" s="1">
        <v>0.98988972173304701</v>
      </c>
      <c r="AX33" s="1">
        <v>19.952368910817</v>
      </c>
      <c r="AY33" s="1">
        <v>40.555259354170197</v>
      </c>
      <c r="AZ33" s="1">
        <v>0.99212876233624603</v>
      </c>
      <c r="BA33" s="1">
        <v>21.039569743400701</v>
      </c>
      <c r="BB33" s="1">
        <v>281.36340332031199</v>
      </c>
      <c r="BC33" s="1">
        <v>181.20505690574601</v>
      </c>
      <c r="BD33" s="7"/>
      <c r="BE33" s="1"/>
      <c r="BF33" s="1"/>
      <c r="BG33" s="8"/>
      <c r="BH33" s="1"/>
      <c r="BI33" s="1"/>
      <c r="BJ33" s="1"/>
      <c r="BK33" s="8"/>
    </row>
    <row r="34" spans="1:63">
      <c r="A34" s="49"/>
      <c r="B34" s="7" t="s">
        <v>24</v>
      </c>
      <c r="C34" s="17">
        <v>1.5</v>
      </c>
      <c r="D34" s="7">
        <v>26</v>
      </c>
      <c r="E34" s="1">
        <v>1.47337684737914</v>
      </c>
      <c r="F34" s="1">
        <v>38.621740227879201</v>
      </c>
      <c r="G34" s="1">
        <v>0.99370612056054397</v>
      </c>
      <c r="H34" s="1">
        <v>22.010815803425199</v>
      </c>
      <c r="I34" s="1">
        <v>41.739717022630501</v>
      </c>
      <c r="J34" s="1">
        <v>0.99584146764367998</v>
      </c>
      <c r="K34" s="8">
        <v>23.810599150495499</v>
      </c>
      <c r="L34" s="7">
        <v>24</v>
      </c>
      <c r="M34" s="1">
        <v>1.3829597225353301</v>
      </c>
      <c r="N34" s="1">
        <v>39.035210223159403</v>
      </c>
      <c r="O34" s="1">
        <v>0.99432435611864101</v>
      </c>
      <c r="P34" s="1">
        <v>22.4598486219497</v>
      </c>
      <c r="Q34" s="1">
        <v>42.164970419206</v>
      </c>
      <c r="R34" s="1">
        <v>0.99608522238667196</v>
      </c>
      <c r="S34" s="8">
        <v>24.072929038608901</v>
      </c>
      <c r="T34" s="13">
        <f>bdrate(E34:E37,F34:F37,M34:M37,N34:N37)</f>
        <v>-0.14222641710088868</v>
      </c>
      <c r="U34" s="12">
        <f>bdrate(E34:E37,H34:H37,M34:M37,P34:P37)</f>
        <v>-0.13635432396419378</v>
      </c>
      <c r="V34" s="12">
        <f>bdrate(E34:E37,I34:I37,M34:M37,Q34:Q37)</f>
        <v>-0.15223119612098468</v>
      </c>
      <c r="W34" s="14">
        <f>bdrate(E34:E37,K34:K37,M34:M37,S34:S37)</f>
        <v>-0.11109449369707003</v>
      </c>
      <c r="X34" s="13">
        <f>bdrate(E36:E39,F36:F39,M36:M39,N36:N39)</f>
        <v>-0.22061926895142803</v>
      </c>
      <c r="Y34" s="12">
        <f>bdrate(E36:E39,H36:H39,M36:M39,P36:P39)</f>
        <v>-0.19319304276686</v>
      </c>
      <c r="Z34" s="12">
        <f>bdrate(E36:E39,I36:I39,M36:M39,Q36:Q39)</f>
        <v>-0.24568066242860076</v>
      </c>
      <c r="AA34" s="14">
        <f>bdrate(E36:E39,K36:K39,M36:M39,S36:S39)</f>
        <v>-0.16599620743862997</v>
      </c>
      <c r="AB34" s="7">
        <v>64</v>
      </c>
      <c r="AC34" s="1">
        <v>1.25281836990353</v>
      </c>
      <c r="AD34" s="1">
        <v>38.054800380984098</v>
      </c>
      <c r="AE34" s="1">
        <v>0.99415703569872504</v>
      </c>
      <c r="AF34" s="1">
        <v>22.3336676708814</v>
      </c>
      <c r="AG34" s="1">
        <v>40.978434081026499</v>
      </c>
      <c r="AH34" s="1">
        <v>0.99583687766265405</v>
      </c>
      <c r="AI34" s="1">
        <v>23.805808267655799</v>
      </c>
      <c r="AJ34" s="1">
        <v>534.15586876869202</v>
      </c>
      <c r="AK34" s="1">
        <v>188.16612815856899</v>
      </c>
      <c r="AL34" s="13">
        <f>bdrate(E34:E37,F34:F37,AC34:AC37,AD34:AD37)</f>
        <v>-9.9679000131706053E-2</v>
      </c>
      <c r="AM34" s="12">
        <f>bdrate(E34:E37,H34:H37,AC34:AC37,AF34:AF37)</f>
        <v>-0.20541249061696121</v>
      </c>
      <c r="AN34" s="12">
        <f>bdrate(E34:E37,I34:I37,AC34:AC37,AG34:AG37)</f>
        <v>-7.57087012179124E-2</v>
      </c>
      <c r="AO34" s="14">
        <f>bdrate(E34:E37,K34:K37,AC34:AC37,AI34:AI37)</f>
        <v>-0.16512473556881357</v>
      </c>
      <c r="AP34" s="12">
        <f>bdrate(E36:E39,F36:F39,AC36:AC39,AD36:AD39)</f>
        <v>-0.16680816193617776</v>
      </c>
      <c r="AQ34" s="12">
        <f>bdrate(E36:E39,H36:H39,AC36:AC39,AF36:AF39)</f>
        <v>-0.2169363388302521</v>
      </c>
      <c r="AR34" s="12">
        <f>bdrate(E36:E39,I36:I39,AC36:AC39,AG36:AG39)</f>
        <v>-0.14661650840047036</v>
      </c>
      <c r="AS34" s="14">
        <f>bdrate(E36:E39,K36:K39,AC36:AC39,AI36:AI39)</f>
        <v>-0.17278590786025527</v>
      </c>
      <c r="AT34" s="7">
        <v>3.2</v>
      </c>
      <c r="AU34" s="1">
        <v>1.4000865177289501</v>
      </c>
      <c r="AV34" s="1">
        <v>37.126317736920697</v>
      </c>
      <c r="AW34" s="1">
        <v>0.99731888624404996</v>
      </c>
      <c r="AX34" s="1">
        <v>25.716847591117801</v>
      </c>
      <c r="AY34" s="1">
        <v>40.332984666121597</v>
      </c>
      <c r="AZ34" s="1">
        <v>0.99792089216411095</v>
      </c>
      <c r="BA34" s="1">
        <v>26.821229847825101</v>
      </c>
      <c r="BB34" s="1">
        <v>1569.8038845062199</v>
      </c>
      <c r="BC34" s="1">
        <v>494.90213871002197</v>
      </c>
      <c r="BD34" s="13">
        <f>bdrate(E34:E37,F34:F37,AU34:AU37,AV34:AV37)</f>
        <v>0.24958525696727452</v>
      </c>
      <c r="BE34" s="12">
        <f>bdrate(E34:E37,H34:H37,AU34:AU37,AX34:AX37)</f>
        <v>-0.50657644392182022</v>
      </c>
      <c r="BF34" s="12">
        <f>bdrate(E34:E37,I34:I37,AU34:AU37,AY34:AY37)</f>
        <v>0.22423399683825873</v>
      </c>
      <c r="BG34" s="14">
        <f>bdrate(E34:E37,K34:K37,AU34:AU37,BA34:BA37)</f>
        <v>-0.45243945222028426</v>
      </c>
      <c r="BH34" s="12">
        <f>bdrate(E36:E39,F36:F39,AU36:AU39,AV36:AV39)</f>
        <v>0.26827810746668024</v>
      </c>
      <c r="BI34" s="12">
        <f>bdrate(E36:E39,H36:H39,AU36:AU39,AX36:AX39)</f>
        <v>-0.49446817623876238</v>
      </c>
      <c r="BJ34" s="12">
        <f>bdrate(E36:E39,I36:I39,AU36:AU39,AY36:AY39)</f>
        <v>0.31668411510938732</v>
      </c>
      <c r="BK34" s="14">
        <f>bdrate(E36:E39,K36:K39,AU36:AU39,BA36:BA39)</f>
        <v>-0.48223143814862268</v>
      </c>
    </row>
    <row r="35" spans="1:63">
      <c r="A35" s="49"/>
      <c r="B35" s="7" t="s">
        <v>18</v>
      </c>
      <c r="C35" s="17">
        <v>1</v>
      </c>
      <c r="D35" s="7">
        <v>29</v>
      </c>
      <c r="E35" s="1">
        <v>0.98479466393322401</v>
      </c>
      <c r="F35" s="1">
        <v>36.026142757110598</v>
      </c>
      <c r="G35" s="1">
        <v>0.98883219167815894</v>
      </c>
      <c r="H35" s="1">
        <v>19.520320486501198</v>
      </c>
      <c r="I35" s="1">
        <v>39.174378024279598</v>
      </c>
      <c r="J35" s="1">
        <v>0.99168487393112004</v>
      </c>
      <c r="K35" s="8">
        <v>20.801311618860101</v>
      </c>
      <c r="L35" s="7">
        <v>27</v>
      </c>
      <c r="M35" s="1">
        <v>0.95239076292369096</v>
      </c>
      <c r="N35" s="1">
        <v>36.603211967464603</v>
      </c>
      <c r="O35" s="1">
        <v>0.99018137341826395</v>
      </c>
      <c r="P35" s="1">
        <v>20.079492565804699</v>
      </c>
      <c r="Q35" s="1">
        <v>39.7707654192834</v>
      </c>
      <c r="R35" s="1">
        <v>0.99255884677705997</v>
      </c>
      <c r="S35" s="8">
        <v>21.28359752687</v>
      </c>
      <c r="T35" s="7"/>
      <c r="U35" s="1"/>
      <c r="V35" s="1"/>
      <c r="W35" s="8"/>
      <c r="X35" s="7"/>
      <c r="Y35" s="1"/>
      <c r="Z35" s="1"/>
      <c r="AA35" s="8"/>
      <c r="AB35" s="7">
        <v>32</v>
      </c>
      <c r="AC35" s="1">
        <v>0.85940343671085495</v>
      </c>
      <c r="AD35" s="1">
        <v>35.830107949701897</v>
      </c>
      <c r="AE35" s="1">
        <v>0.99013419608381303</v>
      </c>
      <c r="AF35" s="1">
        <v>20.058675204332101</v>
      </c>
      <c r="AG35" s="1">
        <v>38.854303831919097</v>
      </c>
      <c r="AH35" s="1">
        <v>0.99221040174561703</v>
      </c>
      <c r="AI35" s="1">
        <v>21.084849403253799</v>
      </c>
      <c r="AJ35" s="1">
        <v>336.28608059883101</v>
      </c>
      <c r="AK35" s="1">
        <v>176.84178137779199</v>
      </c>
      <c r="AL35" s="7"/>
      <c r="AM35" s="1"/>
      <c r="AN35" s="1"/>
      <c r="AO35" s="8"/>
      <c r="AP35" s="1"/>
      <c r="AQ35" s="1"/>
      <c r="AR35" s="1"/>
      <c r="AS35" s="8"/>
      <c r="AT35" s="7">
        <v>1.28</v>
      </c>
      <c r="AU35" s="1">
        <v>0.87887790014285405</v>
      </c>
      <c r="AV35" s="1">
        <v>34.377480043348498</v>
      </c>
      <c r="AW35" s="1">
        <v>0.99455480048052902</v>
      </c>
      <c r="AX35" s="1">
        <v>22.639862024797999</v>
      </c>
      <c r="AY35" s="1">
        <v>37.708491246940703</v>
      </c>
      <c r="AZ35" s="1">
        <v>0.99555639899819504</v>
      </c>
      <c r="BA35" s="1">
        <v>23.522649439917402</v>
      </c>
      <c r="BB35" s="1">
        <v>542.09754371642998</v>
      </c>
      <c r="BC35" s="1">
        <v>251.83058285713099</v>
      </c>
      <c r="BD35" s="7"/>
      <c r="BE35" s="1"/>
      <c r="BF35" s="1"/>
      <c r="BG35" s="8"/>
      <c r="BH35" s="1"/>
      <c r="BI35" s="1"/>
      <c r="BJ35" s="1"/>
      <c r="BK35" s="8"/>
    </row>
    <row r="36" spans="1:63">
      <c r="A36" s="49"/>
      <c r="B36" s="7" t="s">
        <v>18</v>
      </c>
      <c r="C36" s="17">
        <v>0.5</v>
      </c>
      <c r="D36" s="7">
        <v>33</v>
      </c>
      <c r="E36" s="1">
        <v>0.47008641546879198</v>
      </c>
      <c r="F36" s="1">
        <v>32.824901498459297</v>
      </c>
      <c r="G36" s="1">
        <v>0.97590433757310802</v>
      </c>
      <c r="H36" s="1">
        <v>16.1806112977408</v>
      </c>
      <c r="I36" s="1">
        <v>36.093502799953399</v>
      </c>
      <c r="J36" s="1">
        <v>0.98010419270637095</v>
      </c>
      <c r="K36" s="8">
        <v>17.012384341976599</v>
      </c>
      <c r="L36" s="7">
        <v>31</v>
      </c>
      <c r="M36" s="1">
        <v>0.47631246466043398</v>
      </c>
      <c r="N36" s="1">
        <v>33.455298852421599</v>
      </c>
      <c r="O36" s="1">
        <v>0.97916056367757998</v>
      </c>
      <c r="P36" s="1">
        <v>16.811140322714301</v>
      </c>
      <c r="Q36" s="1">
        <v>36.757397986334503</v>
      </c>
      <c r="R36" s="1">
        <v>0.98257997318630597</v>
      </c>
      <c r="S36" s="8">
        <v>17.5895118084212</v>
      </c>
      <c r="T36" s="7"/>
      <c r="U36" s="1"/>
      <c r="V36" s="1"/>
      <c r="W36" s="8"/>
      <c r="X36" s="7"/>
      <c r="Y36" s="1"/>
      <c r="Z36" s="1"/>
      <c r="AA36" s="8"/>
      <c r="AB36" s="7">
        <v>16</v>
      </c>
      <c r="AC36" s="1">
        <v>0.50630302576571495</v>
      </c>
      <c r="AD36" s="1">
        <v>33.455201470543997</v>
      </c>
      <c r="AE36" s="1">
        <v>0.98176926521979202</v>
      </c>
      <c r="AF36" s="1">
        <v>17.391958269808502</v>
      </c>
      <c r="AG36" s="1">
        <v>36.602812186436203</v>
      </c>
      <c r="AH36" s="1">
        <v>0.98470765880647604</v>
      </c>
      <c r="AI36" s="1">
        <v>18.155260208275202</v>
      </c>
      <c r="AJ36" s="1">
        <v>384.16925382614102</v>
      </c>
      <c r="AK36" s="1">
        <v>249.801586389541</v>
      </c>
      <c r="AL36" s="7"/>
      <c r="AM36" s="1"/>
      <c r="AN36" s="1"/>
      <c r="AO36" s="8"/>
      <c r="AP36" s="1"/>
      <c r="AQ36" s="1"/>
      <c r="AR36" s="1"/>
      <c r="AS36" s="8"/>
      <c r="AT36" s="7">
        <v>0.32</v>
      </c>
      <c r="AU36" s="1">
        <v>0.41364555894890398</v>
      </c>
      <c r="AV36" s="1">
        <v>31.709040136650401</v>
      </c>
      <c r="AW36" s="1">
        <v>0.986865469845843</v>
      </c>
      <c r="AX36" s="1">
        <v>18.8158545809729</v>
      </c>
      <c r="AY36" s="1">
        <v>35.029602820954601</v>
      </c>
      <c r="AZ36" s="1">
        <v>0.98894170474055398</v>
      </c>
      <c r="BA36" s="1">
        <v>19.563118184634799</v>
      </c>
      <c r="BB36" s="1">
        <v>599.95159316062905</v>
      </c>
      <c r="BC36" s="1">
        <v>297.96030044555602</v>
      </c>
      <c r="BD36" s="7"/>
      <c r="BE36" s="1"/>
      <c r="BF36" s="1"/>
      <c r="BG36" s="8"/>
      <c r="BH36" s="1"/>
      <c r="BI36" s="1"/>
      <c r="BJ36" s="1"/>
      <c r="BK36" s="8"/>
    </row>
    <row r="37" spans="1:63">
      <c r="A37" s="49"/>
      <c r="B37" s="7" t="s">
        <v>18</v>
      </c>
      <c r="C37" s="17">
        <v>0.25</v>
      </c>
      <c r="D37" s="7">
        <v>36</v>
      </c>
      <c r="E37" s="1">
        <v>0.245617284106978</v>
      </c>
      <c r="F37" s="1">
        <v>31.072455831303198</v>
      </c>
      <c r="G37" s="1">
        <v>0.96126705565247905</v>
      </c>
      <c r="H37" s="1">
        <v>14.119194881603701</v>
      </c>
      <c r="I37" s="1">
        <v>34.390822679617003</v>
      </c>
      <c r="J37" s="1">
        <v>0.96667249226318097</v>
      </c>
      <c r="K37" s="8">
        <v>14.7719716208554</v>
      </c>
      <c r="L37" s="7">
        <v>34</v>
      </c>
      <c r="M37" s="1">
        <v>0.24277501440789401</v>
      </c>
      <c r="N37" s="1">
        <v>31.559719492194599</v>
      </c>
      <c r="O37" s="1">
        <v>0.96578735391742399</v>
      </c>
      <c r="P37" s="1">
        <v>14.6581333520926</v>
      </c>
      <c r="Q37" s="1">
        <v>34.952202510700801</v>
      </c>
      <c r="R37" s="1">
        <v>0.97012233448138896</v>
      </c>
      <c r="S37" s="8">
        <v>15.2465333898491</v>
      </c>
      <c r="T37" s="7"/>
      <c r="U37" s="1"/>
      <c r="V37" s="1"/>
      <c r="W37" s="8"/>
      <c r="X37" s="7"/>
      <c r="Y37" s="1"/>
      <c r="Z37" s="1"/>
      <c r="AA37" s="8"/>
      <c r="AB37" s="7">
        <v>8</v>
      </c>
      <c r="AC37" s="1">
        <v>0.28455833037107198</v>
      </c>
      <c r="AD37" s="1">
        <v>31.818156222381699</v>
      </c>
      <c r="AE37" s="1">
        <v>0.970369376127169</v>
      </c>
      <c r="AF37" s="1">
        <v>15.282592043527</v>
      </c>
      <c r="AG37" s="1">
        <v>35.060295367949898</v>
      </c>
      <c r="AH37" s="1">
        <v>0.97392765503901502</v>
      </c>
      <c r="AI37" s="1">
        <v>15.8381990639144</v>
      </c>
      <c r="AJ37" s="1">
        <v>276.60247445106501</v>
      </c>
      <c r="AK37" s="1">
        <v>173.233224391937</v>
      </c>
      <c r="AL37" s="7"/>
      <c r="AM37" s="1"/>
      <c r="AN37" s="1"/>
      <c r="AO37" s="8"/>
      <c r="AP37" s="1"/>
      <c r="AQ37" s="1"/>
      <c r="AR37" s="1"/>
      <c r="AS37" s="8"/>
      <c r="AT37" s="7">
        <v>0.16</v>
      </c>
      <c r="AU37" s="1">
        <v>0.28438420663983699</v>
      </c>
      <c r="AV37" s="1">
        <v>30.836038583745399</v>
      </c>
      <c r="AW37" s="1">
        <v>0.98072095138853499</v>
      </c>
      <c r="AX37" s="1">
        <v>17.149144016046499</v>
      </c>
      <c r="AY37" s="1">
        <v>34.074212910062101</v>
      </c>
      <c r="AZ37" s="1">
        <v>0.98365482059075204</v>
      </c>
      <c r="BA37" s="1">
        <v>17.866103081200901</v>
      </c>
      <c r="BB37" s="1">
        <v>392.706783294677</v>
      </c>
      <c r="BC37" s="1">
        <v>268.29841780662503</v>
      </c>
      <c r="BD37" s="7"/>
      <c r="BE37" s="1"/>
      <c r="BF37" s="1"/>
      <c r="BG37" s="8"/>
      <c r="BH37" s="1"/>
      <c r="BI37" s="1"/>
      <c r="BJ37" s="1"/>
      <c r="BK37" s="8"/>
    </row>
    <row r="38" spans="1:63">
      <c r="A38" s="49"/>
      <c r="B38" s="7" t="s">
        <v>18</v>
      </c>
      <c r="C38" s="17">
        <v>0.12</v>
      </c>
      <c r="D38" s="7">
        <v>41</v>
      </c>
      <c r="E38" s="1">
        <v>0.112790898507536</v>
      </c>
      <c r="F38" s="1">
        <v>29.321204367024801</v>
      </c>
      <c r="G38" s="1">
        <v>0.93774666038254895</v>
      </c>
      <c r="H38" s="1">
        <v>12.0583734562135</v>
      </c>
      <c r="I38" s="1">
        <v>32.566353857550197</v>
      </c>
      <c r="J38" s="1">
        <v>0.94554809544005503</v>
      </c>
      <c r="K38" s="8">
        <v>12.639869253589101</v>
      </c>
      <c r="L38" s="7">
        <v>38</v>
      </c>
      <c r="M38" s="1">
        <v>0.11822738664202601</v>
      </c>
      <c r="N38" s="1">
        <v>30.070294476109002</v>
      </c>
      <c r="O38" s="1">
        <v>0.94745951626445801</v>
      </c>
      <c r="P38" s="1">
        <v>12.7950593302103</v>
      </c>
      <c r="Q38" s="1">
        <v>33.422673892737699</v>
      </c>
      <c r="R38" s="1">
        <v>0.95334830352113697</v>
      </c>
      <c r="S38" s="8">
        <v>13.311325586053201</v>
      </c>
      <c r="T38" s="7"/>
      <c r="U38" s="1"/>
      <c r="V38" s="1"/>
      <c r="W38" s="8"/>
      <c r="X38" s="7"/>
      <c r="Y38" s="1"/>
      <c r="Z38" s="1"/>
      <c r="AA38" s="8"/>
      <c r="AB38" s="7">
        <v>4</v>
      </c>
      <c r="AC38" s="1">
        <v>0.16237375677672899</v>
      </c>
      <c r="AD38" s="1">
        <v>30.608263254172801</v>
      </c>
      <c r="AE38" s="1">
        <v>0.95684332266651495</v>
      </c>
      <c r="AF38" s="1">
        <v>13.649519993756099</v>
      </c>
      <c r="AG38" s="1">
        <v>33.862008372480702</v>
      </c>
      <c r="AH38" s="1">
        <v>0.96132141898011703</v>
      </c>
      <c r="AI38" s="1">
        <v>14.125294670228101</v>
      </c>
      <c r="AJ38" s="1">
        <v>355.48441171646101</v>
      </c>
      <c r="AK38" s="1">
        <v>260.907306432724</v>
      </c>
      <c r="AL38" s="7"/>
      <c r="AM38" s="1"/>
      <c r="AN38" s="1"/>
      <c r="AO38" s="8"/>
      <c r="AP38" s="1"/>
      <c r="AQ38" s="1"/>
      <c r="AR38" s="1"/>
      <c r="AS38" s="8"/>
      <c r="AT38" s="7">
        <v>0.08</v>
      </c>
      <c r="AU38" s="1">
        <v>0.18549318529813999</v>
      </c>
      <c r="AV38" s="1">
        <v>29.867007330977501</v>
      </c>
      <c r="AW38" s="1">
        <v>0.97079089121985096</v>
      </c>
      <c r="AX38" s="1">
        <v>15.344816938915001</v>
      </c>
      <c r="AY38" s="1">
        <v>33.025995195427299</v>
      </c>
      <c r="AZ38" s="1">
        <v>0.97484406192775097</v>
      </c>
      <c r="BA38" s="1">
        <v>15.993594830687</v>
      </c>
      <c r="BB38" s="1">
        <v>251.87652373313901</v>
      </c>
      <c r="BC38" s="1">
        <v>168.755794525146</v>
      </c>
      <c r="BD38" s="7"/>
      <c r="BE38" s="1"/>
      <c r="BF38" s="1"/>
      <c r="BG38" s="8"/>
      <c r="BH38" s="1"/>
      <c r="BI38" s="1"/>
      <c r="BJ38" s="1"/>
      <c r="BK38" s="8"/>
    </row>
    <row r="39" spans="1:63">
      <c r="A39" s="49"/>
      <c r="B39" s="7" t="s">
        <v>18</v>
      </c>
      <c r="C39" s="17">
        <v>0.06</v>
      </c>
      <c r="D39" s="7">
        <v>46</v>
      </c>
      <c r="E39" s="1">
        <v>5.6538801118707398E-2</v>
      </c>
      <c r="F39" s="1">
        <v>27.550681818886499</v>
      </c>
      <c r="G39" s="1">
        <v>0.90285284113178599</v>
      </c>
      <c r="H39" s="1">
        <v>10.125698961027901</v>
      </c>
      <c r="I39" s="1">
        <v>30.742203213342599</v>
      </c>
      <c r="J39" s="1">
        <v>0.91347163401623499</v>
      </c>
      <c r="K39" s="8">
        <v>10.6284149749766</v>
      </c>
      <c r="L39" s="7">
        <v>43</v>
      </c>
      <c r="M39" s="1">
        <v>5.9314273351929597E-2</v>
      </c>
      <c r="N39" s="1">
        <v>28.505396581073398</v>
      </c>
      <c r="O39" s="1">
        <v>0.92029913059740298</v>
      </c>
      <c r="P39" s="1">
        <v>10.985369411548101</v>
      </c>
      <c r="Q39" s="1">
        <v>31.7977873602382</v>
      </c>
      <c r="R39" s="1">
        <v>0.928101934319017</v>
      </c>
      <c r="S39" s="8">
        <v>11.4328279355836</v>
      </c>
      <c r="T39" s="7"/>
      <c r="U39" s="1"/>
      <c r="V39" s="1"/>
      <c r="W39" s="8"/>
      <c r="X39" s="7"/>
      <c r="Y39" s="1"/>
      <c r="Z39" s="1"/>
      <c r="AA39" s="8"/>
      <c r="AB39" s="7">
        <v>2</v>
      </c>
      <c r="AC39" s="1">
        <v>9.8341255681654499E-2</v>
      </c>
      <c r="AD39" s="1">
        <v>29.635087258860398</v>
      </c>
      <c r="AE39" s="1">
        <v>0.94323757578465395</v>
      </c>
      <c r="AF39" s="1">
        <v>12.4593906492589</v>
      </c>
      <c r="AG39" s="1">
        <v>32.852760189690599</v>
      </c>
      <c r="AH39" s="1">
        <v>0.94866384250374203</v>
      </c>
      <c r="AI39" s="1">
        <v>12.895766413253501</v>
      </c>
      <c r="AJ39" s="1">
        <v>573.78924083709705</v>
      </c>
      <c r="AK39" s="1">
        <v>333.77917480468699</v>
      </c>
      <c r="AL39" s="7"/>
      <c r="AM39" s="1"/>
      <c r="AN39" s="1"/>
      <c r="AO39" s="8"/>
      <c r="AP39" s="1"/>
      <c r="AQ39" s="1"/>
      <c r="AR39" s="1"/>
      <c r="AS39" s="8"/>
      <c r="AT39" s="7">
        <v>0.04</v>
      </c>
      <c r="AU39" s="1">
        <v>0.105315961864276</v>
      </c>
      <c r="AV39" s="1">
        <v>28.8501459122262</v>
      </c>
      <c r="AW39" s="1">
        <v>0.95683545185415098</v>
      </c>
      <c r="AX39" s="1">
        <v>13.648728010007501</v>
      </c>
      <c r="AY39" s="1">
        <v>31.934194564166301</v>
      </c>
      <c r="AZ39" s="1">
        <v>0.96211502684966799</v>
      </c>
      <c r="BA39" s="1">
        <v>14.2153301620568</v>
      </c>
      <c r="BB39" s="1">
        <v>365.55507230758599</v>
      </c>
      <c r="BC39" s="1">
        <v>276.15028285980202</v>
      </c>
      <c r="BD39" s="7"/>
      <c r="BE39" s="1"/>
      <c r="BF39" s="1"/>
      <c r="BG39" s="8"/>
      <c r="BH39" s="1"/>
      <c r="BI39" s="1"/>
      <c r="BJ39" s="1"/>
      <c r="BK39" s="8"/>
    </row>
    <row r="40" spans="1:63">
      <c r="A40" s="49"/>
      <c r="B40" s="7" t="s">
        <v>25</v>
      </c>
      <c r="C40" s="17">
        <v>1.5</v>
      </c>
      <c r="D40" s="7">
        <v>29</v>
      </c>
      <c r="E40" s="1">
        <v>1.4823616666666599</v>
      </c>
      <c r="F40" s="1">
        <v>36.511983426677503</v>
      </c>
      <c r="G40" s="1">
        <v>0.98921620247994602</v>
      </c>
      <c r="H40" s="1">
        <v>19.672282751808702</v>
      </c>
      <c r="I40" s="1">
        <v>39.629191531415202</v>
      </c>
      <c r="J40" s="1">
        <v>0.99228187900589904</v>
      </c>
      <c r="K40" s="8">
        <v>21.124884174388601</v>
      </c>
      <c r="L40" s="7">
        <v>27</v>
      </c>
      <c r="M40" s="1">
        <v>1.4010659999999999</v>
      </c>
      <c r="N40" s="1">
        <v>36.795424148476897</v>
      </c>
      <c r="O40" s="1">
        <v>0.98969797337148202</v>
      </c>
      <c r="P40" s="1">
        <v>19.870773318963899</v>
      </c>
      <c r="Q40" s="1">
        <v>39.963444719018497</v>
      </c>
      <c r="R40" s="1">
        <v>0.99238444342180099</v>
      </c>
      <c r="S40" s="8">
        <v>21.182983510269398</v>
      </c>
      <c r="T40" s="13">
        <f>bdrate(E40:E43,F40:F43,M40:M43,N40:N43)</f>
        <v>-0.10295720171203426</v>
      </c>
      <c r="U40" s="12">
        <f>bdrate(E40:E43,H40:H43,M40:M43,P40:P43)</f>
        <v>-9.3841215732992644E-2</v>
      </c>
      <c r="V40" s="12">
        <f>bdrate(E40:E43,I40:I43,M40:M43,Q40:Q43)</f>
        <v>-0.12129180956585783</v>
      </c>
      <c r="W40" s="14">
        <f>bdrate(E40:E43,K40:K43,M40:M43,S40:S43)</f>
        <v>-8.3258766200772438E-2</v>
      </c>
      <c r="X40" s="13">
        <f>bdrate(E42:E45,F42:F45,M42:M45,N42:N45)</f>
        <v>-0.12733951768899043</v>
      </c>
      <c r="Y40" s="12">
        <f>bdrate(E42:E45,H42:H45,M42:M45,P42:P45)</f>
        <v>-0.11907694746588082</v>
      </c>
      <c r="Z40" s="12">
        <f>bdrate(E42:E45,I42:I45,M42:M45,Q42:Q45)</f>
        <v>-0.16267709151620235</v>
      </c>
      <c r="AA40" s="14">
        <f>bdrate(E42:E45,K42:K45,M42:M45,S42:S45)</f>
        <v>-0.11737542215431263</v>
      </c>
      <c r="AB40" s="7">
        <v>64</v>
      </c>
      <c r="AC40" s="1">
        <v>1.53742433333333</v>
      </c>
      <c r="AD40" s="1">
        <v>36.342106077402299</v>
      </c>
      <c r="AE40" s="1">
        <v>0.99134773993026704</v>
      </c>
      <c r="AF40" s="1">
        <v>20.628704350082401</v>
      </c>
      <c r="AG40" s="1">
        <v>39.281631448036599</v>
      </c>
      <c r="AH40" s="1">
        <v>0.99400224860609299</v>
      </c>
      <c r="AI40" s="1">
        <v>22.220115396589001</v>
      </c>
      <c r="AJ40" s="1">
        <v>693.562767982482</v>
      </c>
      <c r="AK40" s="1">
        <v>292.78726291656398</v>
      </c>
      <c r="AL40" s="13">
        <f>bdrate(E40:E43,F40:F43,AC40:AC43,AD40:AD43)</f>
        <v>4.7616813100513022E-2</v>
      </c>
      <c r="AM40" s="12">
        <f>bdrate(E40:E43,H40:H43,AC40:AC43,AF40:AF43)</f>
        <v>-9.6804600671765773E-2</v>
      </c>
      <c r="AN40" s="12">
        <f>bdrate(E40:E43,I40:I43,AC40:AC43,AG40:AG43)</f>
        <v>7.9622447005663233E-2</v>
      </c>
      <c r="AO40" s="14">
        <f>bdrate(E40:E43,K40:K43,AC40:AC43,AI40:AI43)</f>
        <v>-8.6551957275867619E-2</v>
      </c>
      <c r="AP40" s="12">
        <f>bdrate(E42:E45,F42:F45,AC42:AC45,AD42:AD45)</f>
        <v>9.3705788256070122E-2</v>
      </c>
      <c r="AQ40" s="12">
        <f>bdrate(E42:E45,H42:H45,AC42:AC45,AF42:AF45)</f>
        <v>-0.12922544023880933</v>
      </c>
      <c r="AR40" s="12">
        <f>bdrate(E42:E45,I42:I45,AC42:AC45,AG42:AG45)</f>
        <v>0.10625338541777118</v>
      </c>
      <c r="AS40" s="14">
        <f>bdrate(E42:E45,K42:K45,AC42:AC45,AI42:AI45)</f>
        <v>-0.11156933608960629</v>
      </c>
      <c r="AT40" s="7">
        <v>3.2</v>
      </c>
      <c r="AU40" s="1">
        <v>1.741465</v>
      </c>
      <c r="AV40" s="1">
        <v>35.554146370704501</v>
      </c>
      <c r="AW40" s="1">
        <v>0.99691915778320705</v>
      </c>
      <c r="AX40" s="1">
        <v>25.1133054320564</v>
      </c>
      <c r="AY40" s="1">
        <v>39.204714008907899</v>
      </c>
      <c r="AZ40" s="1">
        <v>0.99754322064674905</v>
      </c>
      <c r="BA40" s="1">
        <v>26.096338463562699</v>
      </c>
      <c r="BB40" s="1">
        <v>740.07352232932999</v>
      </c>
      <c r="BC40" s="1">
        <v>411.49421453475901</v>
      </c>
      <c r="BD40" s="13">
        <f>bdrate(E40:E43,F40:F43,AU40:AU43,AV40:AV43)</f>
        <v>0.3979606025472151</v>
      </c>
      <c r="BE40" s="12">
        <f>bdrate(E40:E43,H40:H43,AU40:AU43,AX40:AX43)</f>
        <v>-0.48126308321019995</v>
      </c>
      <c r="BF40" s="12">
        <f>bdrate(E40:E43,I40:I43,AU40:AU43,AY40:AY43)</f>
        <v>0.24488638185037215</v>
      </c>
      <c r="BG40" s="14">
        <f>bdrate(E40:E43,K40:K43,AU40:AU43,BA40:BA43)</f>
        <v>-0.42231763840562564</v>
      </c>
      <c r="BH40" s="12">
        <f>bdrate(E42:E45,F42:F45,AU42:AU45,AV42:AV45)</f>
        <v>0.53384283201322402</v>
      </c>
      <c r="BI40" s="12">
        <f>bdrate(E42:E45,H42:H45,AU42:AU45,AX42:AX45)</f>
        <v>-0.475170129274884</v>
      </c>
      <c r="BJ40" s="12">
        <f>bdrate(E42:E45,I42:I45,AU42:AU45,AY42:AY45)</f>
        <v>0.43561863581229132</v>
      </c>
      <c r="BK40" s="14">
        <f>bdrate(E42:E45,K42:K45,AU42:AU45,BA42:BA45)</f>
        <v>-0.46331800555192448</v>
      </c>
    </row>
    <row r="41" spans="1:63">
      <c r="A41" s="49"/>
      <c r="B41" s="7" t="s">
        <v>18</v>
      </c>
      <c r="C41" s="17">
        <v>1</v>
      </c>
      <c r="D41" s="7">
        <v>33</v>
      </c>
      <c r="E41" s="1">
        <v>0.88649999999999995</v>
      </c>
      <c r="F41" s="1">
        <v>32.734577220928003</v>
      </c>
      <c r="G41" s="1">
        <v>0.97690504237650799</v>
      </c>
      <c r="H41" s="1">
        <v>16.364828302955701</v>
      </c>
      <c r="I41" s="1">
        <v>36.105826170481699</v>
      </c>
      <c r="J41" s="1">
        <v>0.98169621628426795</v>
      </c>
      <c r="K41" s="8">
        <v>17.374591246407299</v>
      </c>
      <c r="L41" s="7">
        <v>31</v>
      </c>
      <c r="M41" s="1">
        <v>0.87481500000000001</v>
      </c>
      <c r="N41" s="1">
        <v>33.273877056474397</v>
      </c>
      <c r="O41" s="1">
        <v>0.97910417008755002</v>
      </c>
      <c r="P41" s="1">
        <v>16.799403754540801</v>
      </c>
      <c r="Q41" s="1">
        <v>36.685108768251602</v>
      </c>
      <c r="R41" s="1">
        <v>0.98326285227695298</v>
      </c>
      <c r="S41" s="8">
        <v>17.763185507444899</v>
      </c>
      <c r="T41" s="7"/>
      <c r="U41" s="1"/>
      <c r="V41" s="1"/>
      <c r="W41" s="8"/>
      <c r="X41" s="7"/>
      <c r="Y41" s="1"/>
      <c r="Z41" s="1"/>
      <c r="AA41" s="8"/>
      <c r="AB41" s="7">
        <v>32</v>
      </c>
      <c r="AC41" s="1">
        <v>1.2230863333333299</v>
      </c>
      <c r="AD41" s="1">
        <v>34.666028008976703</v>
      </c>
      <c r="AE41" s="1">
        <v>0.98738744041508297</v>
      </c>
      <c r="AF41" s="1">
        <v>18.991967690333801</v>
      </c>
      <c r="AG41" s="1">
        <v>37.734997545725498</v>
      </c>
      <c r="AH41" s="1">
        <v>0.99036879518907595</v>
      </c>
      <c r="AI41" s="1">
        <v>20.1631938161823</v>
      </c>
      <c r="AJ41" s="1">
        <v>346.34838700294398</v>
      </c>
      <c r="AK41" s="1">
        <v>197.915115356445</v>
      </c>
      <c r="AL41" s="7"/>
      <c r="AM41" s="1"/>
      <c r="AN41" s="1"/>
      <c r="AO41" s="8"/>
      <c r="AP41" s="1"/>
      <c r="AQ41" s="1"/>
      <c r="AR41" s="1"/>
      <c r="AS41" s="8"/>
      <c r="AT41" s="7">
        <v>1.28</v>
      </c>
      <c r="AU41" s="1">
        <v>1.129321</v>
      </c>
      <c r="AV41" s="1">
        <v>32.384014303193197</v>
      </c>
      <c r="AW41" s="1">
        <v>0.99338657512916795</v>
      </c>
      <c r="AX41" s="1">
        <v>21.795735757187501</v>
      </c>
      <c r="AY41" s="1">
        <v>36.360556687944097</v>
      </c>
      <c r="AZ41" s="1">
        <v>0.994400387988852</v>
      </c>
      <c r="BA41" s="1">
        <v>22.518420635750399</v>
      </c>
      <c r="BB41" s="1">
        <v>591.80902433395295</v>
      </c>
      <c r="BC41" s="1">
        <v>307.033453464508</v>
      </c>
      <c r="BD41" s="7"/>
      <c r="BE41" s="1"/>
      <c r="BF41" s="1"/>
      <c r="BG41" s="8"/>
      <c r="BH41" s="1"/>
      <c r="BI41" s="1"/>
      <c r="BJ41" s="1"/>
      <c r="BK41" s="8"/>
    </row>
    <row r="42" spans="1:63">
      <c r="A42" s="49"/>
      <c r="B42" s="7" t="s">
        <v>18</v>
      </c>
      <c r="C42" s="17">
        <v>0.5</v>
      </c>
      <c r="D42" s="7">
        <v>36</v>
      </c>
      <c r="E42" s="1">
        <v>0.465272666666666</v>
      </c>
      <c r="F42" s="1">
        <v>29.863572086342401</v>
      </c>
      <c r="G42" s="1">
        <v>0.95263401568818196</v>
      </c>
      <c r="H42" s="1">
        <v>13.245334331978199</v>
      </c>
      <c r="I42" s="1">
        <v>33.516223716915903</v>
      </c>
      <c r="J42" s="1">
        <v>0.95863198349468204</v>
      </c>
      <c r="K42" s="8">
        <v>13.8333530195791</v>
      </c>
      <c r="L42" s="7">
        <v>35</v>
      </c>
      <c r="M42" s="1">
        <v>0.40049766666666597</v>
      </c>
      <c r="N42" s="1">
        <v>29.7725591946819</v>
      </c>
      <c r="O42" s="1">
        <v>0.95098993638445695</v>
      </c>
      <c r="P42" s="1">
        <v>13.097147337685101</v>
      </c>
      <c r="Q42" s="1">
        <v>33.522695957857898</v>
      </c>
      <c r="R42" s="1">
        <v>0.95689490188355697</v>
      </c>
      <c r="S42" s="8">
        <v>13.654713620224999</v>
      </c>
      <c r="T42" s="7"/>
      <c r="U42" s="1"/>
      <c r="V42" s="1"/>
      <c r="W42" s="8"/>
      <c r="X42" s="7"/>
      <c r="Y42" s="1"/>
      <c r="Z42" s="1"/>
      <c r="AA42" s="8"/>
      <c r="AB42" s="7">
        <v>16</v>
      </c>
      <c r="AC42" s="1">
        <v>0.80688499999999996</v>
      </c>
      <c r="AD42" s="1">
        <v>31.887756935463202</v>
      </c>
      <c r="AE42" s="1">
        <v>0.97667355200507</v>
      </c>
      <c r="AF42" s="1">
        <v>16.321513878091402</v>
      </c>
      <c r="AG42" s="1">
        <v>35.145432176885798</v>
      </c>
      <c r="AH42" s="1">
        <v>0.98144107864130303</v>
      </c>
      <c r="AI42" s="1">
        <v>17.314472685039402</v>
      </c>
      <c r="AJ42" s="1">
        <v>397.71493721008301</v>
      </c>
      <c r="AK42" s="1">
        <v>281.68825531005803</v>
      </c>
      <c r="AL42" s="7"/>
      <c r="AM42" s="1"/>
      <c r="AN42" s="1"/>
      <c r="AO42" s="8"/>
      <c r="AP42" s="1"/>
      <c r="AQ42" s="1"/>
      <c r="AR42" s="1"/>
      <c r="AS42" s="8"/>
      <c r="AT42" s="7">
        <v>0.32</v>
      </c>
      <c r="AU42" s="1">
        <v>0.54807566666666596</v>
      </c>
      <c r="AV42" s="1">
        <v>29.059011070021601</v>
      </c>
      <c r="AW42" s="1">
        <v>0.98196586731731295</v>
      </c>
      <c r="AX42" s="1">
        <v>17.439047394105401</v>
      </c>
      <c r="AY42" s="1">
        <v>33.191758653864397</v>
      </c>
      <c r="AZ42" s="1">
        <v>0.98405118534801905</v>
      </c>
      <c r="BA42" s="1">
        <v>17.972715890477801</v>
      </c>
      <c r="BB42" s="1">
        <v>648.80816054344098</v>
      </c>
      <c r="BC42" s="1">
        <v>357.49129986763</v>
      </c>
      <c r="BD42" s="7"/>
      <c r="BE42" s="1"/>
      <c r="BF42" s="1"/>
      <c r="BG42" s="8"/>
      <c r="BH42" s="1"/>
      <c r="BI42" s="1"/>
      <c r="BJ42" s="1"/>
      <c r="BK42" s="8"/>
    </row>
    <row r="43" spans="1:63">
      <c r="A43" s="49"/>
      <c r="B43" s="7" t="s">
        <v>18</v>
      </c>
      <c r="C43" s="17">
        <v>0.25</v>
      </c>
      <c r="D43" s="7">
        <v>39</v>
      </c>
      <c r="E43" s="1">
        <v>0.20485266666666599</v>
      </c>
      <c r="F43" s="1">
        <v>27.905112510339901</v>
      </c>
      <c r="G43" s="1">
        <v>0.91319815305833796</v>
      </c>
      <c r="H43" s="1">
        <v>10.6147103394749</v>
      </c>
      <c r="I43" s="1">
        <v>31.707819562202499</v>
      </c>
      <c r="J43" s="1">
        <v>0.92040794746080901</v>
      </c>
      <c r="K43" s="8">
        <v>10.9913029546197</v>
      </c>
      <c r="L43" s="7">
        <v>37</v>
      </c>
      <c r="M43" s="1">
        <v>0.218255</v>
      </c>
      <c r="N43" s="1">
        <v>28.266373244900102</v>
      </c>
      <c r="O43" s="1">
        <v>0.92233264608126497</v>
      </c>
      <c r="P43" s="1">
        <v>11.097614907520899</v>
      </c>
      <c r="Q43" s="1">
        <v>32.124702152727501</v>
      </c>
      <c r="R43" s="1">
        <v>0.92913912578552005</v>
      </c>
      <c r="S43" s="8">
        <v>11.4959349405502</v>
      </c>
      <c r="T43" s="7"/>
      <c r="U43" s="1"/>
      <c r="V43" s="1"/>
      <c r="W43" s="8"/>
      <c r="X43" s="7"/>
      <c r="Y43" s="1"/>
      <c r="Z43" s="1"/>
      <c r="AA43" s="8"/>
      <c r="AB43" s="7">
        <v>8</v>
      </c>
      <c r="AC43" s="1">
        <v>0.46040033333333302</v>
      </c>
      <c r="AD43" s="1">
        <v>29.547015839115101</v>
      </c>
      <c r="AE43" s="1">
        <v>0.95839484291820198</v>
      </c>
      <c r="AF43" s="1">
        <v>13.8085283395611</v>
      </c>
      <c r="AG43" s="1">
        <v>33.170210554223502</v>
      </c>
      <c r="AH43" s="1">
        <v>0.96349633670519497</v>
      </c>
      <c r="AI43" s="1">
        <v>14.3766355009455</v>
      </c>
      <c r="AJ43" s="1">
        <v>299.045189142227</v>
      </c>
      <c r="AK43" s="1">
        <v>191.85558915138199</v>
      </c>
      <c r="AL43" s="7"/>
      <c r="AM43" s="1"/>
      <c r="AN43" s="1"/>
      <c r="AO43" s="8"/>
      <c r="AP43" s="1"/>
      <c r="AQ43" s="1"/>
      <c r="AR43" s="1"/>
      <c r="AS43" s="8"/>
      <c r="AT43" s="7">
        <v>0.16</v>
      </c>
      <c r="AU43" s="1">
        <v>0.40449499999999999</v>
      </c>
      <c r="AV43" s="1">
        <v>28.486866394605201</v>
      </c>
      <c r="AW43" s="1">
        <v>0.97491067846803903</v>
      </c>
      <c r="AX43" s="1">
        <v>16.005110827631</v>
      </c>
      <c r="AY43" s="1">
        <v>32.441686892797101</v>
      </c>
      <c r="AZ43" s="1">
        <v>0.97790242951943496</v>
      </c>
      <c r="BA43" s="1">
        <v>16.556554722372901</v>
      </c>
      <c r="BB43" s="1">
        <v>416.34813523292502</v>
      </c>
      <c r="BC43" s="1">
        <v>300.28029704093899</v>
      </c>
      <c r="BD43" s="7"/>
      <c r="BE43" s="1"/>
      <c r="BF43" s="1"/>
      <c r="BG43" s="8"/>
      <c r="BH43" s="1"/>
      <c r="BI43" s="1"/>
      <c r="BJ43" s="1"/>
      <c r="BK43" s="8"/>
    </row>
    <row r="44" spans="1:63">
      <c r="A44" s="49"/>
      <c r="B44" s="7" t="s">
        <v>18</v>
      </c>
      <c r="C44" s="17">
        <v>0.12</v>
      </c>
      <c r="D44" s="7">
        <v>42</v>
      </c>
      <c r="E44" s="1">
        <v>0.107350666666666</v>
      </c>
      <c r="F44" s="1">
        <v>26.8598471155066</v>
      </c>
      <c r="G44" s="1">
        <v>0.87730088131814599</v>
      </c>
      <c r="H44" s="1">
        <v>9.1115855669420505</v>
      </c>
      <c r="I44" s="1">
        <v>30.682959722380499</v>
      </c>
      <c r="J44" s="1">
        <v>0.88562515641192296</v>
      </c>
      <c r="K44" s="8">
        <v>9.4166948683921508</v>
      </c>
      <c r="L44" s="7">
        <v>40</v>
      </c>
      <c r="M44" s="1">
        <v>0.109292</v>
      </c>
      <c r="N44" s="1">
        <v>27.121144687100902</v>
      </c>
      <c r="O44" s="1">
        <v>0.88681013883297999</v>
      </c>
      <c r="P44" s="1">
        <v>9.4619247276274407</v>
      </c>
      <c r="Q44" s="1">
        <v>31.013866622712399</v>
      </c>
      <c r="R44" s="1">
        <v>0.89485527721931601</v>
      </c>
      <c r="S44" s="8">
        <v>9.7821251969418306</v>
      </c>
      <c r="T44" s="7"/>
      <c r="U44" s="1"/>
      <c r="V44" s="1"/>
      <c r="W44" s="8"/>
      <c r="X44" s="7"/>
      <c r="Y44" s="1"/>
      <c r="Z44" s="1"/>
      <c r="AA44" s="8"/>
      <c r="AB44" s="7">
        <v>4</v>
      </c>
      <c r="AC44" s="1">
        <v>0.224920333333333</v>
      </c>
      <c r="AD44" s="1">
        <v>27.890437568250999</v>
      </c>
      <c r="AE44" s="1">
        <v>0.92404067542604196</v>
      </c>
      <c r="AF44" s="1">
        <v>11.1941890563995</v>
      </c>
      <c r="AG44" s="1">
        <v>31.686321602193399</v>
      </c>
      <c r="AH44" s="1">
        <v>0.92986705704150496</v>
      </c>
      <c r="AI44" s="1">
        <v>11.5407793660645</v>
      </c>
      <c r="AJ44" s="1">
        <v>388.827676773071</v>
      </c>
      <c r="AK44" s="1">
        <v>283.85171151161097</v>
      </c>
      <c r="AL44" s="7"/>
      <c r="AM44" s="1"/>
      <c r="AN44" s="1"/>
      <c r="AO44" s="8"/>
      <c r="AP44" s="1"/>
      <c r="AQ44" s="1"/>
      <c r="AR44" s="1"/>
      <c r="AS44" s="8"/>
      <c r="AT44" s="7">
        <v>0.08</v>
      </c>
      <c r="AU44" s="1">
        <v>0.31213433333333301</v>
      </c>
      <c r="AV44" s="1">
        <v>27.893193481975601</v>
      </c>
      <c r="AW44" s="1">
        <v>0.96395408446552699</v>
      </c>
      <c r="AX44" s="1">
        <v>14.431439393034101</v>
      </c>
      <c r="AY44" s="1">
        <v>31.764446149951301</v>
      </c>
      <c r="AZ44" s="1">
        <v>0.96816396977804198</v>
      </c>
      <c r="BA44" s="1">
        <v>14.970810916939101</v>
      </c>
      <c r="BB44" s="1">
        <v>277.38927483558598</v>
      </c>
      <c r="BC44" s="1">
        <v>182.53142261505101</v>
      </c>
      <c r="BD44" s="7"/>
      <c r="BE44" s="1"/>
      <c r="BF44" s="1"/>
      <c r="BG44" s="8"/>
      <c r="BH44" s="1"/>
      <c r="BI44" s="1"/>
      <c r="BJ44" s="1"/>
      <c r="BK44" s="8"/>
    </row>
    <row r="45" spans="1:63">
      <c r="A45" s="49"/>
      <c r="B45" s="7" t="s">
        <v>18</v>
      </c>
      <c r="C45" s="17">
        <v>0.06</v>
      </c>
      <c r="D45" s="7">
        <v>45</v>
      </c>
      <c r="E45" s="1">
        <v>5.6587666666666599E-2</v>
      </c>
      <c r="F45" s="1">
        <v>25.974864728339199</v>
      </c>
      <c r="G45" s="1">
        <v>0.83380699881301601</v>
      </c>
      <c r="H45" s="1">
        <v>7.7938726941998002</v>
      </c>
      <c r="I45" s="1">
        <v>29.818074150135299</v>
      </c>
      <c r="J45" s="1">
        <v>0.84266024800073303</v>
      </c>
      <c r="K45" s="8">
        <v>8.0316153870632405</v>
      </c>
      <c r="L45" s="7">
        <v>43</v>
      </c>
      <c r="M45" s="1">
        <v>5.7627666666666598E-2</v>
      </c>
      <c r="N45" s="1">
        <v>26.221192302647299</v>
      </c>
      <c r="O45" s="1">
        <v>0.84654604167115999</v>
      </c>
      <c r="P45" s="1">
        <v>8.1402190450683598</v>
      </c>
      <c r="Q45" s="1">
        <v>30.128365895613602</v>
      </c>
      <c r="R45" s="1">
        <v>0.855402028100817</v>
      </c>
      <c r="S45" s="8">
        <v>8.3983779832205894</v>
      </c>
      <c r="T45" s="7"/>
      <c r="U45" s="1"/>
      <c r="V45" s="1"/>
      <c r="W45" s="8"/>
      <c r="X45" s="7"/>
      <c r="Y45" s="1"/>
      <c r="Z45" s="1"/>
      <c r="AA45" s="8"/>
      <c r="AB45" s="7">
        <v>2</v>
      </c>
      <c r="AC45" s="1">
        <v>0.105925666666666</v>
      </c>
      <c r="AD45" s="1">
        <v>26.8134226399611</v>
      </c>
      <c r="AE45" s="1">
        <v>0.88746322377942699</v>
      </c>
      <c r="AF45" s="1">
        <v>9.4870553000013107</v>
      </c>
      <c r="AG45" s="1">
        <v>30.635487792868901</v>
      </c>
      <c r="AH45" s="1">
        <v>0.89456582254178796</v>
      </c>
      <c r="AI45" s="1">
        <v>9.7701858575073803</v>
      </c>
      <c r="AJ45" s="1">
        <v>662.14298152923504</v>
      </c>
      <c r="AK45" s="1">
        <v>399.67065811157198</v>
      </c>
      <c r="AL45" s="7"/>
      <c r="AM45" s="1"/>
      <c r="AN45" s="1"/>
      <c r="AO45" s="8"/>
      <c r="AP45" s="1"/>
      <c r="AQ45" s="1"/>
      <c r="AR45" s="1"/>
      <c r="AS45" s="8"/>
      <c r="AT45" s="7">
        <v>0.04</v>
      </c>
      <c r="AU45" s="1">
        <v>0.17262233333333299</v>
      </c>
      <c r="AV45" s="1">
        <v>26.881077957228602</v>
      </c>
      <c r="AW45" s="1">
        <v>0.93609857458871604</v>
      </c>
      <c r="AX45" s="1">
        <v>11.9448945418353</v>
      </c>
      <c r="AY45" s="1">
        <v>30.728730487247201</v>
      </c>
      <c r="AZ45" s="1">
        <v>0.94148225046787104</v>
      </c>
      <c r="BA45" s="1">
        <v>12.3271238426531</v>
      </c>
      <c r="BB45" s="1">
        <v>402.41208219528198</v>
      </c>
      <c r="BC45" s="1">
        <v>303.60462975502003</v>
      </c>
      <c r="BD45" s="7"/>
      <c r="BE45" s="1"/>
      <c r="BF45" s="1"/>
      <c r="BG45" s="8"/>
      <c r="BH45" s="1"/>
      <c r="BI45" s="1"/>
      <c r="BJ45" s="1"/>
      <c r="BK45" s="8"/>
    </row>
    <row r="46" spans="1:63">
      <c r="A46" s="49"/>
      <c r="B46" s="7" t="s">
        <v>26</v>
      </c>
      <c r="C46" s="17">
        <v>1.5</v>
      </c>
      <c r="D46" s="7">
        <v>21</v>
      </c>
      <c r="E46" s="1">
        <v>1.45398566666666</v>
      </c>
      <c r="F46" s="1">
        <v>43.083880869550697</v>
      </c>
      <c r="G46" s="1">
        <v>0.99558129653261296</v>
      </c>
      <c r="H46" s="1">
        <v>23.547051423161701</v>
      </c>
      <c r="I46" s="1">
        <v>46.286140969075099</v>
      </c>
      <c r="J46" s="1">
        <v>0.99716249574182603</v>
      </c>
      <c r="K46" s="8">
        <v>25.470634780631201</v>
      </c>
      <c r="L46" s="7">
        <v>19</v>
      </c>
      <c r="M46" s="1">
        <v>1.33644433333333</v>
      </c>
      <c r="N46" s="1">
        <v>43.268305473971701</v>
      </c>
      <c r="O46" s="1">
        <v>0.99583133896267195</v>
      </c>
      <c r="P46" s="1">
        <v>23.800034168436898</v>
      </c>
      <c r="Q46" s="1">
        <v>46.500425405883497</v>
      </c>
      <c r="R46" s="1">
        <v>0.99720775653879801</v>
      </c>
      <c r="S46" s="8">
        <v>25.5404671740758</v>
      </c>
      <c r="T46" s="13">
        <f>bdrate(E46:E49,F46:F49,M46:M49,N46:N49)</f>
        <v>-0.16387406544161109</v>
      </c>
      <c r="U46" s="12">
        <f>bdrate(E46:E49,H46:H49,M46:M49,P46:P49)</f>
        <v>-0.18363756106357187</v>
      </c>
      <c r="V46" s="12">
        <f>bdrate(E46:E49,I46:I49,M46:M49,Q46:Q49)</f>
        <v>-0.16527239662432935</v>
      </c>
      <c r="W46" s="14">
        <f>bdrate(E46:E49,K46:K49,M46:M49,S46:S49)</f>
        <v>-0.14510080335727993</v>
      </c>
      <c r="X46" s="13">
        <f>bdrate(E48:E51,F48:F51,M48:M51,N48:N51)</f>
        <v>-0.24664264987556128</v>
      </c>
      <c r="Y46" s="12">
        <f>bdrate(E48:E51,H48:H51,M48:M51,P48:P51)</f>
        <v>-0.25126986333688717</v>
      </c>
      <c r="Z46" s="12">
        <f>bdrate(E48:E51,I48:I51,M48:M51,Q48:Q51)</f>
        <v>-0.24849787182459637</v>
      </c>
      <c r="AA46" s="14">
        <f>bdrate(E48:E51,K48:K51,M48:M51,S48:S51)</f>
        <v>-0.20621690648253277</v>
      </c>
      <c r="AB46" s="7">
        <v>256</v>
      </c>
      <c r="AC46" s="1">
        <v>1.35924166666666</v>
      </c>
      <c r="AD46" s="1">
        <v>43.426234639653103</v>
      </c>
      <c r="AE46" s="1">
        <v>0.99709126473351195</v>
      </c>
      <c r="AF46" s="1">
        <v>25.3629580351591</v>
      </c>
      <c r="AG46" s="1">
        <v>46.315534078595299</v>
      </c>
      <c r="AH46" s="1">
        <v>0.99774116350433295</v>
      </c>
      <c r="AI46" s="1">
        <v>26.461152040506501</v>
      </c>
      <c r="AJ46" s="1">
        <v>1029.5047159194901</v>
      </c>
      <c r="AK46" s="1">
        <v>308.15824174880902</v>
      </c>
      <c r="AL46" s="13">
        <f>bdrate(E46:E49,F46:F49,AC46:AC49,AD46:AD49)</f>
        <v>-0.15571483372776962</v>
      </c>
      <c r="AM46" s="12">
        <f>bdrate(E46:E49,H46:H49,AC46:AC49,AF46:AF49)</f>
        <v>-0.32223805423298724</v>
      </c>
      <c r="AN46" s="12">
        <f>bdrate(E46:E49,I46:I49,AC46:AC49,AG46:AG49)</f>
        <v>-0.10867742300455696</v>
      </c>
      <c r="AO46" s="14">
        <f>bdrate(E46:E49,K46:K49,AC46:AC49,AI46:AI49)</f>
        <v>-0.23342075702809395</v>
      </c>
      <c r="AP46" s="12">
        <f>bdrate(E48:E51,F48:F51,AC48:AC51,AD48:AD51)</f>
        <v>-0.15832926824986837</v>
      </c>
      <c r="AQ46" s="12">
        <f>bdrate(E48:E51,H48:H51,AC48:AC51,AF48:AF51)</f>
        <v>-0.32747342030972793</v>
      </c>
      <c r="AR46" s="12">
        <f>bdrate(E48:E51,I48:I51,AC48:AC51,AG48:AG51)</f>
        <v>-0.11511965785538958</v>
      </c>
      <c r="AS46" s="14">
        <f>bdrate(E48:E51,K48:K51,AC48:AC51,AI48:AI51)</f>
        <v>-0.256550224793196</v>
      </c>
      <c r="AT46" s="7">
        <v>6.4</v>
      </c>
      <c r="AU46" s="1">
        <v>1.2834190000000001</v>
      </c>
      <c r="AV46" s="1">
        <v>39.912289317770998</v>
      </c>
      <c r="AW46" s="1">
        <v>0.99852027890712503</v>
      </c>
      <c r="AX46" s="1">
        <v>28.2982013544318</v>
      </c>
      <c r="AY46" s="1">
        <v>42.793150839318798</v>
      </c>
      <c r="AZ46" s="1">
        <v>0.99894894581517502</v>
      </c>
      <c r="BA46" s="1">
        <v>29.7837489428216</v>
      </c>
      <c r="BB46" s="1">
        <v>1314.1421716213199</v>
      </c>
      <c r="BC46" s="1">
        <v>308.56801247596701</v>
      </c>
      <c r="BD46" s="13">
        <f>bdrate(E46:E49,F46:F49,AU46:AU49,AV46:AV49)</f>
        <v>0.56377586519191647</v>
      </c>
      <c r="BE46" s="12">
        <f>bdrate(E46:E49,H46:H49,AU46:AU49,AX46:AX49)</f>
        <v>-0.61733218490024355</v>
      </c>
      <c r="BF46" s="12">
        <f>bdrate(E46:E49,I46:I49,AU46:AU49,AY46:AY49)</f>
        <v>0.62061580235047309</v>
      </c>
      <c r="BG46" s="14">
        <f>bdrate(E46:E49,K46:K49,AU46:AU49,BA46:BA49)</f>
        <v>-0.56962691297905654</v>
      </c>
      <c r="BH46" s="12">
        <f>bdrate(E48:E51,F48:F51,AU48:AU51,AV48:AV51)</f>
        <v>0.40828000142996546</v>
      </c>
      <c r="BI46" s="12">
        <f>bdrate(E48:E51,H48:H51,AU48:AU51,AX48:AX51)</f>
        <v>-0.59277366177662438</v>
      </c>
      <c r="BJ46" s="12">
        <f>bdrate(E48:E51,I48:I51,AU48:AU51,AY48:AY51)</f>
        <v>0.4433950600412977</v>
      </c>
      <c r="BK46" s="14">
        <f>bdrate(E48:E51,K48:K51,AU48:AU51,BA48:BA51)</f>
        <v>-0.56492911848674743</v>
      </c>
    </row>
    <row r="47" spans="1:63">
      <c r="A47" s="49"/>
      <c r="B47" s="7" t="s">
        <v>18</v>
      </c>
      <c r="C47" s="17">
        <v>1</v>
      </c>
      <c r="D47" s="7">
        <v>25</v>
      </c>
      <c r="E47" s="1">
        <v>0.91958066666666605</v>
      </c>
      <c r="F47" s="1">
        <v>40.431148448252898</v>
      </c>
      <c r="G47" s="1">
        <v>0.992783765847292</v>
      </c>
      <c r="H47" s="1">
        <v>21.416893832295798</v>
      </c>
      <c r="I47" s="1">
        <v>43.546950990551899</v>
      </c>
      <c r="J47" s="1">
        <v>0.99493743446479099</v>
      </c>
      <c r="K47" s="8">
        <v>22.9562934177324</v>
      </c>
      <c r="L47" s="7">
        <v>22</v>
      </c>
      <c r="M47" s="1">
        <v>0.96280833333333304</v>
      </c>
      <c r="N47" s="1">
        <v>41.453764278151901</v>
      </c>
      <c r="O47" s="1">
        <v>0.99427961859574898</v>
      </c>
      <c r="P47" s="1">
        <v>22.425750138224899</v>
      </c>
      <c r="Q47" s="1">
        <v>44.612162261520901</v>
      </c>
      <c r="R47" s="1">
        <v>0.99594239161936904</v>
      </c>
      <c r="S47" s="8">
        <v>23.917298711366598</v>
      </c>
      <c r="T47" s="7"/>
      <c r="U47" s="1"/>
      <c r="V47" s="1"/>
      <c r="W47" s="8"/>
      <c r="X47" s="7"/>
      <c r="Y47" s="1"/>
      <c r="Z47" s="1"/>
      <c r="AA47" s="8"/>
      <c r="AB47" s="7">
        <v>128</v>
      </c>
      <c r="AC47" s="1">
        <v>1.0039056666666599</v>
      </c>
      <c r="AD47" s="1">
        <v>41.809819798156497</v>
      </c>
      <c r="AE47" s="1">
        <v>0.99584198598422202</v>
      </c>
      <c r="AF47" s="1">
        <v>23.811140510881302</v>
      </c>
      <c r="AG47" s="1">
        <v>44.649432331742503</v>
      </c>
      <c r="AH47" s="1">
        <v>0.99672063787818199</v>
      </c>
      <c r="AI47" s="1">
        <v>24.8421062394549</v>
      </c>
      <c r="AJ47" s="1">
        <v>957.49104356765702</v>
      </c>
      <c r="AK47" s="1">
        <v>350.47654342651299</v>
      </c>
      <c r="AL47" s="7"/>
      <c r="AM47" s="1"/>
      <c r="AN47" s="1"/>
      <c r="AO47" s="8"/>
      <c r="AP47" s="1"/>
      <c r="AQ47" s="1"/>
      <c r="AR47" s="1"/>
      <c r="AS47" s="8"/>
      <c r="AT47" s="7">
        <v>3.2</v>
      </c>
      <c r="AU47" s="1">
        <v>0.93044499999999997</v>
      </c>
      <c r="AV47" s="1">
        <v>38.211016792288298</v>
      </c>
      <c r="AW47" s="1">
        <v>0.99771455867011605</v>
      </c>
      <c r="AX47" s="1">
        <v>26.410299231101899</v>
      </c>
      <c r="AY47" s="1">
        <v>41.089771329169203</v>
      </c>
      <c r="AZ47" s="1">
        <v>0.99831128037283301</v>
      </c>
      <c r="BA47" s="1">
        <v>27.724424489972598</v>
      </c>
      <c r="BB47" s="1">
        <v>881.39407801628101</v>
      </c>
      <c r="BC47" s="1">
        <v>410.950450181961</v>
      </c>
      <c r="BD47" s="7"/>
      <c r="BE47" s="1"/>
      <c r="BF47" s="1"/>
      <c r="BG47" s="8"/>
      <c r="BH47" s="1"/>
      <c r="BI47" s="1"/>
      <c r="BJ47" s="1"/>
      <c r="BK47" s="8"/>
    </row>
    <row r="48" spans="1:63">
      <c r="A48" s="49"/>
      <c r="B48" s="7" t="s">
        <v>18</v>
      </c>
      <c r="C48" s="17">
        <v>0.5</v>
      </c>
      <c r="D48" s="7">
        <v>31</v>
      </c>
      <c r="E48" s="1">
        <v>0.44841033333333302</v>
      </c>
      <c r="F48" s="1">
        <v>36.793346150101698</v>
      </c>
      <c r="G48" s="1">
        <v>0.98530192396122196</v>
      </c>
      <c r="H48" s="1">
        <v>18.327395101788401</v>
      </c>
      <c r="I48" s="1">
        <v>39.862261312736898</v>
      </c>
      <c r="J48" s="1">
        <v>0.98868759579009902</v>
      </c>
      <c r="K48" s="8">
        <v>19.464450852486401</v>
      </c>
      <c r="L48" s="7">
        <v>28</v>
      </c>
      <c r="M48" s="1">
        <v>0.46136199999999999</v>
      </c>
      <c r="N48" s="1">
        <v>37.898589871007701</v>
      </c>
      <c r="O48" s="1">
        <v>0.98822581459544101</v>
      </c>
      <c r="P48" s="1">
        <v>19.290691297653201</v>
      </c>
      <c r="Q48" s="1">
        <v>40.984413428551001</v>
      </c>
      <c r="R48" s="1">
        <v>0.99071629643917403</v>
      </c>
      <c r="S48" s="8">
        <v>20.322787355096299</v>
      </c>
      <c r="T48" s="7"/>
      <c r="U48" s="1"/>
      <c r="V48" s="1"/>
      <c r="W48" s="8"/>
      <c r="X48" s="7"/>
      <c r="Y48" s="1"/>
      <c r="Z48" s="1"/>
      <c r="AA48" s="8"/>
      <c r="AB48" s="7">
        <v>32</v>
      </c>
      <c r="AC48" s="1">
        <v>0.47485300000000003</v>
      </c>
      <c r="AD48" s="1">
        <v>37.909918913096099</v>
      </c>
      <c r="AE48" s="1">
        <v>0.99021614630811505</v>
      </c>
      <c r="AF48" s="1">
        <v>20.094900503792001</v>
      </c>
      <c r="AG48" s="1">
        <v>40.727173751941201</v>
      </c>
      <c r="AH48" s="1">
        <v>0.99181711597210398</v>
      </c>
      <c r="AI48" s="1">
        <v>20.870936038284</v>
      </c>
      <c r="AJ48" s="1">
        <v>381.94745564460698</v>
      </c>
      <c r="AK48" s="1">
        <v>197.346724033355</v>
      </c>
      <c r="AL48" s="7"/>
      <c r="AM48" s="1"/>
      <c r="AN48" s="1"/>
      <c r="AO48" s="8"/>
      <c r="AP48" s="1"/>
      <c r="AQ48" s="1"/>
      <c r="AR48" s="1"/>
      <c r="AS48" s="8"/>
      <c r="AT48" s="7">
        <v>1.28</v>
      </c>
      <c r="AU48" s="1">
        <v>0.58480699999999997</v>
      </c>
      <c r="AV48" s="1">
        <v>35.855648180244998</v>
      </c>
      <c r="AW48" s="1">
        <v>0.99582383601115099</v>
      </c>
      <c r="AX48" s="1">
        <v>23.792224558741701</v>
      </c>
      <c r="AY48" s="1">
        <v>38.766718603835699</v>
      </c>
      <c r="AZ48" s="1">
        <v>0.99677176886159002</v>
      </c>
      <c r="BA48" s="1">
        <v>24.910353777472899</v>
      </c>
      <c r="BB48" s="1">
        <v>728.65155863761902</v>
      </c>
      <c r="BC48" s="1">
        <v>308.98917913436799</v>
      </c>
      <c r="BD48" s="7"/>
      <c r="BE48" s="1"/>
      <c r="BF48" s="1"/>
      <c r="BG48" s="8"/>
      <c r="BH48" s="1"/>
      <c r="BI48" s="1"/>
      <c r="BJ48" s="1"/>
      <c r="BK48" s="8"/>
    </row>
    <row r="49" spans="1:63">
      <c r="A49" s="49"/>
      <c r="B49" s="7" t="s">
        <v>18</v>
      </c>
      <c r="C49" s="17">
        <v>0.25</v>
      </c>
      <c r="D49" s="7">
        <v>36</v>
      </c>
      <c r="E49" s="1">
        <v>0.242690666666666</v>
      </c>
      <c r="F49" s="1">
        <v>33.952886334983702</v>
      </c>
      <c r="G49" s="1">
        <v>0.97655660926213494</v>
      </c>
      <c r="H49" s="1">
        <v>16.299795738721201</v>
      </c>
      <c r="I49" s="1">
        <v>36.993399953891704</v>
      </c>
      <c r="J49" s="1">
        <v>0.98166011461549296</v>
      </c>
      <c r="K49" s="8">
        <v>17.366033827898701</v>
      </c>
      <c r="L49" s="7">
        <v>33</v>
      </c>
      <c r="M49" s="1">
        <v>0.24940399999999999</v>
      </c>
      <c r="N49" s="1">
        <v>35.245851719206598</v>
      </c>
      <c r="O49" s="1">
        <v>0.98112258055571</v>
      </c>
      <c r="P49" s="1">
        <v>17.2405737432309</v>
      </c>
      <c r="Q49" s="1">
        <v>38.304411351653698</v>
      </c>
      <c r="R49" s="1">
        <v>0.98464062671323505</v>
      </c>
      <c r="S49" s="8">
        <v>18.136265045943901</v>
      </c>
      <c r="T49" s="7"/>
      <c r="U49" s="1"/>
      <c r="V49" s="1"/>
      <c r="W49" s="8"/>
      <c r="X49" s="7"/>
      <c r="Y49" s="1"/>
      <c r="Z49" s="1"/>
      <c r="AA49" s="8"/>
      <c r="AB49" s="7">
        <v>8</v>
      </c>
      <c r="AC49" s="1">
        <v>0.22763566666666599</v>
      </c>
      <c r="AD49" s="1">
        <v>34.4936439413895</v>
      </c>
      <c r="AE49" s="1">
        <v>0.98163052793072203</v>
      </c>
      <c r="AF49" s="1">
        <v>17.359033249513601</v>
      </c>
      <c r="AG49" s="1">
        <v>37.302909854137198</v>
      </c>
      <c r="AH49" s="1">
        <v>0.98452596834506001</v>
      </c>
      <c r="AI49" s="1">
        <v>18.103965190493302</v>
      </c>
      <c r="AJ49" s="1">
        <v>307.01045012473998</v>
      </c>
      <c r="AK49" s="1">
        <v>195.623141765594</v>
      </c>
      <c r="AL49" s="7"/>
      <c r="AM49" s="1"/>
      <c r="AN49" s="1"/>
      <c r="AO49" s="8"/>
      <c r="AP49" s="1"/>
      <c r="AQ49" s="1"/>
      <c r="AR49" s="1"/>
      <c r="AS49" s="8"/>
      <c r="AT49" s="7">
        <v>0.32</v>
      </c>
      <c r="AU49" s="1">
        <v>0.281907666666666</v>
      </c>
      <c r="AV49" s="1">
        <v>32.904016752888403</v>
      </c>
      <c r="AW49" s="1">
        <v>0.991068158525092</v>
      </c>
      <c r="AX49" s="1">
        <v>20.490589935253599</v>
      </c>
      <c r="AY49" s="1">
        <v>35.835773082348901</v>
      </c>
      <c r="AZ49" s="1">
        <v>0.99294638894755205</v>
      </c>
      <c r="BA49" s="1">
        <v>21.5158849171033</v>
      </c>
      <c r="BB49" s="1">
        <v>674.82122802734295</v>
      </c>
      <c r="BC49" s="1">
        <v>339.71144580841002</v>
      </c>
      <c r="BD49" s="7"/>
      <c r="BE49" s="1"/>
      <c r="BF49" s="1"/>
      <c r="BG49" s="8"/>
      <c r="BH49" s="1"/>
      <c r="BI49" s="1"/>
      <c r="BJ49" s="1"/>
      <c r="BK49" s="8"/>
    </row>
    <row r="50" spans="1:63">
      <c r="A50" s="49"/>
      <c r="B50" s="7" t="s">
        <v>18</v>
      </c>
      <c r="C50" s="17">
        <v>0.12</v>
      </c>
      <c r="D50" s="7">
        <v>42</v>
      </c>
      <c r="E50" s="1">
        <v>0.108511</v>
      </c>
      <c r="F50" s="1">
        <v>30.548525726146501</v>
      </c>
      <c r="G50" s="1">
        <v>0.95818221017840199</v>
      </c>
      <c r="H50" s="1">
        <v>13.7863892449896</v>
      </c>
      <c r="I50" s="1">
        <v>33.556531358632199</v>
      </c>
      <c r="J50" s="1">
        <v>0.966205973915926</v>
      </c>
      <c r="K50" s="8">
        <v>14.7116006504849</v>
      </c>
      <c r="L50" s="7">
        <v>39</v>
      </c>
      <c r="M50" s="1">
        <v>0.11425200000000001</v>
      </c>
      <c r="N50" s="1">
        <v>31.961794572584399</v>
      </c>
      <c r="O50" s="1">
        <v>0.96748970920803201</v>
      </c>
      <c r="P50" s="1">
        <v>14.879791458904601</v>
      </c>
      <c r="Q50" s="1">
        <v>34.991893827189898</v>
      </c>
      <c r="R50" s="1">
        <v>0.97304794199292999</v>
      </c>
      <c r="S50" s="8">
        <v>15.6940806732364</v>
      </c>
      <c r="T50" s="7"/>
      <c r="U50" s="1"/>
      <c r="V50" s="1"/>
      <c r="W50" s="8"/>
      <c r="X50" s="7"/>
      <c r="Y50" s="1"/>
      <c r="Z50" s="1"/>
      <c r="AA50" s="8"/>
      <c r="AB50" s="7">
        <v>4</v>
      </c>
      <c r="AC50" s="1">
        <v>0.15408766666666601</v>
      </c>
      <c r="AD50" s="1">
        <v>32.624850750431101</v>
      </c>
      <c r="AE50" s="1">
        <v>0.97550073151496497</v>
      </c>
      <c r="AF50" s="1">
        <v>16.108468828867299</v>
      </c>
      <c r="AG50" s="1">
        <v>35.437132741184399</v>
      </c>
      <c r="AH50" s="1">
        <v>0.979339972102927</v>
      </c>
      <c r="AI50" s="1">
        <v>16.848690963915899</v>
      </c>
      <c r="AJ50" s="1">
        <v>393.08766484260502</v>
      </c>
      <c r="AK50" s="1">
        <v>287.13064861297602</v>
      </c>
      <c r="AL50" s="7"/>
      <c r="AM50" s="1"/>
      <c r="AN50" s="1"/>
      <c r="AO50" s="8"/>
      <c r="AP50" s="1"/>
      <c r="AQ50" s="1"/>
      <c r="AR50" s="1"/>
      <c r="AS50" s="8"/>
      <c r="AT50" s="7">
        <v>0.08</v>
      </c>
      <c r="AU50" s="1">
        <v>0.12542766666666599</v>
      </c>
      <c r="AV50" s="1">
        <v>30.188558496530401</v>
      </c>
      <c r="AW50" s="1">
        <v>0.98038597341378397</v>
      </c>
      <c r="AX50" s="1">
        <v>17.0743324036264</v>
      </c>
      <c r="AY50" s="1">
        <v>33.095584271045801</v>
      </c>
      <c r="AZ50" s="1">
        <v>0.98385541874346505</v>
      </c>
      <c r="BA50" s="1">
        <v>17.9197321483603</v>
      </c>
      <c r="BB50" s="1">
        <v>281.85608410835198</v>
      </c>
      <c r="BC50" s="1">
        <v>181.93007397651601</v>
      </c>
      <c r="BD50" s="7"/>
      <c r="BE50" s="1"/>
      <c r="BF50" s="1"/>
      <c r="BG50" s="8"/>
      <c r="BH50" s="1"/>
      <c r="BI50" s="1"/>
      <c r="BJ50" s="1"/>
      <c r="BK50" s="8"/>
    </row>
    <row r="51" spans="1:63">
      <c r="A51" s="49"/>
      <c r="B51" s="7" t="s">
        <v>18</v>
      </c>
      <c r="C51" s="17">
        <v>0.06</v>
      </c>
      <c r="D51" s="7">
        <v>47</v>
      </c>
      <c r="E51" s="1">
        <v>5.1077666666666598E-2</v>
      </c>
      <c r="F51" s="1">
        <v>27.843468995708601</v>
      </c>
      <c r="G51" s="1">
        <v>0.93085589319207496</v>
      </c>
      <c r="H51" s="1">
        <v>11.602448291463499</v>
      </c>
      <c r="I51" s="1">
        <v>30.8480629775921</v>
      </c>
      <c r="J51" s="1">
        <v>0.94111034000979799</v>
      </c>
      <c r="K51" s="8">
        <v>12.2996095314858</v>
      </c>
      <c r="L51" s="7">
        <v>44</v>
      </c>
      <c r="M51" s="1">
        <v>5.6134666666666597E-2</v>
      </c>
      <c r="N51" s="1">
        <v>29.297015882338599</v>
      </c>
      <c r="O51" s="1">
        <v>0.94714939141045296</v>
      </c>
      <c r="P51" s="1">
        <v>12.769500073052701</v>
      </c>
      <c r="Q51" s="1">
        <v>32.326660912427897</v>
      </c>
      <c r="R51" s="1">
        <v>0.95448558755532098</v>
      </c>
      <c r="S51" s="8">
        <v>13.418510592973</v>
      </c>
      <c r="T51" s="7"/>
      <c r="U51" s="1"/>
      <c r="V51" s="1"/>
      <c r="W51" s="8"/>
      <c r="X51" s="7"/>
      <c r="Y51" s="1"/>
      <c r="Z51" s="1"/>
      <c r="AA51" s="8"/>
      <c r="AB51" s="7">
        <v>2</v>
      </c>
      <c r="AC51" s="1">
        <v>9.6171000000000006E-2</v>
      </c>
      <c r="AD51" s="1">
        <v>30.733024891648899</v>
      </c>
      <c r="AE51" s="1">
        <v>0.96602858283358894</v>
      </c>
      <c r="AF51" s="1">
        <v>14.6888633553462</v>
      </c>
      <c r="AG51" s="1">
        <v>33.557239096821299</v>
      </c>
      <c r="AH51" s="1">
        <v>0.97092854459648203</v>
      </c>
      <c r="AI51" s="1">
        <v>15.3653322561194</v>
      </c>
      <c r="AJ51" s="1">
        <v>685.78939127922001</v>
      </c>
      <c r="AK51" s="1">
        <v>413.20175743102999</v>
      </c>
      <c r="AL51" s="7"/>
      <c r="AM51" s="1"/>
      <c r="AN51" s="1"/>
      <c r="AO51" s="8"/>
      <c r="AP51" s="1"/>
      <c r="AQ51" s="1"/>
      <c r="AR51" s="1"/>
      <c r="AS51" s="8"/>
      <c r="AT51" s="7">
        <v>0.04</v>
      </c>
      <c r="AU51" s="1">
        <v>8.0143333333333303E-2</v>
      </c>
      <c r="AV51" s="1">
        <v>28.736308476716601</v>
      </c>
      <c r="AW51" s="1">
        <v>0.97180222244896597</v>
      </c>
      <c r="AX51" s="1">
        <v>15.4978511988483</v>
      </c>
      <c r="AY51" s="1">
        <v>31.551898725597301</v>
      </c>
      <c r="AZ51" s="1">
        <v>0.97654833904835503</v>
      </c>
      <c r="BA51" s="1">
        <v>16.298263931796399</v>
      </c>
      <c r="BB51" s="1">
        <v>406.659288883209</v>
      </c>
      <c r="BC51" s="1">
        <v>304.81180500984101</v>
      </c>
      <c r="BD51" s="7"/>
      <c r="BE51" s="1"/>
      <c r="BF51" s="1"/>
      <c r="BG51" s="8"/>
      <c r="BH51" s="1"/>
      <c r="BI51" s="1"/>
      <c r="BJ51" s="1"/>
      <c r="BK51" s="8"/>
    </row>
    <row r="52" spans="1:63">
      <c r="A52" s="49"/>
      <c r="B52" s="7" t="s">
        <v>27</v>
      </c>
      <c r="C52" s="17">
        <v>1.5</v>
      </c>
      <c r="D52" s="7">
        <v>18</v>
      </c>
      <c r="E52" s="1">
        <v>1.3987392268061101</v>
      </c>
      <c r="F52" s="1">
        <v>45.317012156225502</v>
      </c>
      <c r="G52" s="1">
        <v>0.99722448916765005</v>
      </c>
      <c r="H52" s="1">
        <v>25.566570733508001</v>
      </c>
      <c r="I52" s="1">
        <v>48.675044558361897</v>
      </c>
      <c r="J52" s="1">
        <v>0.99839915198643903</v>
      </c>
      <c r="K52" s="8">
        <v>27.956498985648199</v>
      </c>
      <c r="L52" s="7">
        <v>15</v>
      </c>
      <c r="M52" s="1">
        <v>1.4440604655054401</v>
      </c>
      <c r="N52" s="1">
        <v>46.066993686035701</v>
      </c>
      <c r="O52" s="1">
        <v>0.99768095762753195</v>
      </c>
      <c r="P52" s="1">
        <v>26.346913160620499</v>
      </c>
      <c r="Q52" s="1">
        <v>49.517102208832704</v>
      </c>
      <c r="R52" s="1">
        <v>0.99868049830664196</v>
      </c>
      <c r="S52" s="8">
        <v>28.795900481000199</v>
      </c>
      <c r="T52" s="13">
        <f>bdrate(E52:E55,F52:F55,M52:M55,N52:N55)</f>
        <v>-0.18576303174590691</v>
      </c>
      <c r="U52" s="12">
        <f>bdrate(E52:E55,H52:H55,M52:M55,P52:P55)</f>
        <v>-0.18454885776427599</v>
      </c>
      <c r="V52" s="12">
        <f>bdrate(E52:E55,I52:I55,M52:M55,Q52:Q55)</f>
        <v>-0.18976328214290195</v>
      </c>
      <c r="W52" s="14">
        <f>bdrate(E52:E55,K52:K55,M52:M55,S52:S55)</f>
        <v>-0.16121900350889551</v>
      </c>
      <c r="X52" s="13">
        <f>bdrate(E54:E57,F54:F57,M54:M57,N54:N57)</f>
        <v>-0.32306131652540859</v>
      </c>
      <c r="Y52" s="12">
        <f>bdrate(E54:E57,H54:H57,M54:M57,P54:P57)</f>
        <v>-0.2833793339265579</v>
      </c>
      <c r="Z52" s="12">
        <f>bdrate(E54:E57,I54:I57,M54:M57,Q54:Q57)</f>
        <v>-0.31988887609348615</v>
      </c>
      <c r="AA52" s="14">
        <f>bdrate(E54:E57,K54:K57,M54:M57,S54:S57)</f>
        <v>-0.25215839489118108</v>
      </c>
      <c r="AB52" s="7">
        <v>256</v>
      </c>
      <c r="AC52" s="1">
        <v>1.07565597230037</v>
      </c>
      <c r="AD52" s="1">
        <v>44.732936919304002</v>
      </c>
      <c r="AE52" s="1">
        <v>0.99730965325718202</v>
      </c>
      <c r="AF52" s="1">
        <v>25.7019174275305</v>
      </c>
      <c r="AG52" s="1">
        <v>47.653570880634398</v>
      </c>
      <c r="AH52" s="1">
        <v>0.99809118161783805</v>
      </c>
      <c r="AI52" s="1">
        <v>27.1923539134301</v>
      </c>
      <c r="AJ52" s="1">
        <v>1028.1465845108</v>
      </c>
      <c r="AK52" s="1">
        <v>314.96649003028801</v>
      </c>
      <c r="AL52" s="13">
        <f>bdrate(E52:E55,F52:F55,AC52:AC55,AD52:AD55)</f>
        <v>-0.10643411563442173</v>
      </c>
      <c r="AM52" s="12">
        <f>bdrate(E52:E55,H52:H55,AC52:AC55,AF52:AF55)</f>
        <v>-0.22073838958107594</v>
      </c>
      <c r="AN52" s="12">
        <f>bdrate(E52:E55,I52:I55,AC52:AC55,AG52:AG55)</f>
        <v>-3.7950049688640686E-2</v>
      </c>
      <c r="AO52" s="14">
        <f>bdrate(E52:E55,K52:K55,AC52:AC55,AI52:AI55)</f>
        <v>-0.13450954740873677</v>
      </c>
      <c r="AP52" s="12">
        <f>bdrate(E54:E57,F54:F57,AC54:AC57,AD54:AD57)</f>
        <v>-0.17921462427580537</v>
      </c>
      <c r="AQ52" s="12">
        <f>bdrate(E54:E57,H54:H57,AC54:AC57,AF54:AF57)</f>
        <v>-0.26184016836760904</v>
      </c>
      <c r="AR52" s="12">
        <f>bdrate(E54:E57,I54:I57,AC54:AC57,AG54:AG57)</f>
        <v>-0.11646867737618172</v>
      </c>
      <c r="AS52" s="14">
        <f>bdrate(E54:E57,K54:K57,AC54:AC57,AI54:AI57)</f>
        <v>-0.19159646721223245</v>
      </c>
      <c r="AT52" s="7">
        <v>6.4</v>
      </c>
      <c r="AU52" s="1">
        <v>1.1036604747880401</v>
      </c>
      <c r="AV52" s="1">
        <v>42.040476721382099</v>
      </c>
      <c r="AW52" s="1">
        <v>0.99875039895485596</v>
      </c>
      <c r="AX52" s="1">
        <v>29.032286202304501</v>
      </c>
      <c r="AY52" s="1">
        <v>44.932165655447903</v>
      </c>
      <c r="AZ52" s="1">
        <v>0.99917045689023298</v>
      </c>
      <c r="BA52" s="1">
        <v>30.811610396006198</v>
      </c>
      <c r="BB52" s="1">
        <v>1663.6806564331</v>
      </c>
      <c r="BC52" s="1">
        <v>303.93510556221003</v>
      </c>
      <c r="BD52" s="13">
        <f>bdrate(E52:E55,F52:F55,AU52:AU55,AV52:AV55)</f>
        <v>0.749889049512104</v>
      </c>
      <c r="BE52" s="12">
        <f>bdrate(E52:E55,H52:H55,AU52:AU55,AX52:AX55)</f>
        <v>-0.58472664190573875</v>
      </c>
      <c r="BF52" s="12">
        <f>bdrate(E52:E55,I52:I55,AU52:AU55,AY52:AY55)</f>
        <v>0.89091508295132815</v>
      </c>
      <c r="BG52" s="14">
        <f>bdrate(E52:E55,K52:K55,AU52:AU55,BA52:BA55)</f>
        <v>-0.54607588769574178</v>
      </c>
      <c r="BH52" s="12">
        <f>bdrate(E54:E57,F54:F57,AU54:AU57,AV54:AV57)</f>
        <v>0.28044716838858275</v>
      </c>
      <c r="BI52" s="12">
        <f>bdrate(E54:E57,H54:H57,AU54:AU57,AX54:AX57)</f>
        <v>-0.56094321990337459</v>
      </c>
      <c r="BJ52" s="12">
        <f>bdrate(E54:E57,I54:I57,AU54:AU57,AY54:AY57)</f>
        <v>0.39658197970433751</v>
      </c>
      <c r="BK52" s="14">
        <f>bdrate(E54:E57,K54:K57,AU54:AU57,BA54:BA57)</f>
        <v>-0.5429916693223642</v>
      </c>
    </row>
    <row r="53" spans="1:63">
      <c r="A53" s="49"/>
      <c r="B53" s="7" t="s">
        <v>18</v>
      </c>
      <c r="C53" s="17">
        <v>1</v>
      </c>
      <c r="D53" s="7">
        <v>21</v>
      </c>
      <c r="E53" s="1">
        <v>0.95514191203287002</v>
      </c>
      <c r="F53" s="1">
        <v>43.509127770647801</v>
      </c>
      <c r="G53" s="1">
        <v>0.99579090072272602</v>
      </c>
      <c r="H53" s="1">
        <v>23.758108307110401</v>
      </c>
      <c r="I53" s="1">
        <v>46.750655572990397</v>
      </c>
      <c r="J53" s="1">
        <v>0.99727210584263704</v>
      </c>
      <c r="K53" s="8">
        <v>25.641724843694</v>
      </c>
      <c r="L53" s="7">
        <v>19</v>
      </c>
      <c r="M53" s="1">
        <v>0.87163460443235696</v>
      </c>
      <c r="N53" s="1">
        <v>43.832644872580801</v>
      </c>
      <c r="O53" s="1">
        <v>0.99613570521814498</v>
      </c>
      <c r="P53" s="1">
        <v>24.129297514983701</v>
      </c>
      <c r="Q53" s="1">
        <v>47.133992295886699</v>
      </c>
      <c r="R53" s="1">
        <v>0.99746944412762095</v>
      </c>
      <c r="S53" s="8">
        <v>25.967840694210899</v>
      </c>
      <c r="T53" s="7"/>
      <c r="U53" s="1"/>
      <c r="V53" s="1"/>
      <c r="W53" s="8"/>
      <c r="X53" s="7"/>
      <c r="Y53" s="1"/>
      <c r="Z53" s="1"/>
      <c r="AA53" s="8"/>
      <c r="AB53" s="7">
        <v>128</v>
      </c>
      <c r="AC53" s="1">
        <v>0.70033091623750598</v>
      </c>
      <c r="AD53" s="1">
        <v>42.819533492610901</v>
      </c>
      <c r="AE53" s="1">
        <v>0.995635124331402</v>
      </c>
      <c r="AF53" s="1">
        <v>23.600281224535099</v>
      </c>
      <c r="AG53" s="1">
        <v>45.703976919344399</v>
      </c>
      <c r="AH53" s="1">
        <v>0.99672778732240097</v>
      </c>
      <c r="AI53" s="1">
        <v>24.851584770955</v>
      </c>
      <c r="AJ53" s="1">
        <v>1410.8494913577999</v>
      </c>
      <c r="AK53" s="1">
        <v>405.987412929534</v>
      </c>
      <c r="AL53" s="7"/>
      <c r="AM53" s="1"/>
      <c r="AN53" s="1"/>
      <c r="AO53" s="8"/>
      <c r="AP53" s="1"/>
      <c r="AQ53" s="1"/>
      <c r="AR53" s="1"/>
      <c r="AS53" s="8"/>
      <c r="AT53" s="7">
        <v>3.2</v>
      </c>
      <c r="AU53" s="1">
        <v>0.78557074907402802</v>
      </c>
      <c r="AV53" s="1">
        <v>40.4640195103078</v>
      </c>
      <c r="AW53" s="1">
        <v>0.99803852172262497</v>
      </c>
      <c r="AX53" s="1">
        <v>27.074164971539599</v>
      </c>
      <c r="AY53" s="1">
        <v>43.311410551288397</v>
      </c>
      <c r="AZ53" s="1">
        <v>0.99864504779386598</v>
      </c>
      <c r="BA53" s="1">
        <v>28.6807602359284</v>
      </c>
      <c r="BB53" s="1">
        <v>1039.0195684432899</v>
      </c>
      <c r="BC53" s="1">
        <v>404.62154936790398</v>
      </c>
      <c r="BD53" s="7"/>
      <c r="BE53" s="1"/>
      <c r="BF53" s="1"/>
      <c r="BG53" s="8"/>
      <c r="BH53" s="1"/>
      <c r="BI53" s="1"/>
      <c r="BJ53" s="1"/>
      <c r="BK53" s="8"/>
    </row>
    <row r="54" spans="1:63">
      <c r="A54" s="49"/>
      <c r="B54" s="7" t="s">
        <v>18</v>
      </c>
      <c r="C54" s="17">
        <v>0.5</v>
      </c>
      <c r="D54" s="7">
        <v>26</v>
      </c>
      <c r="E54" s="1">
        <v>0.46478515141392501</v>
      </c>
      <c r="F54" s="1">
        <v>40.579996821441298</v>
      </c>
      <c r="G54" s="1">
        <v>0.99202441227122695</v>
      </c>
      <c r="H54" s="1">
        <v>20.982373035111799</v>
      </c>
      <c r="I54" s="1">
        <v>43.739195082304597</v>
      </c>
      <c r="J54" s="1">
        <v>0.99419394554993901</v>
      </c>
      <c r="K54" s="8">
        <v>22.361188956056001</v>
      </c>
      <c r="L54" s="7">
        <v>23</v>
      </c>
      <c r="M54" s="1">
        <v>0.49048007444816899</v>
      </c>
      <c r="N54" s="1">
        <v>41.626011065382698</v>
      </c>
      <c r="O54" s="1">
        <v>0.99354461121528503</v>
      </c>
      <c r="P54" s="1">
        <v>21.900775966243</v>
      </c>
      <c r="Q54" s="1">
        <v>44.818518813883401</v>
      </c>
      <c r="R54" s="1">
        <v>0.99532604929142898</v>
      </c>
      <c r="S54" s="8">
        <v>23.303158719841601</v>
      </c>
      <c r="T54" s="7"/>
      <c r="U54" s="1"/>
      <c r="V54" s="1"/>
      <c r="W54" s="8"/>
      <c r="X54" s="7"/>
      <c r="Y54" s="1"/>
      <c r="Z54" s="1"/>
      <c r="AA54" s="8"/>
      <c r="AB54" s="7">
        <v>64</v>
      </c>
      <c r="AC54" s="1">
        <v>0.47907116072335298</v>
      </c>
      <c r="AD54" s="1">
        <v>40.967478088032799</v>
      </c>
      <c r="AE54" s="1">
        <v>0.99336973172461096</v>
      </c>
      <c r="AF54" s="1">
        <v>21.784688987198798</v>
      </c>
      <c r="AG54" s="1">
        <v>43.847391806574201</v>
      </c>
      <c r="AH54" s="1">
        <v>0.99485246630776303</v>
      </c>
      <c r="AI54" s="1">
        <v>22.884008021058101</v>
      </c>
      <c r="AJ54" s="1">
        <v>1045.46642041206</v>
      </c>
      <c r="AK54" s="1">
        <v>348.39147377014098</v>
      </c>
      <c r="AL54" s="7"/>
      <c r="AM54" s="1"/>
      <c r="AN54" s="1"/>
      <c r="AO54" s="8"/>
      <c r="AP54" s="1"/>
      <c r="AQ54" s="1"/>
      <c r="AR54" s="1"/>
      <c r="AS54" s="8"/>
      <c r="AT54" s="7">
        <v>1.28</v>
      </c>
      <c r="AU54" s="1">
        <v>0.49898804737277802</v>
      </c>
      <c r="AV54" s="1">
        <v>38.566590564235703</v>
      </c>
      <c r="AW54" s="1">
        <v>0.99663583645029996</v>
      </c>
      <c r="AX54" s="1">
        <v>24.731228990199099</v>
      </c>
      <c r="AY54" s="1">
        <v>41.401901209024402</v>
      </c>
      <c r="AZ54" s="1">
        <v>0.99761485449557197</v>
      </c>
      <c r="BA54" s="1">
        <v>26.2248512193094</v>
      </c>
      <c r="BB54" s="1">
        <v>1052.8929090499801</v>
      </c>
      <c r="BC54" s="1">
        <v>345.52059507369898</v>
      </c>
      <c r="BD54" s="7"/>
      <c r="BE54" s="1"/>
      <c r="BF54" s="1"/>
      <c r="BG54" s="8"/>
      <c r="BH54" s="1"/>
      <c r="BI54" s="1"/>
      <c r="BJ54" s="1"/>
      <c r="BK54" s="8"/>
    </row>
    <row r="55" spans="1:63">
      <c r="A55" s="49"/>
      <c r="B55" s="7" t="s">
        <v>18</v>
      </c>
      <c r="C55" s="17">
        <v>0.25</v>
      </c>
      <c r="D55" s="7">
        <v>31</v>
      </c>
      <c r="E55" s="1">
        <v>0.24473911737360199</v>
      </c>
      <c r="F55" s="1">
        <v>38.113440095545201</v>
      </c>
      <c r="G55" s="1">
        <v>0.98804115620099997</v>
      </c>
      <c r="H55" s="1">
        <v>19.223108066341599</v>
      </c>
      <c r="I55" s="1">
        <v>41.289829702115497</v>
      </c>
      <c r="J55" s="1">
        <v>0.99119427835641505</v>
      </c>
      <c r="K55" s="8">
        <v>20.5523504708068</v>
      </c>
      <c r="L55" s="7">
        <v>28</v>
      </c>
      <c r="M55" s="1">
        <v>0.241389205228319</v>
      </c>
      <c r="N55" s="1">
        <v>39.2991112047863</v>
      </c>
      <c r="O55" s="1">
        <v>0.98986472633523703</v>
      </c>
      <c r="P55" s="1">
        <v>19.941645203314401</v>
      </c>
      <c r="Q55" s="1">
        <v>42.460489006979998</v>
      </c>
      <c r="R55" s="1">
        <v>0.99238848302109495</v>
      </c>
      <c r="S55" s="8">
        <v>21.185287795090701</v>
      </c>
      <c r="T55" s="7"/>
      <c r="U55" s="1"/>
      <c r="V55" s="1"/>
      <c r="W55" s="8"/>
      <c r="X55" s="7"/>
      <c r="Y55" s="1"/>
      <c r="Z55" s="1"/>
      <c r="AA55" s="8"/>
      <c r="AB55" s="7">
        <v>16</v>
      </c>
      <c r="AC55" s="1">
        <v>0.217302471663048</v>
      </c>
      <c r="AD55" s="1">
        <v>38.200999036186801</v>
      </c>
      <c r="AE55" s="1">
        <v>0.98903500701693703</v>
      </c>
      <c r="AF55" s="1">
        <v>19.599916419087702</v>
      </c>
      <c r="AG55" s="1">
        <v>41.103848642806199</v>
      </c>
      <c r="AH55" s="1">
        <v>0.99150629760780196</v>
      </c>
      <c r="AI55" s="1">
        <v>20.7090296016789</v>
      </c>
      <c r="AJ55" s="1">
        <v>436.29762578010502</v>
      </c>
      <c r="AK55" s="1">
        <v>277.06647205352698</v>
      </c>
      <c r="AL55" s="7"/>
      <c r="AM55" s="1"/>
      <c r="AN55" s="1"/>
      <c r="AO55" s="8"/>
      <c r="AP55" s="1"/>
      <c r="AQ55" s="1"/>
      <c r="AR55" s="1"/>
      <c r="AS55" s="8"/>
      <c r="AT55" s="7">
        <v>0.32</v>
      </c>
      <c r="AU55" s="1">
        <v>0.19838231502553</v>
      </c>
      <c r="AV55" s="1">
        <v>35.850636491177298</v>
      </c>
      <c r="AW55" s="1">
        <v>0.99231202452349698</v>
      </c>
      <c r="AX55" s="1">
        <v>21.1418801067205</v>
      </c>
      <c r="AY55" s="1">
        <v>38.696657593492503</v>
      </c>
      <c r="AZ55" s="1">
        <v>0.99425803552995096</v>
      </c>
      <c r="BA55" s="1">
        <v>22.4093949914528</v>
      </c>
      <c r="BB55" s="1">
        <v>411.71674728393498</v>
      </c>
      <c r="BC55" s="1">
        <v>276.69872641563398</v>
      </c>
      <c r="BD55" s="7"/>
      <c r="BE55" s="1"/>
      <c r="BF55" s="1"/>
      <c r="BG55" s="8"/>
      <c r="BH55" s="1"/>
      <c r="BI55" s="1"/>
      <c r="BJ55" s="1"/>
      <c r="BK55" s="8"/>
    </row>
    <row r="56" spans="1:63">
      <c r="A56" s="49"/>
      <c r="B56" s="7" t="s">
        <v>18</v>
      </c>
      <c r="C56" s="17">
        <v>0.12</v>
      </c>
      <c r="D56" s="7">
        <v>37</v>
      </c>
      <c r="E56" s="1">
        <v>0.118209590503131</v>
      </c>
      <c r="F56" s="1">
        <v>35.010635274978597</v>
      </c>
      <c r="G56" s="1">
        <v>0.98092902194998</v>
      </c>
      <c r="H56" s="1">
        <v>17.196270337062501</v>
      </c>
      <c r="I56" s="1">
        <v>38.2041558383712</v>
      </c>
      <c r="J56" s="1">
        <v>0.98589471760866798</v>
      </c>
      <c r="K56" s="8">
        <v>18.5061821473588</v>
      </c>
      <c r="L56" s="7">
        <v>34</v>
      </c>
      <c r="M56" s="1">
        <v>0.115685744755276</v>
      </c>
      <c r="N56" s="1">
        <v>36.760161398679301</v>
      </c>
      <c r="O56" s="1">
        <v>0.98472370073205095</v>
      </c>
      <c r="P56" s="1">
        <v>18.159818422373299</v>
      </c>
      <c r="Q56" s="1">
        <v>39.920543433378903</v>
      </c>
      <c r="R56" s="1">
        <v>0.98840290621063198</v>
      </c>
      <c r="S56" s="8">
        <v>19.3565083054669</v>
      </c>
      <c r="T56" s="7"/>
      <c r="U56" s="1"/>
      <c r="V56" s="1"/>
      <c r="W56" s="8"/>
      <c r="X56" s="7"/>
      <c r="Y56" s="1"/>
      <c r="Z56" s="1"/>
      <c r="AA56" s="8"/>
      <c r="AB56" s="7">
        <v>4</v>
      </c>
      <c r="AC56" s="1">
        <v>0.100980059651361</v>
      </c>
      <c r="AD56" s="1">
        <v>35.641555154124703</v>
      </c>
      <c r="AE56" s="1">
        <v>0.98341298885533901</v>
      </c>
      <c r="AF56" s="1">
        <v>17.802318635430201</v>
      </c>
      <c r="AG56" s="1">
        <v>38.533108800817402</v>
      </c>
      <c r="AH56" s="1">
        <v>0.98698059493481105</v>
      </c>
      <c r="AI56" s="1">
        <v>18.8540886083766</v>
      </c>
      <c r="AJ56" s="1">
        <v>390.05499315261801</v>
      </c>
      <c r="AK56" s="1">
        <v>281.996867895126</v>
      </c>
      <c r="AL56" s="7"/>
      <c r="AM56" s="1"/>
      <c r="AN56" s="1"/>
      <c r="AO56" s="8"/>
      <c r="AP56" s="1"/>
      <c r="AQ56" s="1"/>
      <c r="AR56" s="1"/>
      <c r="AS56" s="8"/>
      <c r="AT56" s="7">
        <v>0.16</v>
      </c>
      <c r="AU56" s="1">
        <v>0.12153463549500799</v>
      </c>
      <c r="AV56" s="1">
        <v>34.475676189855101</v>
      </c>
      <c r="AW56" s="1">
        <v>0.98901869849808699</v>
      </c>
      <c r="AX56" s="1">
        <v>19.593461843302201</v>
      </c>
      <c r="AY56" s="1">
        <v>37.316429065144099</v>
      </c>
      <c r="AZ56" s="1">
        <v>0.99168410289461995</v>
      </c>
      <c r="BA56" s="1">
        <v>20.800908929387099</v>
      </c>
      <c r="BB56" s="1">
        <v>417.67051410674998</v>
      </c>
      <c r="BC56" s="1">
        <v>294.86226963996802</v>
      </c>
      <c r="BD56" s="7"/>
      <c r="BE56" s="1"/>
      <c r="BF56" s="1"/>
      <c r="BG56" s="8"/>
      <c r="BH56" s="1"/>
      <c r="BI56" s="1"/>
      <c r="BJ56" s="1"/>
      <c r="BK56" s="8"/>
    </row>
    <row r="57" spans="1:63">
      <c r="A57" s="49"/>
      <c r="B57" s="7" t="s">
        <v>18</v>
      </c>
      <c r="C57" s="17">
        <v>0.06</v>
      </c>
      <c r="D57" s="7">
        <v>43</v>
      </c>
      <c r="E57" s="1">
        <v>5.77449366707267E-2</v>
      </c>
      <c r="F57" s="1">
        <v>31.584832864791</v>
      </c>
      <c r="G57" s="1">
        <v>0.96768489829439697</v>
      </c>
      <c r="H57" s="1">
        <v>14.905944728803201</v>
      </c>
      <c r="I57" s="1">
        <v>34.730985450508598</v>
      </c>
      <c r="J57" s="1">
        <v>0.975456020597113</v>
      </c>
      <c r="K57" s="8">
        <v>16.100550221874499</v>
      </c>
      <c r="L57" s="7">
        <v>40</v>
      </c>
      <c r="M57" s="1">
        <v>5.7456750207953697E-2</v>
      </c>
      <c r="N57" s="1">
        <v>33.830119506372</v>
      </c>
      <c r="O57" s="1">
        <v>0.97611825115498596</v>
      </c>
      <c r="P57" s="1">
        <v>16.219338732742699</v>
      </c>
      <c r="Q57" s="1">
        <v>36.981707208779703</v>
      </c>
      <c r="R57" s="1">
        <v>0.98146731942167897</v>
      </c>
      <c r="S57" s="8">
        <v>17.320617595167001</v>
      </c>
      <c r="T57" s="7"/>
      <c r="U57" s="1"/>
      <c r="V57" s="1"/>
      <c r="W57" s="8"/>
      <c r="X57" s="7"/>
      <c r="Y57" s="1"/>
      <c r="Z57" s="1"/>
      <c r="AA57" s="8"/>
      <c r="AB57" s="7">
        <v>2</v>
      </c>
      <c r="AC57" s="1">
        <v>7.2909471851893906E-2</v>
      </c>
      <c r="AD57" s="1">
        <v>34.176034506763401</v>
      </c>
      <c r="AE57" s="1">
        <v>0.97922377319167098</v>
      </c>
      <c r="AF57" s="1">
        <v>16.824333222799901</v>
      </c>
      <c r="AG57" s="1">
        <v>37.0791995634412</v>
      </c>
      <c r="AH57" s="1">
        <v>0.98357949948000301</v>
      </c>
      <c r="AI57" s="1">
        <v>17.846136091069798</v>
      </c>
      <c r="AJ57" s="1">
        <v>724.85796189308098</v>
      </c>
      <c r="AK57" s="1">
        <v>420.38789534568701</v>
      </c>
      <c r="AL57" s="7"/>
      <c r="AM57" s="1"/>
      <c r="AN57" s="1"/>
      <c r="AO57" s="8"/>
      <c r="AP57" s="1"/>
      <c r="AQ57" s="1"/>
      <c r="AR57" s="1"/>
      <c r="AS57" s="8"/>
      <c r="AT57" s="7">
        <v>0.04</v>
      </c>
      <c r="AU57" s="1">
        <v>5.2904017258826402E-2</v>
      </c>
      <c r="AV57" s="1">
        <v>31.282791779077701</v>
      </c>
      <c r="AW57" s="1">
        <v>0.98072986846657795</v>
      </c>
      <c r="AX57" s="1">
        <v>17.1511532094163</v>
      </c>
      <c r="AY57" s="1">
        <v>34.1637600071329</v>
      </c>
      <c r="AZ57" s="1">
        <v>0.98544408443181697</v>
      </c>
      <c r="BA57" s="1">
        <v>18.369604722104601</v>
      </c>
      <c r="BB57" s="1">
        <v>389.699672222137</v>
      </c>
      <c r="BC57" s="1">
        <v>291.16711187362603</v>
      </c>
      <c r="BD57" s="7"/>
      <c r="BE57" s="1"/>
      <c r="BF57" s="1"/>
      <c r="BG57" s="8"/>
      <c r="BH57" s="1"/>
      <c r="BI57" s="1"/>
      <c r="BJ57" s="1"/>
      <c r="BK57" s="8"/>
    </row>
    <row r="58" spans="1:63">
      <c r="A58" s="49"/>
      <c r="B58" s="7" t="s">
        <v>28</v>
      </c>
      <c r="C58" s="17">
        <v>1.5</v>
      </c>
      <c r="D58" s="7">
        <v>20</v>
      </c>
      <c r="E58" s="1">
        <v>1.412247</v>
      </c>
      <c r="F58" s="1">
        <v>43.733690498099101</v>
      </c>
      <c r="G58" s="1">
        <v>0.99643974559829296</v>
      </c>
      <c r="H58" s="1">
        <v>24.485189679513098</v>
      </c>
      <c r="I58" s="1">
        <v>46.969024647531597</v>
      </c>
      <c r="J58" s="1">
        <v>0.997838260187078</v>
      </c>
      <c r="K58" s="8">
        <v>26.651965789359799</v>
      </c>
      <c r="L58" s="7">
        <v>17</v>
      </c>
      <c r="M58" s="1">
        <v>1.47741533333333</v>
      </c>
      <c r="N58" s="1">
        <v>44.671170577854497</v>
      </c>
      <c r="O58" s="1">
        <v>0.99717800689868297</v>
      </c>
      <c r="P58" s="1">
        <v>25.494440522626601</v>
      </c>
      <c r="Q58" s="1">
        <v>47.982212543383604</v>
      </c>
      <c r="R58" s="1">
        <v>0.99827615100985101</v>
      </c>
      <c r="S58" s="8">
        <v>27.6350078121284</v>
      </c>
      <c r="T58" s="13">
        <f>bdrate(E58:E61,F58:F61,M58:M61,N58:N61)</f>
        <v>-0.20183265054728494</v>
      </c>
      <c r="U58" s="12">
        <f>bdrate(E58:E61,H58:H61,M58:M61,P58:P61)</f>
        <v>-0.18410198754876061</v>
      </c>
      <c r="V58" s="12">
        <f>bdrate(E58:E61,I58:I61,M58:M61,Q58:Q61)</f>
        <v>-0.20212026032790176</v>
      </c>
      <c r="W58" s="14">
        <f>bdrate(E58:E61,K58:K61,M58:M61,S58:S61)</f>
        <v>-0.15766884177444485</v>
      </c>
      <c r="X58" s="13">
        <f>bdrate(E60:E63,F60:F63,M60:M63,N60:N63)</f>
        <v>-0.29988867846945355</v>
      </c>
      <c r="Y58" s="12">
        <f>bdrate(E60:E63,H60:H63,M60:M63,P60:P63)</f>
        <v>-0.26321037617350562</v>
      </c>
      <c r="Z58" s="12">
        <f>bdrate(E60:E63,I60:I63,M60:M63,Q60:Q63)</f>
        <v>-0.29940995163718942</v>
      </c>
      <c r="AA58" s="14">
        <f>bdrate(E60:E63,K60:K63,M60:M63,S60:S63)</f>
        <v>-0.22660311773376796</v>
      </c>
      <c r="AB58" s="7">
        <v>256</v>
      </c>
      <c r="AC58" s="1">
        <v>1.3140643333333299</v>
      </c>
      <c r="AD58" s="1">
        <v>44.322970107024297</v>
      </c>
      <c r="AE58" s="1">
        <v>0.99736610757438704</v>
      </c>
      <c r="AF58" s="1">
        <v>25.7940196662435</v>
      </c>
      <c r="AG58" s="1">
        <v>47.187640229406597</v>
      </c>
      <c r="AH58" s="1">
        <v>0.99815509945403802</v>
      </c>
      <c r="AI58" s="1">
        <v>27.340270406183201</v>
      </c>
      <c r="AJ58" s="1">
        <v>698.78207993507306</v>
      </c>
      <c r="AK58" s="1">
        <v>361.00127983093199</v>
      </c>
      <c r="AL58" s="13">
        <f>bdrate(E58:E61,F58:F61,AC58:AC61,AD58:AD61)</f>
        <v>-0.20115602154159584</v>
      </c>
      <c r="AM58" s="12">
        <f>bdrate(E58:E61,H58:H61,AC58:AC61,AF58:AF61)</f>
        <v>-0.24869567758691324</v>
      </c>
      <c r="AN58" s="12">
        <f>bdrate(E58:E61,I58:I61,AC58:AC61,AG58:AG61)</f>
        <v>-0.15127103617892379</v>
      </c>
      <c r="AO58" s="14">
        <f>bdrate(E58:E61,K58:K61,AC58:AC61,AI58:AI61)</f>
        <v>-0.17732897862012964</v>
      </c>
      <c r="AP58" s="12">
        <f>bdrate(E60:E63,F60:F63,AC60:AC63,AD60:AD63)</f>
        <v>-0.25313869638167319</v>
      </c>
      <c r="AQ58" s="12">
        <f>bdrate(E60:E63,H60:H63,AC60:AC63,AF60:AF63)</f>
        <v>-0.27168989177515979</v>
      </c>
      <c r="AR58" s="12">
        <f>bdrate(E60:E63,I60:I63,AC60:AC63,AG60:AG63)</f>
        <v>-0.21367564079083012</v>
      </c>
      <c r="AS58" s="14">
        <f>bdrate(E60:E63,K60:K63,AC60:AC63,AI60:AI63)</f>
        <v>-0.21065023013770501</v>
      </c>
      <c r="AT58" s="7">
        <v>6.4</v>
      </c>
      <c r="AU58" s="1">
        <v>1.2652749999999999</v>
      </c>
      <c r="AV58" s="1">
        <v>41.464066586112899</v>
      </c>
      <c r="AW58" s="1">
        <v>0.998632782605126</v>
      </c>
      <c r="AX58" s="1">
        <v>28.641624247976999</v>
      </c>
      <c r="AY58" s="1">
        <v>44.279204417100203</v>
      </c>
      <c r="AZ58" s="1">
        <v>0.99906574563529504</v>
      </c>
      <c r="BA58" s="1">
        <v>30.2953486451086</v>
      </c>
      <c r="BB58" s="1">
        <v>1822.5999412536601</v>
      </c>
      <c r="BC58" s="1">
        <v>356.52047276496802</v>
      </c>
      <c r="BD58" s="13">
        <f>bdrate(E58:E61,F58:F61,AU58:AU61,AV58:AV61)</f>
        <v>0.37450670548440801</v>
      </c>
      <c r="BE58" s="12">
        <f>bdrate(E58:E61,H58:H61,AU58:AU61,AX58:AX61)</f>
        <v>-0.54644171027802835</v>
      </c>
      <c r="BF58" s="12">
        <f>bdrate(E58:E61,I58:I61,AU58:AU61,AY58:AY61)</f>
        <v>0.44816994077843031</v>
      </c>
      <c r="BG58" s="14">
        <f>bdrate(E58:E61,K58:K61,AU58:AU61,BA58:BA61)</f>
        <v>-0.50826123119629618</v>
      </c>
      <c r="BH58" s="12">
        <f>bdrate(E60:E63,F60:F63,AU60:AU63,AV60:AV63)</f>
        <v>0.23490112073850433</v>
      </c>
      <c r="BI58" s="12">
        <f>bdrate(E60:E63,H60:H63,AU60:AU63,AX60:AX63)</f>
        <v>-0.55394354751585606</v>
      </c>
      <c r="BJ58" s="12">
        <f>bdrate(E60:E63,I60:I63,AU60:AU63,AY60:AY63)</f>
        <v>0.27966739500400695</v>
      </c>
      <c r="BK58" s="14">
        <f>bdrate(E60:E63,K60:K63,AU60:AU63,BA60:BA63)</f>
        <v>-0.53970856868557426</v>
      </c>
    </row>
    <row r="59" spans="1:63">
      <c r="A59" s="49"/>
      <c r="B59" s="7" t="s">
        <v>18</v>
      </c>
      <c r="C59" s="17">
        <v>1</v>
      </c>
      <c r="D59" s="7">
        <v>23</v>
      </c>
      <c r="E59" s="1">
        <v>0.995657666666666</v>
      </c>
      <c r="F59" s="1">
        <v>41.912591855252202</v>
      </c>
      <c r="G59" s="1">
        <v>0.994578005127701</v>
      </c>
      <c r="H59" s="1">
        <v>22.658408974773199</v>
      </c>
      <c r="I59" s="1">
        <v>45.062264612813998</v>
      </c>
      <c r="J59" s="1">
        <v>0.99641817887316197</v>
      </c>
      <c r="K59" s="8">
        <v>24.4589610625004</v>
      </c>
      <c r="L59" s="7">
        <v>21</v>
      </c>
      <c r="M59" s="1">
        <v>0.90809099999999998</v>
      </c>
      <c r="N59" s="1">
        <v>42.291601995368602</v>
      </c>
      <c r="O59" s="1">
        <v>0.995001916453785</v>
      </c>
      <c r="P59" s="1">
        <v>23.011964886344099</v>
      </c>
      <c r="Q59" s="1">
        <v>45.467273000152403</v>
      </c>
      <c r="R59" s="1">
        <v>0.99662560524740795</v>
      </c>
      <c r="S59" s="8">
        <v>24.718041129608402</v>
      </c>
      <c r="T59" s="7"/>
      <c r="U59" s="1"/>
      <c r="V59" s="1"/>
      <c r="W59" s="8"/>
      <c r="X59" s="7"/>
      <c r="Y59" s="1"/>
      <c r="Z59" s="1"/>
      <c r="AA59" s="8"/>
      <c r="AB59" s="7">
        <v>128</v>
      </c>
      <c r="AC59" s="1">
        <v>0.89928233333333296</v>
      </c>
      <c r="AD59" s="1">
        <v>42.441321062035399</v>
      </c>
      <c r="AE59" s="1">
        <v>0.99567602053764703</v>
      </c>
      <c r="AF59" s="1">
        <v>23.641163774866101</v>
      </c>
      <c r="AG59" s="1">
        <v>45.268792413200302</v>
      </c>
      <c r="AH59" s="1">
        <v>0.99680857844473603</v>
      </c>
      <c r="AI59" s="1">
        <v>24.960158260062101</v>
      </c>
      <c r="AJ59" s="1">
        <v>1480.0024247169399</v>
      </c>
      <c r="AK59" s="1">
        <v>531.12104701995804</v>
      </c>
      <c r="AL59" s="7"/>
      <c r="AM59" s="1"/>
      <c r="AN59" s="1"/>
      <c r="AO59" s="8"/>
      <c r="AP59" s="1"/>
      <c r="AQ59" s="1"/>
      <c r="AR59" s="1"/>
      <c r="AS59" s="8"/>
      <c r="AT59" s="7">
        <v>3.2</v>
      </c>
      <c r="AU59" s="1">
        <v>0.93164233333333302</v>
      </c>
      <c r="AV59" s="1">
        <v>39.885511521690603</v>
      </c>
      <c r="AW59" s="1">
        <v>0.99788018896049802</v>
      </c>
      <c r="AX59" s="1">
        <v>26.737028504671802</v>
      </c>
      <c r="AY59" s="1">
        <v>42.694992356153698</v>
      </c>
      <c r="AZ59" s="1">
        <v>0.99850512217390397</v>
      </c>
      <c r="BA59" s="1">
        <v>28.253943000623199</v>
      </c>
      <c r="BB59" s="1">
        <v>935.95660805702198</v>
      </c>
      <c r="BC59" s="1">
        <v>410.532545089721</v>
      </c>
      <c r="BD59" s="7"/>
      <c r="BE59" s="1"/>
      <c r="BF59" s="1"/>
      <c r="BG59" s="8"/>
      <c r="BH59" s="1"/>
      <c r="BI59" s="1"/>
      <c r="BJ59" s="1"/>
      <c r="BK59" s="8"/>
    </row>
    <row r="60" spans="1:63">
      <c r="A60" s="49"/>
      <c r="B60" s="7" t="s">
        <v>18</v>
      </c>
      <c r="C60" s="17">
        <v>0.5</v>
      </c>
      <c r="D60" s="7">
        <v>29</v>
      </c>
      <c r="E60" s="1">
        <v>0.491956</v>
      </c>
      <c r="F60" s="1">
        <v>38.432122159897098</v>
      </c>
      <c r="G60" s="1">
        <v>0.98825856527184897</v>
      </c>
      <c r="H60" s="1">
        <v>19.302788318407</v>
      </c>
      <c r="I60" s="1">
        <v>41.505146222209603</v>
      </c>
      <c r="J60" s="1">
        <v>0.99145798870502699</v>
      </c>
      <c r="K60" s="8">
        <v>20.684398586477801</v>
      </c>
      <c r="L60" s="7">
        <v>26</v>
      </c>
      <c r="M60" s="1">
        <v>0.49388500000000002</v>
      </c>
      <c r="N60" s="1">
        <v>39.594192547681999</v>
      </c>
      <c r="O60" s="1">
        <v>0.99065794946991004</v>
      </c>
      <c r="P60" s="1">
        <v>20.2955778799241</v>
      </c>
      <c r="Q60" s="1">
        <v>42.690671548029997</v>
      </c>
      <c r="R60" s="1">
        <v>0.99315074383107604</v>
      </c>
      <c r="S60" s="8">
        <v>21.643565904451599</v>
      </c>
      <c r="T60" s="7"/>
      <c r="U60" s="1"/>
      <c r="V60" s="1"/>
      <c r="W60" s="8"/>
      <c r="X60" s="7"/>
      <c r="Y60" s="1"/>
      <c r="Z60" s="1"/>
      <c r="AA60" s="8"/>
      <c r="AB60" s="7">
        <v>32</v>
      </c>
      <c r="AC60" s="1">
        <v>0.43846166666666597</v>
      </c>
      <c r="AD60" s="1">
        <v>38.935493468576503</v>
      </c>
      <c r="AE60" s="1">
        <v>0.99010865538718296</v>
      </c>
      <c r="AF60" s="1">
        <v>20.047446671254001</v>
      </c>
      <c r="AG60" s="1">
        <v>41.741386402931496</v>
      </c>
      <c r="AH60" s="1">
        <v>0.99220510353583202</v>
      </c>
      <c r="AI60" s="1">
        <v>21.081896489599501</v>
      </c>
      <c r="AJ60" s="1">
        <v>491.89415526390002</v>
      </c>
      <c r="AK60" s="1">
        <v>220.66490650176999</v>
      </c>
      <c r="AL60" s="7"/>
      <c r="AM60" s="1"/>
      <c r="AN60" s="1"/>
      <c r="AO60" s="8"/>
      <c r="AP60" s="1"/>
      <c r="AQ60" s="1"/>
      <c r="AR60" s="1"/>
      <c r="AS60" s="8"/>
      <c r="AT60" s="7">
        <v>0.64</v>
      </c>
      <c r="AU60" s="1">
        <v>0.42819766666666598</v>
      </c>
      <c r="AV60" s="1">
        <v>36.382223052190199</v>
      </c>
      <c r="AW60" s="1">
        <v>0.99426699993478596</v>
      </c>
      <c r="AX60" s="1">
        <v>22.416180532851602</v>
      </c>
      <c r="AY60" s="1">
        <v>39.2244448179774</v>
      </c>
      <c r="AZ60" s="1">
        <v>0.99574564206441596</v>
      </c>
      <c r="BA60" s="1">
        <v>23.7116597402207</v>
      </c>
      <c r="BB60" s="1">
        <v>473.36015915870598</v>
      </c>
      <c r="BC60" s="1">
        <v>282.443950653076</v>
      </c>
      <c r="BD60" s="7"/>
      <c r="BE60" s="1"/>
      <c r="BF60" s="1"/>
      <c r="BG60" s="8"/>
      <c r="BH60" s="1"/>
      <c r="BI60" s="1"/>
      <c r="BJ60" s="1"/>
      <c r="BK60" s="8"/>
    </row>
    <row r="61" spans="1:63">
      <c r="A61" s="49"/>
      <c r="B61" s="7" t="s">
        <v>18</v>
      </c>
      <c r="C61" s="17">
        <v>0.25</v>
      </c>
      <c r="D61" s="7">
        <v>35</v>
      </c>
      <c r="E61" s="1">
        <v>0.23137533333333299</v>
      </c>
      <c r="F61" s="1">
        <v>34.959510155529799</v>
      </c>
      <c r="G61" s="1">
        <v>0.97461164373484999</v>
      </c>
      <c r="H61" s="1">
        <v>15.953654160259999</v>
      </c>
      <c r="I61" s="1">
        <v>37.978004134946801</v>
      </c>
      <c r="J61" s="1">
        <v>0.97978660954110097</v>
      </c>
      <c r="K61" s="8">
        <v>16.9436083472349</v>
      </c>
      <c r="L61" s="7">
        <v>32</v>
      </c>
      <c r="M61" s="1">
        <v>0.23415900000000001</v>
      </c>
      <c r="N61" s="1">
        <v>36.497102859064803</v>
      </c>
      <c r="O61" s="1">
        <v>0.98108497135262596</v>
      </c>
      <c r="P61" s="1">
        <v>17.2319299661883</v>
      </c>
      <c r="Q61" s="1">
        <v>39.531762141224</v>
      </c>
      <c r="R61" s="1">
        <v>0.98475066937405997</v>
      </c>
      <c r="S61" s="8">
        <v>18.167492193887298</v>
      </c>
      <c r="T61" s="7"/>
      <c r="U61" s="1"/>
      <c r="V61" s="1"/>
      <c r="W61" s="8"/>
      <c r="X61" s="7"/>
      <c r="Y61" s="1"/>
      <c r="Z61" s="1"/>
      <c r="AA61" s="8"/>
      <c r="AB61" s="7">
        <v>8</v>
      </c>
      <c r="AC61" s="1">
        <v>0.20961033333333301</v>
      </c>
      <c r="AD61" s="1">
        <v>35.820728081901997</v>
      </c>
      <c r="AE61" s="1">
        <v>0.97931152857085102</v>
      </c>
      <c r="AF61" s="1">
        <v>16.842715960626201</v>
      </c>
      <c r="AG61" s="1">
        <v>38.624825022989398</v>
      </c>
      <c r="AH61" s="1">
        <v>0.98250674461297505</v>
      </c>
      <c r="AI61" s="1">
        <v>17.571293634736399</v>
      </c>
      <c r="AJ61" s="1">
        <v>305.22167444229098</v>
      </c>
      <c r="AK61" s="1">
        <v>189.842536211013</v>
      </c>
      <c r="AL61" s="7"/>
      <c r="AM61" s="1"/>
      <c r="AN61" s="1"/>
      <c r="AO61" s="8"/>
      <c r="AP61" s="1"/>
      <c r="AQ61" s="1"/>
      <c r="AR61" s="1"/>
      <c r="AS61" s="8"/>
      <c r="AT61" s="7">
        <v>0.16</v>
      </c>
      <c r="AU61" s="1">
        <v>0.20598966666666599</v>
      </c>
      <c r="AV61" s="1">
        <v>33.519630519629899</v>
      </c>
      <c r="AW61" s="1">
        <v>0.987046795040877</v>
      </c>
      <c r="AX61" s="1">
        <v>18.876227625594101</v>
      </c>
      <c r="AY61" s="1">
        <v>36.3617044560349</v>
      </c>
      <c r="AZ61" s="1">
        <v>0.98990753301266998</v>
      </c>
      <c r="BA61" s="1">
        <v>19.960026625016699</v>
      </c>
      <c r="BB61" s="1">
        <v>430.26359796524002</v>
      </c>
      <c r="BC61" s="1">
        <v>300.83460593223498</v>
      </c>
      <c r="BD61" s="7"/>
      <c r="BE61" s="1"/>
      <c r="BF61" s="1"/>
      <c r="BG61" s="8"/>
      <c r="BH61" s="1"/>
      <c r="BI61" s="1"/>
      <c r="BJ61" s="1"/>
      <c r="BK61" s="8"/>
    </row>
    <row r="62" spans="1:63">
      <c r="A62" s="49"/>
      <c r="B62" s="7" t="s">
        <v>18</v>
      </c>
      <c r="C62" s="17">
        <v>0.12</v>
      </c>
      <c r="D62" s="7">
        <v>41</v>
      </c>
      <c r="E62" s="1">
        <v>0.110444</v>
      </c>
      <c r="F62" s="1">
        <v>31.705405445767301</v>
      </c>
      <c r="G62" s="1">
        <v>0.95403145446514404</v>
      </c>
      <c r="H62" s="1">
        <v>13.375392373020899</v>
      </c>
      <c r="I62" s="1">
        <v>34.6804764607636</v>
      </c>
      <c r="J62" s="1">
        <v>0.96231707440680303</v>
      </c>
      <c r="K62" s="8">
        <v>14.2385538720456</v>
      </c>
      <c r="L62" s="7">
        <v>38</v>
      </c>
      <c r="M62" s="1">
        <v>0.10997</v>
      </c>
      <c r="N62" s="1">
        <v>33.367178477596497</v>
      </c>
      <c r="O62" s="1">
        <v>0.96366350541139101</v>
      </c>
      <c r="P62" s="1">
        <v>14.396569717515399</v>
      </c>
      <c r="Q62" s="1">
        <v>36.360756761872402</v>
      </c>
      <c r="R62" s="1">
        <v>0.96909479448083302</v>
      </c>
      <c r="S62" s="8">
        <v>15.099683640105701</v>
      </c>
      <c r="T62" s="7"/>
      <c r="U62" s="1"/>
      <c r="V62" s="1"/>
      <c r="W62" s="8"/>
      <c r="X62" s="7"/>
      <c r="Y62" s="1"/>
      <c r="Z62" s="1"/>
      <c r="AA62" s="8"/>
      <c r="AB62" s="7">
        <v>4</v>
      </c>
      <c r="AC62" s="1">
        <v>0.142053666666666</v>
      </c>
      <c r="AD62" s="1">
        <v>34.234898948700497</v>
      </c>
      <c r="AE62" s="1">
        <v>0.97066410953006199</v>
      </c>
      <c r="AF62" s="1">
        <v>15.3260072454972</v>
      </c>
      <c r="AG62" s="1">
        <v>37.037433111483502</v>
      </c>
      <c r="AH62" s="1">
        <v>0.97464323635571004</v>
      </c>
      <c r="AI62" s="1">
        <v>15.959061774905599</v>
      </c>
      <c r="AJ62" s="1">
        <v>393.10102939605702</v>
      </c>
      <c r="AK62" s="1">
        <v>284.59895968437098</v>
      </c>
      <c r="AL62" s="7"/>
      <c r="AM62" s="1"/>
      <c r="AN62" s="1"/>
      <c r="AO62" s="8"/>
      <c r="AP62" s="1"/>
      <c r="AQ62" s="1"/>
      <c r="AR62" s="1"/>
      <c r="AS62" s="8"/>
      <c r="AT62" s="7">
        <v>0.08</v>
      </c>
      <c r="AU62" s="1">
        <v>0.13758833333333301</v>
      </c>
      <c r="AV62" s="1">
        <v>31.8908457925017</v>
      </c>
      <c r="AW62" s="1">
        <v>0.98072826804217705</v>
      </c>
      <c r="AX62" s="1">
        <v>17.150792533816599</v>
      </c>
      <c r="AY62" s="1">
        <v>34.714560445446402</v>
      </c>
      <c r="AZ62" s="1">
        <v>0.98463470760914196</v>
      </c>
      <c r="BA62" s="1">
        <v>18.134591710061802</v>
      </c>
      <c r="BB62" s="1">
        <v>279.943786382675</v>
      </c>
      <c r="BC62" s="1">
        <v>183.87560915946901</v>
      </c>
      <c r="BD62" s="7"/>
      <c r="BE62" s="1"/>
      <c r="BF62" s="1"/>
      <c r="BG62" s="8"/>
      <c r="BH62" s="1"/>
      <c r="BI62" s="1"/>
      <c r="BJ62" s="1"/>
      <c r="BK62" s="8"/>
    </row>
    <row r="63" spans="1:63">
      <c r="A63" s="49"/>
      <c r="B63" s="7" t="s">
        <v>18</v>
      </c>
      <c r="C63" s="17">
        <v>0.06</v>
      </c>
      <c r="D63" s="7">
        <v>46</v>
      </c>
      <c r="E63" s="1">
        <v>5.8468666666666599E-2</v>
      </c>
      <c r="F63" s="1">
        <v>28.959449082125602</v>
      </c>
      <c r="G63" s="1">
        <v>0.92795128354890699</v>
      </c>
      <c r="H63" s="1">
        <v>11.4237375174344</v>
      </c>
      <c r="I63" s="1">
        <v>31.894077763246301</v>
      </c>
      <c r="J63" s="1">
        <v>0.93967939082406404</v>
      </c>
      <c r="K63" s="8">
        <v>12.195342811898101</v>
      </c>
      <c r="L63" s="7">
        <v>44</v>
      </c>
      <c r="M63" s="1">
        <v>5.3628000000000002E-2</v>
      </c>
      <c r="N63" s="1">
        <v>30.216336179506399</v>
      </c>
      <c r="O63" s="1">
        <v>0.94028418383095802</v>
      </c>
      <c r="P63" s="1">
        <v>12.239106275771</v>
      </c>
      <c r="Q63" s="1">
        <v>33.181680402501598</v>
      </c>
      <c r="R63" s="1">
        <v>0.94809188768832098</v>
      </c>
      <c r="S63" s="8">
        <v>12.847647643696099</v>
      </c>
      <c r="T63" s="7"/>
      <c r="U63" s="1"/>
      <c r="V63" s="1"/>
      <c r="W63" s="8"/>
      <c r="X63" s="7"/>
      <c r="Y63" s="1"/>
      <c r="Z63" s="1"/>
      <c r="AA63" s="8"/>
      <c r="AB63" s="7">
        <v>2</v>
      </c>
      <c r="AC63" s="1">
        <v>9.5377000000000003E-2</v>
      </c>
      <c r="AD63" s="1">
        <v>32.404525749095903</v>
      </c>
      <c r="AE63" s="1">
        <v>0.96127887283955205</v>
      </c>
      <c r="AF63" s="1">
        <v>14.120520089969601</v>
      </c>
      <c r="AG63" s="1">
        <v>35.2070631827631</v>
      </c>
      <c r="AH63" s="1">
        <v>0.96638743945536998</v>
      </c>
      <c r="AI63" s="1">
        <v>14.7349840249494</v>
      </c>
      <c r="AJ63" s="1">
        <v>677.19833517074505</v>
      </c>
      <c r="AK63" s="1">
        <v>395.01206445693902</v>
      </c>
      <c r="AL63" s="7"/>
      <c r="AM63" s="1"/>
      <c r="AN63" s="1"/>
      <c r="AO63" s="8"/>
      <c r="AP63" s="1"/>
      <c r="AQ63" s="1"/>
      <c r="AR63" s="1"/>
      <c r="AS63" s="8"/>
      <c r="AT63" s="7">
        <v>0.04</v>
      </c>
      <c r="AU63" s="1">
        <v>8.9928333333333305E-2</v>
      </c>
      <c r="AV63" s="1">
        <v>30.155041754484898</v>
      </c>
      <c r="AW63" s="1">
        <v>0.97175285004961398</v>
      </c>
      <c r="AX63" s="1">
        <v>15.4902536459717</v>
      </c>
      <c r="AY63" s="1">
        <v>32.984804673071999</v>
      </c>
      <c r="AZ63" s="1">
        <v>0.97688695048723895</v>
      </c>
      <c r="BA63" s="1">
        <v>16.361427503585599</v>
      </c>
      <c r="BB63" s="1">
        <v>343.03084087371798</v>
      </c>
      <c r="BC63" s="1">
        <v>241.26420474052401</v>
      </c>
      <c r="BD63" s="7"/>
      <c r="BE63" s="1"/>
      <c r="BF63" s="1"/>
      <c r="BG63" s="8"/>
      <c r="BH63" s="1"/>
      <c r="BI63" s="1"/>
      <c r="BJ63" s="1"/>
      <c r="BK63" s="8"/>
    </row>
    <row r="64" spans="1:63">
      <c r="A64" s="49"/>
      <c r="B64" s="7" t="s">
        <v>29</v>
      </c>
      <c r="C64" s="17">
        <v>1.5</v>
      </c>
      <c r="D64" s="7">
        <v>17</v>
      </c>
      <c r="E64" s="1">
        <v>1.3811549999999999</v>
      </c>
      <c r="F64" s="1">
        <v>46.071152943220902</v>
      </c>
      <c r="G64" s="1">
        <v>0.99710590596631699</v>
      </c>
      <c r="H64" s="1">
        <v>25.384873620745601</v>
      </c>
      <c r="I64" s="1">
        <v>49.286377307192701</v>
      </c>
      <c r="J64" s="1">
        <v>0.99832201199505</v>
      </c>
      <c r="K64" s="8">
        <v>27.752111480383199</v>
      </c>
      <c r="L64" s="7">
        <v>14</v>
      </c>
      <c r="M64" s="1">
        <v>1.4458800000000001</v>
      </c>
      <c r="N64" s="1">
        <v>46.694130214820802</v>
      </c>
      <c r="O64" s="1">
        <v>0.99757314005770303</v>
      </c>
      <c r="P64" s="1">
        <v>26.149552867265601</v>
      </c>
      <c r="Q64" s="1">
        <v>50.016205212058097</v>
      </c>
      <c r="R64" s="1">
        <v>0.99861982838140595</v>
      </c>
      <c r="S64" s="8">
        <v>28.6006690753056</v>
      </c>
      <c r="T64" s="13">
        <f>bdrate(E64:E67,F64:F67,M64:M67,N64:N67)</f>
        <v>-0.15222123273156984</v>
      </c>
      <c r="U64" s="12">
        <f>bdrate(E64:E67,H64:H67,M64:M67,P64:P67)</f>
        <v>-0.16224367435425391</v>
      </c>
      <c r="V64" s="12">
        <f>bdrate(E64:E67,I64:I67,M64:M67,Q64:Q67)</f>
        <v>-0.1587039234591765</v>
      </c>
      <c r="W64" s="14">
        <f>bdrate(E64:E67,K64:K67,M64:M67,S64:S67)</f>
        <v>-0.1376459503670574</v>
      </c>
      <c r="X64" s="13">
        <f>bdrate(E66:E69,F66:F69,M66:M69,N66:N69)</f>
        <v>-0.2780109398711732</v>
      </c>
      <c r="Y64" s="12">
        <f>bdrate(E66:E69,H66:H69,M66:M69,P66:P69)</f>
        <v>-0.25935917248304619</v>
      </c>
      <c r="Z64" s="12">
        <f>bdrate(E66:E69,I66:I69,M66:M69,Q66:Q69)</f>
        <v>-0.28145593104941113</v>
      </c>
      <c r="AA64" s="14">
        <f>bdrate(E66:E69,K66:K69,M66:M69,S66:S69)</f>
        <v>-0.22148806697239121</v>
      </c>
      <c r="AB64" s="7">
        <v>256</v>
      </c>
      <c r="AC64" s="1">
        <v>0.85338633333333302</v>
      </c>
      <c r="AD64" s="1">
        <v>45.079489025131998</v>
      </c>
      <c r="AE64" s="1">
        <v>0.99679549768625897</v>
      </c>
      <c r="AF64" s="1">
        <v>24.9423941050695</v>
      </c>
      <c r="AG64" s="1">
        <v>47.898454858406602</v>
      </c>
      <c r="AH64" s="1">
        <v>0.99751743014824401</v>
      </c>
      <c r="AI64" s="1">
        <v>26.0509852297149</v>
      </c>
      <c r="AJ64" s="1">
        <v>702.211374282836</v>
      </c>
      <c r="AK64" s="1">
        <v>353.45619058608997</v>
      </c>
      <c r="AL64" s="13">
        <f>bdrate(E64:E67,F64:F67,AC64:AC67,AD64:AD67)</f>
        <v>-0.22758871333635056</v>
      </c>
      <c r="AM64" s="12">
        <f>bdrate(E64:E67,H64:H67,AC64:AC67,AF64:AF67)</f>
        <v>-0.3029044997508078</v>
      </c>
      <c r="AN64" s="12">
        <f>bdrate(E64:E67,I64:I67,AC64:AC67,AG64:AG67)</f>
        <v>-0.17550959632260299</v>
      </c>
      <c r="AO64" s="14">
        <f>bdrate(E64:E67,K64:K67,AC64:AC67,AI64:AI67)</f>
        <v>-0.19433311774137429</v>
      </c>
      <c r="AP64" s="12">
        <f>bdrate(E66:E69,F66:F69,AC66:AC69,AD66:AD69)</f>
        <v>-0.2436602873776218</v>
      </c>
      <c r="AQ64" s="12">
        <f>bdrate(E66:E69,H66:H69,AC66:AC69,AF66:AF69)</f>
        <v>-0.31290720482182655</v>
      </c>
      <c r="AR64" s="12">
        <f>bdrate(E66:E69,I66:I69,AC66:AC69,AG66:AG69)</f>
        <v>-0.1973436939395119</v>
      </c>
      <c r="AS64" s="14">
        <f>bdrate(E66:E69,K66:K69,AC66:AC69,AI66:AI69)</f>
        <v>-0.21810821643147449</v>
      </c>
      <c r="AT64" s="7">
        <v>6.4</v>
      </c>
      <c r="AU64" s="1">
        <v>1.0542670000000001</v>
      </c>
      <c r="AV64" s="1">
        <v>43.7972227979295</v>
      </c>
      <c r="AW64" s="1">
        <v>0.99869274031368704</v>
      </c>
      <c r="AX64" s="1">
        <v>28.836381315243901</v>
      </c>
      <c r="AY64" s="1">
        <v>46.655568720246499</v>
      </c>
      <c r="AZ64" s="1">
        <v>0.99906816008600796</v>
      </c>
      <c r="BA64" s="1">
        <v>30.306586911243802</v>
      </c>
      <c r="BB64" s="1">
        <v>1717.90373015403</v>
      </c>
      <c r="BC64" s="1">
        <v>363.30981469154301</v>
      </c>
      <c r="BD64" s="13">
        <f>bdrate(E64:E67,F64:F67,AU64:AU67,AV64:AV67)</f>
        <v>0.48587829202974153</v>
      </c>
      <c r="BE64" s="12">
        <f>bdrate(E64:E67,H64:H67,AU64:AU67,AX64:AX67)</f>
        <v>-0.59639835698769272</v>
      </c>
      <c r="BF64" s="12">
        <f>bdrate(E64:E67,I64:I67,AU64:AU67,AY64:AY67)</f>
        <v>0.57307173706955883</v>
      </c>
      <c r="BG64" s="14">
        <f>bdrate(E64:E67,K64:K67,AU64:AU67,BA64:BA67)</f>
        <v>-0.52657086907757988</v>
      </c>
      <c r="BH64" s="12">
        <f>bdrate(E66:E69,F66:F69,AU66:AU69,AV66:AV69)</f>
        <v>0.34001743453483035</v>
      </c>
      <c r="BI64" s="12">
        <f>bdrate(E66:E69,H66:H69,AU66:AU69,AX66:AX69)</f>
        <v>-0.54636705857013279</v>
      </c>
      <c r="BJ64" s="12">
        <f>bdrate(E66:E69,I66:I69,AU66:AU69,AY66:AY69)</f>
        <v>0.42866168003181082</v>
      </c>
      <c r="BK64" s="14">
        <f>bdrate(E66:E69,K66:K69,AU66:AU69,BA66:BA69)</f>
        <v>-0.51048618297588111</v>
      </c>
    </row>
    <row r="65" spans="1:63">
      <c r="A65" s="49"/>
      <c r="B65" s="7" t="s">
        <v>18</v>
      </c>
      <c r="C65" s="17">
        <v>1</v>
      </c>
      <c r="D65" s="7">
        <v>20</v>
      </c>
      <c r="E65" s="1">
        <v>0.90803466666666599</v>
      </c>
      <c r="F65" s="1">
        <v>44.278939931475101</v>
      </c>
      <c r="G65" s="1">
        <v>0.99559047554013702</v>
      </c>
      <c r="H65" s="1">
        <v>23.556082440000601</v>
      </c>
      <c r="I65" s="1">
        <v>47.387325279438599</v>
      </c>
      <c r="J65" s="1">
        <v>0.997050122641152</v>
      </c>
      <c r="K65" s="8">
        <v>25.3019603943983</v>
      </c>
      <c r="L65" s="7">
        <v>17</v>
      </c>
      <c r="M65" s="1">
        <v>0.98756133333333296</v>
      </c>
      <c r="N65" s="1">
        <v>45.120603573026401</v>
      </c>
      <c r="O65" s="1">
        <v>0.99645680325193597</v>
      </c>
      <c r="P65" s="1">
        <v>24.506047313174001</v>
      </c>
      <c r="Q65" s="1">
        <v>48.305808260667298</v>
      </c>
      <c r="R65" s="1">
        <v>0.99768970541411595</v>
      </c>
      <c r="S65" s="8">
        <v>26.3633263964607</v>
      </c>
      <c r="T65" s="7"/>
      <c r="U65" s="1"/>
      <c r="V65" s="1"/>
      <c r="W65" s="8"/>
      <c r="X65" s="7"/>
      <c r="Y65" s="1"/>
      <c r="Z65" s="1"/>
      <c r="AA65" s="8"/>
      <c r="AB65" s="7">
        <v>128</v>
      </c>
      <c r="AC65" s="1">
        <v>0.51863199999999998</v>
      </c>
      <c r="AD65" s="1">
        <v>43.1717699427941</v>
      </c>
      <c r="AE65" s="1">
        <v>0.99469007243655405</v>
      </c>
      <c r="AF65" s="1">
        <v>22.749114034026501</v>
      </c>
      <c r="AG65" s="1">
        <v>46.019421536142801</v>
      </c>
      <c r="AH65" s="1">
        <v>0.99563742263347499</v>
      </c>
      <c r="AI65" s="1">
        <v>23.602568581286</v>
      </c>
      <c r="AJ65" s="1">
        <v>1495.47049307823</v>
      </c>
      <c r="AK65" s="1">
        <v>536.78474855422905</v>
      </c>
      <c r="AL65" s="7"/>
      <c r="AM65" s="1"/>
      <c r="AN65" s="1"/>
      <c r="AO65" s="8"/>
      <c r="AP65" s="1"/>
      <c r="AQ65" s="1"/>
      <c r="AR65" s="1"/>
      <c r="AS65" s="8"/>
      <c r="AT65" s="7">
        <v>3.2</v>
      </c>
      <c r="AU65" s="1">
        <v>0.74956500000000004</v>
      </c>
      <c r="AV65" s="1">
        <v>42.229398059369601</v>
      </c>
      <c r="AW65" s="1">
        <v>0.99797333498926699</v>
      </c>
      <c r="AX65" s="1">
        <v>26.932180302971599</v>
      </c>
      <c r="AY65" s="1">
        <v>45.085239085799202</v>
      </c>
      <c r="AZ65" s="1">
        <v>0.99849012207866195</v>
      </c>
      <c r="BA65" s="1">
        <v>28.2105816544363</v>
      </c>
      <c r="BB65" s="1">
        <v>865.18644881248395</v>
      </c>
      <c r="BC65" s="1">
        <v>417.94189095497097</v>
      </c>
      <c r="BD65" s="7"/>
      <c r="BE65" s="1"/>
      <c r="BF65" s="1"/>
      <c r="BG65" s="8"/>
      <c r="BH65" s="1"/>
      <c r="BI65" s="1"/>
      <c r="BJ65" s="1"/>
      <c r="BK65" s="8"/>
    </row>
    <row r="66" spans="1:63">
      <c r="A66" s="49"/>
      <c r="B66" s="7" t="s">
        <v>18</v>
      </c>
      <c r="C66" s="17">
        <v>0.5</v>
      </c>
      <c r="D66" s="7">
        <v>24</v>
      </c>
      <c r="E66" s="1">
        <v>0.46933599999999998</v>
      </c>
      <c r="F66" s="1">
        <v>41.927090166531798</v>
      </c>
      <c r="G66" s="1">
        <v>0.99223841523787804</v>
      </c>
      <c r="H66" s="1">
        <v>21.1004959534284</v>
      </c>
      <c r="I66" s="1">
        <v>44.991736146533498</v>
      </c>
      <c r="J66" s="1">
        <v>0.99407563348071604</v>
      </c>
      <c r="K66" s="8">
        <v>22.273580810795298</v>
      </c>
      <c r="L66" s="7">
        <v>22</v>
      </c>
      <c r="M66" s="1">
        <v>0.44193133333333301</v>
      </c>
      <c r="N66" s="1">
        <v>42.327956068901997</v>
      </c>
      <c r="O66" s="1">
        <v>0.99298571538642399</v>
      </c>
      <c r="P66" s="1">
        <v>21.5401661604254</v>
      </c>
      <c r="Q66" s="1">
        <v>45.4223581647557</v>
      </c>
      <c r="R66" s="1">
        <v>0.99465770679504995</v>
      </c>
      <c r="S66" s="8">
        <v>22.7227227996175</v>
      </c>
      <c r="T66" s="7"/>
      <c r="U66" s="1"/>
      <c r="V66" s="1"/>
      <c r="W66" s="8"/>
      <c r="X66" s="7"/>
      <c r="Y66" s="1"/>
      <c r="Z66" s="1"/>
      <c r="AA66" s="8"/>
      <c r="AB66" s="7">
        <v>64</v>
      </c>
      <c r="AC66" s="1">
        <v>0.34149233333333301</v>
      </c>
      <c r="AD66" s="1">
        <v>41.655015355113797</v>
      </c>
      <c r="AE66" s="1">
        <v>0.99230803099912201</v>
      </c>
      <c r="AF66" s="1">
        <v>21.1396247466433</v>
      </c>
      <c r="AG66" s="1">
        <v>44.514562039422401</v>
      </c>
      <c r="AH66" s="1">
        <v>0.99356328825505102</v>
      </c>
      <c r="AI66" s="1">
        <v>21.913359394311399</v>
      </c>
      <c r="AJ66" s="1">
        <v>749.43016600608803</v>
      </c>
      <c r="AK66" s="1">
        <v>299.60461139678898</v>
      </c>
      <c r="AL66" s="7"/>
      <c r="AM66" s="1"/>
      <c r="AN66" s="1"/>
      <c r="AO66" s="8"/>
      <c r="AP66" s="1"/>
      <c r="AQ66" s="1"/>
      <c r="AR66" s="1"/>
      <c r="AS66" s="8"/>
      <c r="AT66" s="7">
        <v>1.28</v>
      </c>
      <c r="AU66" s="1">
        <v>0.47342966666666603</v>
      </c>
      <c r="AV66" s="1">
        <v>40.419973428685203</v>
      </c>
      <c r="AW66" s="1">
        <v>0.99656788928778195</v>
      </c>
      <c r="AX66" s="1">
        <v>24.6443871122848</v>
      </c>
      <c r="AY66" s="1">
        <v>43.294048141406002</v>
      </c>
      <c r="AZ66" s="1">
        <v>0.99737262783276104</v>
      </c>
      <c r="BA66" s="1">
        <v>25.804784050480201</v>
      </c>
      <c r="BB66" s="1">
        <v>943.41084456443696</v>
      </c>
      <c r="BC66" s="1">
        <v>361.88084816932599</v>
      </c>
      <c r="BD66" s="7"/>
      <c r="BE66" s="1"/>
      <c r="BF66" s="1"/>
      <c r="BG66" s="8"/>
      <c r="BH66" s="1"/>
      <c r="BI66" s="1"/>
      <c r="BJ66" s="1"/>
      <c r="BK66" s="8"/>
    </row>
    <row r="67" spans="1:63">
      <c r="A67" s="49"/>
      <c r="B67" s="7" t="s">
        <v>18</v>
      </c>
      <c r="C67" s="17">
        <v>0.25</v>
      </c>
      <c r="D67" s="7">
        <v>29</v>
      </c>
      <c r="E67" s="1">
        <v>0.24647866666666601</v>
      </c>
      <c r="F67" s="1">
        <v>39.861320139106098</v>
      </c>
      <c r="G67" s="1">
        <v>0.98865663838110696</v>
      </c>
      <c r="H67" s="1">
        <v>19.4525822267526</v>
      </c>
      <c r="I67" s="1">
        <v>42.945175594288003</v>
      </c>
      <c r="J67" s="1">
        <v>0.99126521135893697</v>
      </c>
      <c r="K67" s="8">
        <v>20.587475993393902</v>
      </c>
      <c r="L67" s="7">
        <v>26</v>
      </c>
      <c r="M67" s="1">
        <v>0.244889</v>
      </c>
      <c r="N67" s="1">
        <v>40.737661221690701</v>
      </c>
      <c r="O67" s="1">
        <v>0.99018263249629501</v>
      </c>
      <c r="P67" s="1">
        <v>20.0800495130513</v>
      </c>
      <c r="Q67" s="1">
        <v>43.8358836268159</v>
      </c>
      <c r="R67" s="1">
        <v>0.99228367576232102</v>
      </c>
      <c r="S67" s="8">
        <v>21.125895317181499</v>
      </c>
      <c r="T67" s="7"/>
      <c r="U67" s="1"/>
      <c r="V67" s="1"/>
      <c r="W67" s="8"/>
      <c r="X67" s="7"/>
      <c r="Y67" s="1"/>
      <c r="Z67" s="1"/>
      <c r="AA67" s="8"/>
      <c r="AB67" s="7">
        <v>32</v>
      </c>
      <c r="AC67" s="1">
        <v>0.22158033333333299</v>
      </c>
      <c r="AD67" s="1">
        <v>40.475455691591499</v>
      </c>
      <c r="AE67" s="1">
        <v>0.99042772968492998</v>
      </c>
      <c r="AF67" s="1">
        <v>20.1898504567441</v>
      </c>
      <c r="AG67" s="1">
        <v>43.345287735234002</v>
      </c>
      <c r="AH67" s="1">
        <v>0.99202520390429705</v>
      </c>
      <c r="AI67" s="1">
        <v>20.982804124266899</v>
      </c>
      <c r="AJ67" s="1">
        <v>479.70724129676802</v>
      </c>
      <c r="AK67" s="1">
        <v>225.26130700111301</v>
      </c>
      <c r="AL67" s="7"/>
      <c r="AM67" s="1"/>
      <c r="AN67" s="1"/>
      <c r="AO67" s="8"/>
      <c r="AP67" s="1"/>
      <c r="AQ67" s="1"/>
      <c r="AR67" s="1"/>
      <c r="AS67" s="8"/>
      <c r="AT67" s="7">
        <v>0.64</v>
      </c>
      <c r="AU67" s="1">
        <v>0.30534566666666602</v>
      </c>
      <c r="AV67" s="1">
        <v>38.926181761150303</v>
      </c>
      <c r="AW67" s="1">
        <v>0.99477469167848198</v>
      </c>
      <c r="AX67" s="1">
        <v>22.818880787320499</v>
      </c>
      <c r="AY67" s="1">
        <v>41.816718466336098</v>
      </c>
      <c r="AZ67" s="1">
        <v>0.99589301487008097</v>
      </c>
      <c r="BA67" s="1">
        <v>23.864768695851499</v>
      </c>
      <c r="BB67" s="1">
        <v>453.77514314651398</v>
      </c>
      <c r="BC67" s="1">
        <v>278.38890004157997</v>
      </c>
      <c r="BD67" s="7"/>
      <c r="BE67" s="1"/>
      <c r="BF67" s="1"/>
      <c r="BG67" s="8"/>
      <c r="BH67" s="1"/>
      <c r="BI67" s="1"/>
      <c r="BJ67" s="1"/>
      <c r="BK67" s="8"/>
    </row>
    <row r="68" spans="1:63">
      <c r="A68" s="49"/>
      <c r="B68" s="7" t="s">
        <v>18</v>
      </c>
      <c r="C68" s="17">
        <v>0.12</v>
      </c>
      <c r="D68" s="7">
        <v>35</v>
      </c>
      <c r="E68" s="1">
        <v>0.119839666666666</v>
      </c>
      <c r="F68" s="1">
        <v>37.174276479610299</v>
      </c>
      <c r="G68" s="1">
        <v>0.98225439718443697</v>
      </c>
      <c r="H68" s="1">
        <v>17.509092431450199</v>
      </c>
      <c r="I68" s="1">
        <v>40.278281855339202</v>
      </c>
      <c r="J68" s="1">
        <v>0.98641027072254694</v>
      </c>
      <c r="K68" s="8">
        <v>18.667891948112501</v>
      </c>
      <c r="L68" s="7">
        <v>32</v>
      </c>
      <c r="M68" s="1">
        <v>0.11880300000000001</v>
      </c>
      <c r="N68" s="1">
        <v>38.503270966370003</v>
      </c>
      <c r="O68" s="1">
        <v>0.98545175721462297</v>
      </c>
      <c r="P68" s="1">
        <v>18.371894599221299</v>
      </c>
      <c r="Q68" s="1">
        <v>41.613006766754097</v>
      </c>
      <c r="R68" s="1">
        <v>0.98843120293091602</v>
      </c>
      <c r="S68" s="8">
        <v>19.3671179691855</v>
      </c>
      <c r="T68" s="7"/>
      <c r="U68" s="1"/>
      <c r="V68" s="1"/>
      <c r="W68" s="8"/>
      <c r="X68" s="7"/>
      <c r="Y68" s="1"/>
      <c r="Z68" s="1"/>
      <c r="AA68" s="8"/>
      <c r="AB68" s="7">
        <v>8</v>
      </c>
      <c r="AC68" s="1">
        <v>0.113993</v>
      </c>
      <c r="AD68" s="1">
        <v>38.0996519775696</v>
      </c>
      <c r="AE68" s="1">
        <v>0.98553013808797596</v>
      </c>
      <c r="AF68" s="1">
        <v>18.395356133959599</v>
      </c>
      <c r="AG68" s="1">
        <v>40.9767493338977</v>
      </c>
      <c r="AH68" s="1">
        <v>0.98796761119467302</v>
      </c>
      <c r="AI68" s="1">
        <v>19.196481430689399</v>
      </c>
      <c r="AJ68" s="1">
        <v>297.83774375915499</v>
      </c>
      <c r="AK68" s="1">
        <v>191.07416486740101</v>
      </c>
      <c r="AL68" s="7"/>
      <c r="AM68" s="1"/>
      <c r="AN68" s="1"/>
      <c r="AO68" s="8"/>
      <c r="AP68" s="1"/>
      <c r="AQ68" s="1"/>
      <c r="AR68" s="1"/>
      <c r="AS68" s="8"/>
      <c r="AT68" s="7">
        <v>0.16</v>
      </c>
      <c r="AU68" s="1">
        <v>0.11042566666666601</v>
      </c>
      <c r="AV68" s="1">
        <v>36.2260308437315</v>
      </c>
      <c r="AW68" s="1">
        <v>0.98877191335585402</v>
      </c>
      <c r="AX68" s="1">
        <v>19.4969424469015</v>
      </c>
      <c r="AY68" s="1">
        <v>39.083596243977198</v>
      </c>
      <c r="AZ68" s="1">
        <v>0.99084414351571404</v>
      </c>
      <c r="BA68" s="1">
        <v>20.383010233993399</v>
      </c>
      <c r="BB68" s="1">
        <v>425.93505024909899</v>
      </c>
      <c r="BC68" s="1">
        <v>303.20302462577803</v>
      </c>
      <c r="BD68" s="7"/>
      <c r="BE68" s="1"/>
      <c r="BF68" s="1"/>
      <c r="BG68" s="8"/>
      <c r="BH68" s="1"/>
      <c r="BI68" s="1"/>
      <c r="BJ68" s="1"/>
      <c r="BK68" s="8"/>
    </row>
    <row r="69" spans="1:63">
      <c r="A69" s="49"/>
      <c r="B69" s="7" t="s">
        <v>18</v>
      </c>
      <c r="C69" s="17">
        <v>0.06</v>
      </c>
      <c r="D69" s="7">
        <v>41</v>
      </c>
      <c r="E69" s="1">
        <v>5.8014000000000003E-2</v>
      </c>
      <c r="F69" s="1">
        <v>34.106964325643801</v>
      </c>
      <c r="G69" s="1">
        <v>0.97085676663366505</v>
      </c>
      <c r="H69" s="1">
        <v>15.354622660438499</v>
      </c>
      <c r="I69" s="1">
        <v>37.203783627547701</v>
      </c>
      <c r="J69" s="1">
        <v>0.97759515272248099</v>
      </c>
      <c r="K69" s="8">
        <v>16.496580121060699</v>
      </c>
      <c r="L69" s="7">
        <v>38</v>
      </c>
      <c r="M69" s="1">
        <v>5.8785666666666597E-2</v>
      </c>
      <c r="N69" s="1">
        <v>35.795995627134701</v>
      </c>
      <c r="O69" s="1">
        <v>0.97774700091052202</v>
      </c>
      <c r="P69" s="1">
        <v>16.5261144984092</v>
      </c>
      <c r="Q69" s="1">
        <v>38.896042797399502</v>
      </c>
      <c r="R69" s="1">
        <v>0.98220526762111204</v>
      </c>
      <c r="S69" s="8">
        <v>17.497085391153899</v>
      </c>
      <c r="T69" s="7"/>
      <c r="U69" s="1"/>
      <c r="V69" s="1"/>
      <c r="W69" s="8"/>
      <c r="X69" s="7"/>
      <c r="Y69" s="1"/>
      <c r="Z69" s="1"/>
      <c r="AA69" s="8"/>
      <c r="AB69" s="7">
        <v>2</v>
      </c>
      <c r="AC69" s="1">
        <v>5.75256666666666E-2</v>
      </c>
      <c r="AD69" s="1">
        <v>35.190631732190099</v>
      </c>
      <c r="AE69" s="1">
        <v>0.97737399345668696</v>
      </c>
      <c r="AF69" s="1">
        <v>16.4539209161522</v>
      </c>
      <c r="AG69" s="1">
        <v>38.059875142768497</v>
      </c>
      <c r="AH69" s="1">
        <v>0.98128878083481097</v>
      </c>
      <c r="AI69" s="1">
        <v>17.278979142923799</v>
      </c>
      <c r="AJ69" s="1">
        <v>689.36816287040699</v>
      </c>
      <c r="AK69" s="1">
        <v>403.17769908905001</v>
      </c>
      <c r="AL69" s="7"/>
      <c r="AM69" s="1"/>
      <c r="AN69" s="1"/>
      <c r="AO69" s="8"/>
      <c r="AP69" s="1"/>
      <c r="AQ69" s="1"/>
      <c r="AR69" s="1"/>
      <c r="AS69" s="8"/>
      <c r="AT69" s="7">
        <v>0.04</v>
      </c>
      <c r="AU69" s="1">
        <v>5.1943666666666603E-2</v>
      </c>
      <c r="AV69" s="1">
        <v>32.720941353342504</v>
      </c>
      <c r="AW69" s="1">
        <v>0.98009113610836396</v>
      </c>
      <c r="AX69" s="1">
        <v>17.0095352247743</v>
      </c>
      <c r="AY69" s="1">
        <v>35.572727010946998</v>
      </c>
      <c r="AZ69" s="1">
        <v>0.98413253827479696</v>
      </c>
      <c r="BA69" s="1">
        <v>17.994925405989001</v>
      </c>
      <c r="BB69" s="1">
        <v>336.813220739364</v>
      </c>
      <c r="BC69" s="1">
        <v>243.515535116195</v>
      </c>
      <c r="BD69" s="7"/>
      <c r="BE69" s="1"/>
      <c r="BF69" s="1"/>
      <c r="BG69" s="8"/>
      <c r="BH69" s="1"/>
      <c r="BI69" s="1"/>
      <c r="BJ69" s="1"/>
      <c r="BK69" s="8"/>
    </row>
    <row r="70" spans="1:63">
      <c r="A70" s="49"/>
      <c r="B70" s="7" t="s">
        <v>30</v>
      </c>
      <c r="C70" s="17">
        <v>1.5</v>
      </c>
      <c r="D70" s="7">
        <v>20</v>
      </c>
      <c r="E70" s="1">
        <v>1.49190849134805</v>
      </c>
      <c r="F70" s="1">
        <v>43.664953123548599</v>
      </c>
      <c r="G70" s="1">
        <v>0.99534303317915496</v>
      </c>
      <c r="H70" s="1">
        <v>23.318968562428299</v>
      </c>
      <c r="I70" s="1">
        <v>46.947738468806698</v>
      </c>
      <c r="J70" s="1">
        <v>0.997160285618929</v>
      </c>
      <c r="K70" s="8">
        <v>25.467253391651798</v>
      </c>
      <c r="L70" s="7">
        <v>17</v>
      </c>
      <c r="M70" s="1">
        <v>1.48201438550369</v>
      </c>
      <c r="N70" s="1">
        <v>44.435708903575403</v>
      </c>
      <c r="O70" s="1">
        <v>0.996262801887704</v>
      </c>
      <c r="P70" s="1">
        <v>24.274538791917799</v>
      </c>
      <c r="Q70" s="1">
        <v>47.8732755671818</v>
      </c>
      <c r="R70" s="1">
        <v>0.99781394613465002</v>
      </c>
      <c r="S70" s="8">
        <v>26.6033914104326</v>
      </c>
      <c r="T70" s="13">
        <f>bdrate(E70:E73,F70:F73,M70:M73,N70:N73)</f>
        <v>-0.22911639282048424</v>
      </c>
      <c r="U70" s="12">
        <f>bdrate(E70:E73,H70:H73,M70:M73,P70:P73)</f>
        <v>-0.25681247314014688</v>
      </c>
      <c r="V70" s="12">
        <f>bdrate(E70:E73,I70:I73,M70:M73,Q70:Q73)</f>
        <v>-0.24019681949364002</v>
      </c>
      <c r="W70" s="14">
        <f>bdrate(E70:E73,K70:K73,M70:M73,S70:S73)</f>
        <v>-0.2359679841783906</v>
      </c>
      <c r="X70" s="13">
        <f>bdrate(E72:E75,F72:F75,M72:M75,N72:N75)</f>
        <v>-0.31285298526474647</v>
      </c>
      <c r="Y70" s="12">
        <f>bdrate(E72:E75,H72:H75,M72:M75,P72:P75)</f>
        <v>-0.32983043977804827</v>
      </c>
      <c r="Z70" s="12">
        <f>bdrate(E72:E75,I72:I75,M72:M75,Q72:Q75)</f>
        <v>-0.31478933934449049</v>
      </c>
      <c r="AA70" s="14">
        <f>bdrate(E72:E75,K72:K75,M72:M75,S72:S75)</f>
        <v>-0.27048369775256431</v>
      </c>
      <c r="AB70" s="7">
        <v>256</v>
      </c>
      <c r="AC70" s="1">
        <v>1.2211649982484101</v>
      </c>
      <c r="AD70" s="1">
        <v>44.059288168982299</v>
      </c>
      <c r="AE70" s="1">
        <v>0.99675117631881804</v>
      </c>
      <c r="AF70" s="1">
        <v>24.8827385786634</v>
      </c>
      <c r="AG70" s="1">
        <v>46.946610733225498</v>
      </c>
      <c r="AH70" s="1">
        <v>0.99757869093225404</v>
      </c>
      <c r="AI70" s="1">
        <v>26.1594977154571</v>
      </c>
      <c r="AJ70" s="1">
        <v>859.95715451240505</v>
      </c>
      <c r="AK70" s="1">
        <v>461.62634277343699</v>
      </c>
      <c r="AL70" s="13">
        <f>bdrate(E70:E73,F70:F73,AC70:AC73,AD70:AD73)</f>
        <v>-0.26087972826658379</v>
      </c>
      <c r="AM70" s="12">
        <f>bdrate(E70:E73,H70:H73,AC70:AC73,AF70:AF73)</f>
        <v>-0.36526869674838558</v>
      </c>
      <c r="AN70" s="12">
        <f>bdrate(E70:E73,I70:I73,AC70:AC73,AG70:AG73)</f>
        <v>-0.20722039692070537</v>
      </c>
      <c r="AO70" s="14">
        <f>bdrate(E70:E73,K70:K73,AC70:AC73,AI70:AI73)</f>
        <v>-0.27705502989535791</v>
      </c>
      <c r="AP70" s="12">
        <f>bdrate(E72:E75,F72:F75,AC72:AC75,AD72:AD75)</f>
        <v>-0.30767376964426596</v>
      </c>
      <c r="AQ70" s="12">
        <f>bdrate(E72:E75,H72:H75,AC72:AC75,AF72:AF75)</f>
        <v>-0.40889638233042047</v>
      </c>
      <c r="AR70" s="12">
        <f>bdrate(E72:E75,I72:I75,AC72:AC75,AG72:AG75)</f>
        <v>-0.26067138350535302</v>
      </c>
      <c r="AS70" s="14">
        <f>bdrate(E72:E75,K72:K75,AC72:AC75,AI72:AI75)</f>
        <v>-0.32751446037319254</v>
      </c>
      <c r="AT70" s="7">
        <v>6.4</v>
      </c>
      <c r="AU70" s="1">
        <v>1.26522576470755</v>
      </c>
      <c r="AV70" s="1">
        <v>41.479896688953701</v>
      </c>
      <c r="AW70" s="1">
        <v>0.99860483334798</v>
      </c>
      <c r="AX70" s="1">
        <v>28.5537391301437</v>
      </c>
      <c r="AY70" s="1">
        <v>44.3196248096259</v>
      </c>
      <c r="AZ70" s="1">
        <v>0.99907125104785399</v>
      </c>
      <c r="BA70" s="1">
        <v>30.3210166322087</v>
      </c>
      <c r="BB70" s="1">
        <v>1996.8813838958699</v>
      </c>
      <c r="BC70" s="1">
        <v>497.02178049087502</v>
      </c>
      <c r="BD70" s="13">
        <f>bdrate(E70:E73,F70:F73,AU70:AU73,AV70:AV73)</f>
        <v>0.30231509630533981</v>
      </c>
      <c r="BE70" s="12">
        <f>bdrate(E70:E73,H70:H73,AU70:AU73,AX70:AX73)</f>
        <v>-0.65145761455076112</v>
      </c>
      <c r="BF70" s="12">
        <f>bdrate(E70:E73,I70:I73,AU70:AU73,AY70:AY73)</f>
        <v>0.40162838159249437</v>
      </c>
      <c r="BG70" s="14">
        <f>bdrate(E70:E73,K70:K73,AU70:AU73,BA70:BA73)</f>
        <v>-0.63395788582631063</v>
      </c>
      <c r="BH70" s="12">
        <f>bdrate(E72:E75,F72:F75,AU72:AU75,AV72:AV75)</f>
        <v>-2.7958929536221921E-2</v>
      </c>
      <c r="BI70" s="12">
        <f>bdrate(E72:E75,H72:H75,AU72:AU75,AX72:AX75)</f>
        <v>-0.57990861565143992</v>
      </c>
      <c r="BJ70" s="12">
        <f>bdrate(E72:E75,I72:I75,AU72:AU75,AY72:AY75)</f>
        <v>4.9664768955989258E-2</v>
      </c>
      <c r="BK70" s="14">
        <f>bdrate(E72:E75,K72:K75,AU72:AU75,BA72:BA75)</f>
        <v>-0.51818524243381692</v>
      </c>
    </row>
    <row r="71" spans="1:63">
      <c r="A71" s="49"/>
      <c r="B71" s="7" t="s">
        <v>18</v>
      </c>
      <c r="C71" s="17">
        <v>1</v>
      </c>
      <c r="D71" s="7">
        <v>24</v>
      </c>
      <c r="E71" s="1">
        <v>0.91183883588013903</v>
      </c>
      <c r="F71" s="1">
        <v>41.121125856568199</v>
      </c>
      <c r="G71" s="1">
        <v>0.99131832349656301</v>
      </c>
      <c r="H71" s="1">
        <v>20.613964008734701</v>
      </c>
      <c r="I71" s="1">
        <v>44.299880543342603</v>
      </c>
      <c r="J71" s="1">
        <v>0.99371754268959001</v>
      </c>
      <c r="K71" s="8">
        <v>22.018704537765899</v>
      </c>
      <c r="L71" s="7">
        <v>21</v>
      </c>
      <c r="M71" s="1">
        <v>0.89886719086365896</v>
      </c>
      <c r="N71" s="1">
        <v>42.022255971739597</v>
      </c>
      <c r="O71" s="1">
        <v>0.99347259126721699</v>
      </c>
      <c r="P71" s="1">
        <v>21.8525919183379</v>
      </c>
      <c r="Q71" s="1">
        <v>45.318424781122999</v>
      </c>
      <c r="R71" s="1">
        <v>0.99550862774444104</v>
      </c>
      <c r="S71" s="8">
        <v>23.4762094809135</v>
      </c>
      <c r="T71" s="7"/>
      <c r="U71" s="1"/>
      <c r="V71" s="1"/>
      <c r="W71" s="8"/>
      <c r="X71" s="7"/>
      <c r="Y71" s="1"/>
      <c r="Z71" s="1"/>
      <c r="AA71" s="8"/>
      <c r="AB71" s="7">
        <v>128</v>
      </c>
      <c r="AC71" s="1">
        <v>0.82699680218393501</v>
      </c>
      <c r="AD71" s="1">
        <v>42.159990757486703</v>
      </c>
      <c r="AE71" s="1">
        <v>0.99429115011221003</v>
      </c>
      <c r="AF71" s="1">
        <v>22.434513764646599</v>
      </c>
      <c r="AG71" s="1">
        <v>44.985455790064499</v>
      </c>
      <c r="AH71" s="1">
        <v>0.99542808909523495</v>
      </c>
      <c r="AI71" s="1">
        <v>23.3990224151954</v>
      </c>
      <c r="AJ71" s="1">
        <v>1150.1931145191099</v>
      </c>
      <c r="AK71" s="1">
        <v>598.10109090804997</v>
      </c>
      <c r="AL71" s="7"/>
      <c r="AM71" s="1"/>
      <c r="AN71" s="1"/>
      <c r="AO71" s="8"/>
      <c r="AP71" s="1"/>
      <c r="AQ71" s="1"/>
      <c r="AR71" s="1"/>
      <c r="AS71" s="8"/>
      <c r="AT71" s="7">
        <v>3.2</v>
      </c>
      <c r="AU71" s="1">
        <v>0.93294089452394302</v>
      </c>
      <c r="AV71" s="1">
        <v>39.795800091185697</v>
      </c>
      <c r="AW71" s="1">
        <v>0.99779704886784404</v>
      </c>
      <c r="AX71" s="1">
        <v>26.569951366534202</v>
      </c>
      <c r="AY71" s="1">
        <v>42.634583271453003</v>
      </c>
      <c r="AZ71" s="1">
        <v>0.99847292187468495</v>
      </c>
      <c r="BA71" s="1">
        <v>28.161387438702899</v>
      </c>
      <c r="BB71" s="1">
        <v>1044.72246694564</v>
      </c>
      <c r="BC71" s="1">
        <v>519.88388729095402</v>
      </c>
      <c r="BD71" s="7"/>
      <c r="BE71" s="1"/>
      <c r="BF71" s="1"/>
      <c r="BG71" s="8"/>
      <c r="BH71" s="1"/>
      <c r="BI71" s="1"/>
      <c r="BJ71" s="1"/>
      <c r="BK71" s="8"/>
    </row>
    <row r="72" spans="1:63">
      <c r="A72" s="49"/>
      <c r="B72" s="7" t="s">
        <v>18</v>
      </c>
      <c r="C72" s="17">
        <v>0.5</v>
      </c>
      <c r="D72" s="7">
        <v>30</v>
      </c>
      <c r="E72" s="1">
        <v>0.47916598799098498</v>
      </c>
      <c r="F72" s="1">
        <v>37.952721855018602</v>
      </c>
      <c r="G72" s="1">
        <v>0.98651742905194795</v>
      </c>
      <c r="H72" s="1">
        <v>18.7022728568719</v>
      </c>
      <c r="I72" s="1">
        <v>41.174503162940397</v>
      </c>
      <c r="J72" s="1">
        <v>0.99068523322791702</v>
      </c>
      <c r="K72" s="8">
        <v>20.308280147200101</v>
      </c>
      <c r="L72" s="7">
        <v>26</v>
      </c>
      <c r="M72" s="1">
        <v>0.49196084879935698</v>
      </c>
      <c r="N72" s="1">
        <v>39.461359717974197</v>
      </c>
      <c r="O72" s="1">
        <v>0.98914363589779297</v>
      </c>
      <c r="P72" s="1">
        <v>19.6431559967703</v>
      </c>
      <c r="Q72" s="1">
        <v>42.733030383759903</v>
      </c>
      <c r="R72" s="1">
        <v>0.99202267059387705</v>
      </c>
      <c r="S72" s="8">
        <v>20.981424743512498</v>
      </c>
      <c r="T72" s="7"/>
      <c r="U72" s="1"/>
      <c r="V72" s="1"/>
      <c r="W72" s="8"/>
      <c r="X72" s="7"/>
      <c r="Y72" s="1"/>
      <c r="Z72" s="1"/>
      <c r="AA72" s="8"/>
      <c r="AB72" s="7">
        <v>64</v>
      </c>
      <c r="AC72" s="1">
        <v>0.58308439336422901</v>
      </c>
      <c r="AD72" s="1">
        <v>40.314626306691302</v>
      </c>
      <c r="AE72" s="1">
        <v>0.99140057983576901</v>
      </c>
      <c r="AF72" s="1">
        <v>20.655308310779201</v>
      </c>
      <c r="AG72" s="1">
        <v>43.172156517816603</v>
      </c>
      <c r="AH72" s="1">
        <v>0.99306881339692399</v>
      </c>
      <c r="AI72" s="1">
        <v>21.591924088148499</v>
      </c>
      <c r="AJ72" s="1">
        <v>997.25771689414898</v>
      </c>
      <c r="AK72" s="1">
        <v>400.01122117042502</v>
      </c>
      <c r="AL72" s="7"/>
      <c r="AM72" s="1"/>
      <c r="AN72" s="1"/>
      <c r="AO72" s="8"/>
      <c r="AP72" s="1"/>
      <c r="AQ72" s="1"/>
      <c r="AR72" s="1"/>
      <c r="AS72" s="8"/>
      <c r="AT72" s="7">
        <v>0.64</v>
      </c>
      <c r="AU72" s="1">
        <v>0.43999652794708599</v>
      </c>
      <c r="AV72" s="1">
        <v>36.2502451086783</v>
      </c>
      <c r="AW72" s="1">
        <v>0.99392726687037403</v>
      </c>
      <c r="AX72" s="1">
        <v>22.166158038235402</v>
      </c>
      <c r="AY72" s="1">
        <v>39.0977425833712</v>
      </c>
      <c r="AZ72" s="1">
        <v>0.99558003205373902</v>
      </c>
      <c r="BA72" s="1">
        <v>23.545808801560302</v>
      </c>
      <c r="BB72" s="1">
        <v>541.62000012397698</v>
      </c>
      <c r="BC72" s="1">
        <v>343.50674200057898</v>
      </c>
      <c r="BD72" s="7"/>
      <c r="BE72" s="1"/>
      <c r="BF72" s="1"/>
      <c r="BG72" s="8"/>
      <c r="BH72" s="1"/>
      <c r="BI72" s="1"/>
      <c r="BJ72" s="1"/>
      <c r="BK72" s="8"/>
    </row>
    <row r="73" spans="1:63">
      <c r="A73" s="49"/>
      <c r="B73" s="7" t="s">
        <v>18</v>
      </c>
      <c r="C73" s="17">
        <v>0.25</v>
      </c>
      <c r="D73" s="7">
        <v>36</v>
      </c>
      <c r="E73" s="1">
        <v>0.240295940637578</v>
      </c>
      <c r="F73" s="1">
        <v>34.483410575790103</v>
      </c>
      <c r="G73" s="1">
        <v>0.97709266636755698</v>
      </c>
      <c r="H73" s="1">
        <v>16.4002545887293</v>
      </c>
      <c r="I73" s="1">
        <v>37.695492580996799</v>
      </c>
      <c r="J73" s="1">
        <v>0.98455549766054395</v>
      </c>
      <c r="K73" s="8">
        <v>18.112260811929101</v>
      </c>
      <c r="L73" s="7">
        <v>33</v>
      </c>
      <c r="M73" s="1">
        <v>0.224246203133769</v>
      </c>
      <c r="N73" s="1">
        <v>35.885753435654301</v>
      </c>
      <c r="O73" s="1">
        <v>0.98204514613058602</v>
      </c>
      <c r="P73" s="1">
        <v>17.458181251502999</v>
      </c>
      <c r="Q73" s="1">
        <v>39.148889908598498</v>
      </c>
      <c r="R73" s="1">
        <v>0.98716732280608199</v>
      </c>
      <c r="S73" s="8">
        <v>18.916827302770699</v>
      </c>
      <c r="T73" s="7"/>
      <c r="U73" s="1"/>
      <c r="V73" s="1"/>
      <c r="W73" s="8"/>
      <c r="X73" s="7"/>
      <c r="Y73" s="1"/>
      <c r="Z73" s="1"/>
      <c r="AA73" s="8"/>
      <c r="AB73" s="7">
        <v>8</v>
      </c>
      <c r="AC73" s="1">
        <v>0.21562665886492199</v>
      </c>
      <c r="AD73" s="1">
        <v>35.791683051592599</v>
      </c>
      <c r="AE73" s="1">
        <v>0.98343040828235795</v>
      </c>
      <c r="AF73" s="1">
        <v>17.8068819266453</v>
      </c>
      <c r="AG73" s="1">
        <v>38.690261701990899</v>
      </c>
      <c r="AH73" s="1">
        <v>0.98759922294213098</v>
      </c>
      <c r="AI73" s="1">
        <v>19.0655110021107</v>
      </c>
      <c r="AJ73" s="1">
        <v>366.52520251274098</v>
      </c>
      <c r="AK73" s="1">
        <v>237.512226581573</v>
      </c>
      <c r="AL73" s="7"/>
      <c r="AM73" s="1"/>
      <c r="AN73" s="1"/>
      <c r="AO73" s="8"/>
      <c r="AP73" s="1"/>
      <c r="AQ73" s="1"/>
      <c r="AR73" s="1"/>
      <c r="AS73" s="8"/>
      <c r="AT73" s="7">
        <v>0.32</v>
      </c>
      <c r="AU73" s="1">
        <v>0.26978349121836898</v>
      </c>
      <c r="AV73" s="1">
        <v>34.851682066406603</v>
      </c>
      <c r="AW73" s="1">
        <v>0.98990620364439696</v>
      </c>
      <c r="AX73" s="1">
        <v>19.959454614935598</v>
      </c>
      <c r="AY73" s="1">
        <v>37.694644044150003</v>
      </c>
      <c r="AZ73" s="1">
        <v>0.99233615219084903</v>
      </c>
      <c r="BA73" s="1">
        <v>21.155531281861101</v>
      </c>
      <c r="BB73" s="1">
        <v>789.09776020050003</v>
      </c>
      <c r="BC73" s="1">
        <v>411.88654923438997</v>
      </c>
      <c r="BD73" s="7"/>
      <c r="BE73" s="1"/>
      <c r="BF73" s="1"/>
      <c r="BG73" s="8"/>
      <c r="BH73" s="1"/>
      <c r="BI73" s="1"/>
      <c r="BJ73" s="1"/>
      <c r="BK73" s="8"/>
    </row>
    <row r="74" spans="1:63">
      <c r="A74" s="49"/>
      <c r="B74" s="7" t="s">
        <v>18</v>
      </c>
      <c r="C74" s="17">
        <v>0.12</v>
      </c>
      <c r="D74" s="7">
        <v>42</v>
      </c>
      <c r="E74" s="1">
        <v>0.111453451839617</v>
      </c>
      <c r="F74" s="1">
        <v>30.9377821258187</v>
      </c>
      <c r="G74" s="1">
        <v>0.95730797777141197</v>
      </c>
      <c r="H74" s="1">
        <v>13.696532731202399</v>
      </c>
      <c r="I74" s="1">
        <v>34.094185072446699</v>
      </c>
      <c r="J74" s="1">
        <v>0.970374596712825</v>
      </c>
      <c r="K74" s="8">
        <v>15.2833572894125</v>
      </c>
      <c r="L74" s="7">
        <v>39</v>
      </c>
      <c r="M74" s="1">
        <v>0.107768649229629</v>
      </c>
      <c r="N74" s="1">
        <v>32.536968566149497</v>
      </c>
      <c r="O74" s="1">
        <v>0.96847762536452697</v>
      </c>
      <c r="P74" s="1">
        <v>15.0138107378918</v>
      </c>
      <c r="Q74" s="1">
        <v>35.721266589094398</v>
      </c>
      <c r="R74" s="1">
        <v>0.97689364304522697</v>
      </c>
      <c r="S74" s="8">
        <v>16.362685218146002</v>
      </c>
      <c r="T74" s="7"/>
      <c r="U74" s="1"/>
      <c r="V74" s="1"/>
      <c r="W74" s="8"/>
      <c r="X74" s="7"/>
      <c r="Y74" s="1"/>
      <c r="Z74" s="1"/>
      <c r="AA74" s="8"/>
      <c r="AB74" s="7">
        <v>4</v>
      </c>
      <c r="AC74" s="1">
        <v>0.15255259866215301</v>
      </c>
      <c r="AD74" s="1">
        <v>34.028563356060999</v>
      </c>
      <c r="AE74" s="1">
        <v>0.97819777799203</v>
      </c>
      <c r="AF74" s="1">
        <v>16.614992423301</v>
      </c>
      <c r="AG74" s="1">
        <v>36.932840026111499</v>
      </c>
      <c r="AH74" s="1">
        <v>0.98377941126743096</v>
      </c>
      <c r="AI74" s="1">
        <v>17.899333869518699</v>
      </c>
      <c r="AJ74" s="1">
        <v>480.29027295112598</v>
      </c>
      <c r="AK74" s="1">
        <v>351.48185515403702</v>
      </c>
      <c r="AL74" s="7"/>
      <c r="AM74" s="1"/>
      <c r="AN74" s="1"/>
      <c r="AO74" s="8"/>
      <c r="AP74" s="1"/>
      <c r="AQ74" s="1"/>
      <c r="AR74" s="1"/>
      <c r="AS74" s="8"/>
      <c r="AT74" s="7">
        <v>0.08</v>
      </c>
      <c r="AU74" s="1">
        <v>0.11895861928490201</v>
      </c>
      <c r="AV74" s="1">
        <v>31.703590937627101</v>
      </c>
      <c r="AW74" s="1">
        <v>0.97979417355138498</v>
      </c>
      <c r="AX74" s="1">
        <v>16.945233815622199</v>
      </c>
      <c r="AY74" s="1">
        <v>34.5263078026721</v>
      </c>
      <c r="AZ74" s="1">
        <v>0.98468477592162895</v>
      </c>
      <c r="BA74" s="1">
        <v>18.148766446107199</v>
      </c>
      <c r="BB74" s="1">
        <v>339.02672600746098</v>
      </c>
      <c r="BC74" s="1">
        <v>228.25278186797999</v>
      </c>
      <c r="BD74" s="7"/>
      <c r="BE74" s="1"/>
      <c r="BF74" s="1"/>
      <c r="BG74" s="8"/>
      <c r="BH74" s="1"/>
      <c r="BI74" s="1"/>
      <c r="BJ74" s="1"/>
      <c r="BK74" s="8"/>
    </row>
    <row r="75" spans="1:63">
      <c r="A75" s="49"/>
      <c r="B75" s="7" t="s">
        <v>18</v>
      </c>
      <c r="C75" s="17">
        <v>0.06</v>
      </c>
      <c r="D75" s="7">
        <v>47</v>
      </c>
      <c r="E75" s="1">
        <v>5.3806860486066602E-2</v>
      </c>
      <c r="F75" s="1">
        <v>28.126085896756301</v>
      </c>
      <c r="G75" s="1">
        <v>0.9289185713168</v>
      </c>
      <c r="H75" s="1">
        <v>11.482438517868999</v>
      </c>
      <c r="I75" s="1">
        <v>31.192569842150899</v>
      </c>
      <c r="J75" s="1">
        <v>0.94752249562844504</v>
      </c>
      <c r="K75" s="8">
        <v>12.800268265179399</v>
      </c>
      <c r="L75" s="7">
        <v>44</v>
      </c>
      <c r="M75" s="1">
        <v>5.5408431347934599E-2</v>
      </c>
      <c r="N75" s="1">
        <v>29.775891714522299</v>
      </c>
      <c r="O75" s="1">
        <v>0.94790258696676</v>
      </c>
      <c r="P75" s="1">
        <v>12.8318384163872</v>
      </c>
      <c r="Q75" s="1">
        <v>32.8532295872091</v>
      </c>
      <c r="R75" s="1">
        <v>0.95980814960537697</v>
      </c>
      <c r="S75" s="8">
        <v>13.958619988421701</v>
      </c>
      <c r="T75" s="7"/>
      <c r="U75" s="1"/>
      <c r="V75" s="1"/>
      <c r="W75" s="8"/>
      <c r="X75" s="7"/>
      <c r="Y75" s="1"/>
      <c r="Z75" s="1"/>
      <c r="AA75" s="8"/>
      <c r="AB75" s="7">
        <v>2</v>
      </c>
      <c r="AC75" s="1">
        <v>9.8066267103924007E-2</v>
      </c>
      <c r="AD75" s="1">
        <v>32.106571652975802</v>
      </c>
      <c r="AE75" s="1">
        <v>0.96984419305277103</v>
      </c>
      <c r="AF75" s="1">
        <v>15.206290456364099</v>
      </c>
      <c r="AG75" s="1">
        <v>34.992375469842997</v>
      </c>
      <c r="AH75" s="1">
        <v>0.97737351924086502</v>
      </c>
      <c r="AI75" s="1">
        <v>16.453829893834101</v>
      </c>
      <c r="AJ75" s="1">
        <v>783.49207520484902</v>
      </c>
      <c r="AK75" s="1">
        <v>468.82516193389802</v>
      </c>
      <c r="AL75" s="7"/>
      <c r="AM75" s="1"/>
      <c r="AN75" s="1"/>
      <c r="AO75" s="8"/>
      <c r="AP75" s="1"/>
      <c r="AQ75" s="1"/>
      <c r="AR75" s="1"/>
      <c r="AS75" s="8"/>
      <c r="AT75" s="7">
        <v>0.04</v>
      </c>
      <c r="AU75" s="1">
        <v>8.1583283794331302E-2</v>
      </c>
      <c r="AV75" s="1">
        <v>30.1418382406493</v>
      </c>
      <c r="AW75" s="1">
        <v>0.97205766772138402</v>
      </c>
      <c r="AX75" s="1">
        <v>15.537373472032201</v>
      </c>
      <c r="AY75" s="1">
        <v>32.987995439063802</v>
      </c>
      <c r="AZ75" s="1">
        <v>0.97906758159184504</v>
      </c>
      <c r="BA75" s="1">
        <v>16.791805929397999</v>
      </c>
      <c r="BB75" s="1">
        <v>410.35172820091202</v>
      </c>
      <c r="BC75" s="1">
        <v>297.80167913436799</v>
      </c>
      <c r="BD75" s="7"/>
      <c r="BE75" s="1"/>
      <c r="BF75" s="1"/>
      <c r="BG75" s="8"/>
      <c r="BH75" s="1"/>
      <c r="BI75" s="1"/>
      <c r="BJ75" s="1"/>
      <c r="BK75" s="8"/>
    </row>
    <row r="76" spans="1:63">
      <c r="A76" s="49"/>
      <c r="B76" s="7" t="s">
        <v>31</v>
      </c>
      <c r="C76" s="17">
        <v>1.5</v>
      </c>
      <c r="D76" s="7">
        <v>24</v>
      </c>
      <c r="E76" s="1">
        <v>1.4919143282312901</v>
      </c>
      <c r="F76" s="1">
        <v>40.337004727271903</v>
      </c>
      <c r="G76" s="1">
        <v>0.99058364934258702</v>
      </c>
      <c r="H76" s="1">
        <v>20.261173770822399</v>
      </c>
      <c r="I76" s="1">
        <v>43.4999943284392</v>
      </c>
      <c r="J76" s="1">
        <v>0.99356092967214305</v>
      </c>
      <c r="K76" s="8">
        <v>21.911768314953399</v>
      </c>
      <c r="L76" s="7">
        <v>22</v>
      </c>
      <c r="M76" s="1">
        <v>1.4174734268707401</v>
      </c>
      <c r="N76" s="1">
        <v>40.600318894891799</v>
      </c>
      <c r="O76" s="1">
        <v>0.99136976805662302</v>
      </c>
      <c r="P76" s="1">
        <v>20.6397753216716</v>
      </c>
      <c r="Q76" s="1">
        <v>43.808220459302298</v>
      </c>
      <c r="R76" s="1">
        <v>0.99389049282070097</v>
      </c>
      <c r="S76" s="8">
        <v>22.139938205173902</v>
      </c>
      <c r="T76" s="13">
        <f>bdrate(E76:E79,F76:F79,M76:M79,N76:N79)</f>
        <v>-0.10067917393628367</v>
      </c>
      <c r="U76" s="12">
        <f>bdrate(E76:E79,H76:H79,M76:M79,P76:P79)</f>
        <v>-0.11929674865043149</v>
      </c>
      <c r="V76" s="12">
        <f>bdrate(E76:E79,I76:I79,M76:M79,Q76:Q79)</f>
        <v>-0.11508587566082118</v>
      </c>
      <c r="W76" s="14">
        <f>bdrate(E76:E79,K76:K79,M76:M79,S76:S79)</f>
        <v>-0.10036206918701351</v>
      </c>
      <c r="X76" s="13">
        <f>bdrate(E78:E81,F78:F81,M78:M81,N78:N81)</f>
        <v>-0.12801399266552627</v>
      </c>
      <c r="Y76" s="12">
        <f>bdrate(E78:E81,H78:H81,M78:M81,P78:P81)</f>
        <v>-0.13601247473020228</v>
      </c>
      <c r="Z76" s="12">
        <f>bdrate(E78:E81,I78:I81,M78:M81,Q78:Q81)</f>
        <v>-0.15360727520969597</v>
      </c>
      <c r="AA76" s="14">
        <f>bdrate(E78:E81,K78:K81,M78:M81,S78:S81)</f>
        <v>-0.11911270842058519</v>
      </c>
      <c r="AB76" s="7">
        <v>128</v>
      </c>
      <c r="AC76" s="1">
        <v>1.64015704719387</v>
      </c>
      <c r="AD76" s="1">
        <v>41.696064489937903</v>
      </c>
      <c r="AE76" s="1">
        <v>0.99380213919962301</v>
      </c>
      <c r="AF76" s="1">
        <v>22.077581819378398</v>
      </c>
      <c r="AG76" s="1">
        <v>44.631447922537603</v>
      </c>
      <c r="AH76" s="1">
        <v>0.99530942489743301</v>
      </c>
      <c r="AI76" s="1">
        <v>23.287739059930502</v>
      </c>
      <c r="AJ76" s="1">
        <v>1049.5517234802201</v>
      </c>
      <c r="AK76" s="1">
        <v>538.78193426132202</v>
      </c>
      <c r="AL76" s="13">
        <f>bdrate(E76:E79,F76:F79,AC76:AC79,AD76:AD79)</f>
        <v>-2.5599315275446455E-2</v>
      </c>
      <c r="AM76" s="12">
        <f>bdrate(E76:E79,H76:H79,AC76:AC79,AF76:AF79)</f>
        <v>-0.17643554628066604</v>
      </c>
      <c r="AN76" s="12">
        <f>bdrate(E76:E79,I76:I79,AC76:AC79,AG76:AG79)</f>
        <v>-1.8412033974666397E-2</v>
      </c>
      <c r="AO76" s="14">
        <f>bdrate(E76:E79,K76:K79,AC76:AC79,AI76:AI79)</f>
        <v>-0.12185389864390661</v>
      </c>
      <c r="AP76" s="12">
        <f>bdrate(E78:E81,F78:F81,AC78:AC81,AD78:AD81)</f>
        <v>-1.1181673636036393E-2</v>
      </c>
      <c r="AQ76" s="12">
        <f>bdrate(E78:E81,H78:H81,AC78:AC81,AF78:AF81)</f>
        <v>-0.17038306804142156</v>
      </c>
      <c r="AR76" s="12">
        <f>bdrate(E78:E81,I78:I81,AC78:AC81,AG78:AG81)</f>
        <v>5.4111620726353671E-3</v>
      </c>
      <c r="AS76" s="14">
        <f>bdrate(E78:E81,K78:K81,AC78:AC81,AI78:AI81)</f>
        <v>-0.12482821008478451</v>
      </c>
      <c r="AT76" s="7">
        <v>3.2</v>
      </c>
      <c r="AU76" s="1">
        <v>1.6273748405612201</v>
      </c>
      <c r="AV76" s="1">
        <v>39.374482144036698</v>
      </c>
      <c r="AW76" s="1">
        <v>0.99687763980558097</v>
      </c>
      <c r="AX76" s="1">
        <v>25.055169983187</v>
      </c>
      <c r="AY76" s="1">
        <v>42.842318373268199</v>
      </c>
      <c r="AZ76" s="1">
        <v>0.99753600648662699</v>
      </c>
      <c r="BA76" s="1">
        <v>26.083604398153799</v>
      </c>
      <c r="BB76" s="1">
        <v>1106.27992796897</v>
      </c>
      <c r="BC76" s="1">
        <v>538.42689347267105</v>
      </c>
      <c r="BD76" s="13">
        <f>bdrate(E76:E79,F76:F79,AU76:AU79,AV76:AV79)</f>
        <v>0.50417062052644313</v>
      </c>
      <c r="BE76" s="12">
        <f>bdrate(E76:E79,H76:H79,AU76:AU79,AX76:AX79)</f>
        <v>-0.5102154536606891</v>
      </c>
      <c r="BF76" s="12">
        <f>bdrate(E76:E79,I76:I79,AU76:AU79,AY76:AY79)</f>
        <v>0.39464389160738556</v>
      </c>
      <c r="BG76" s="14">
        <f>bdrate(E76:E79,K76:K79,AU76:AU79,BA76:BA79)</f>
        <v>-0.45167269444013258</v>
      </c>
      <c r="BH76" s="12">
        <f>bdrate(E78:E81,F78:F81,AU78:AU81,AV78:AV81)</f>
        <v>0.77802821368974695</v>
      </c>
      <c r="BI76" s="12">
        <f>bdrate(E78:E81,H78:H81,AU78:AU81,AX78:AX81)</f>
        <v>-0.48679975633143702</v>
      </c>
      <c r="BJ76" s="12">
        <f>bdrate(E78:E81,I78:I81,AU78:AU81,AY78:AY81)</f>
        <v>1.0467668549513496</v>
      </c>
      <c r="BK76" s="14">
        <f>bdrate(E78:E81,K78:K81,AU78:AU81,BA78:BA81)</f>
        <v>-0.46457089568616683</v>
      </c>
    </row>
    <row r="77" spans="1:63">
      <c r="A77" s="49"/>
      <c r="B77" s="7" t="s">
        <v>18</v>
      </c>
      <c r="C77" s="17">
        <v>1</v>
      </c>
      <c r="D77" s="7">
        <v>28</v>
      </c>
      <c r="E77" s="1">
        <v>0.85861181972789102</v>
      </c>
      <c r="F77" s="1">
        <v>37.063274801875203</v>
      </c>
      <c r="G77" s="1">
        <v>0.97960515112108004</v>
      </c>
      <c r="H77" s="1">
        <v>16.9047950835593</v>
      </c>
      <c r="I77" s="1">
        <v>40.445072584650603</v>
      </c>
      <c r="J77" s="1">
        <v>0.98362470057097495</v>
      </c>
      <c r="K77" s="8">
        <v>17.858107500119601</v>
      </c>
      <c r="L77" s="7">
        <v>25</v>
      </c>
      <c r="M77" s="1">
        <v>0.977076158588435</v>
      </c>
      <c r="N77" s="1">
        <v>38.259232813518103</v>
      </c>
      <c r="O77" s="1">
        <v>0.98508793726678401</v>
      </c>
      <c r="P77" s="1">
        <v>18.264622779627398</v>
      </c>
      <c r="Q77" s="1">
        <v>41.607147060365598</v>
      </c>
      <c r="R77" s="1">
        <v>0.98823733913839196</v>
      </c>
      <c r="S77" s="8">
        <v>19.294944242804501</v>
      </c>
      <c r="T77" s="7"/>
      <c r="U77" s="1"/>
      <c r="V77" s="1"/>
      <c r="W77" s="8"/>
      <c r="X77" s="7"/>
      <c r="Y77" s="1"/>
      <c r="Z77" s="1"/>
      <c r="AA77" s="8"/>
      <c r="AB77" s="7">
        <v>64</v>
      </c>
      <c r="AC77" s="1">
        <v>1.0977444727891099</v>
      </c>
      <c r="AD77" s="1">
        <v>38.536995956117899</v>
      </c>
      <c r="AE77" s="1">
        <v>0.988618823419257</v>
      </c>
      <c r="AF77" s="1">
        <v>19.438128384584498</v>
      </c>
      <c r="AG77" s="1">
        <v>41.731045888105697</v>
      </c>
      <c r="AH77" s="1">
        <v>0.99077568582160302</v>
      </c>
      <c r="AI77" s="1">
        <v>20.3506591347351</v>
      </c>
      <c r="AJ77" s="1">
        <v>1200.3060176372501</v>
      </c>
      <c r="AK77" s="1">
        <v>446.122895002365</v>
      </c>
      <c r="AL77" s="7"/>
      <c r="AM77" s="1"/>
      <c r="AN77" s="1"/>
      <c r="AO77" s="8"/>
      <c r="AP77" s="1"/>
      <c r="AQ77" s="1"/>
      <c r="AR77" s="1"/>
      <c r="AS77" s="8"/>
      <c r="AT77" s="7">
        <v>1.28</v>
      </c>
      <c r="AU77" s="1">
        <v>1.03544775722789</v>
      </c>
      <c r="AV77" s="1">
        <v>36.236424907887603</v>
      </c>
      <c r="AW77" s="1">
        <v>0.99357432556550596</v>
      </c>
      <c r="AX77" s="1">
        <v>21.920812823457702</v>
      </c>
      <c r="AY77" s="1">
        <v>40.047188501301399</v>
      </c>
      <c r="AZ77" s="1">
        <v>0.99458084733316598</v>
      </c>
      <c r="BA77" s="1">
        <v>22.660686139942001</v>
      </c>
      <c r="BB77" s="1">
        <v>1150.8526558875999</v>
      </c>
      <c r="BC77" s="1">
        <v>492.27161002159102</v>
      </c>
      <c r="BD77" s="7"/>
      <c r="BE77" s="1"/>
      <c r="BF77" s="1"/>
      <c r="BG77" s="8"/>
      <c r="BH77" s="1"/>
      <c r="BI77" s="1"/>
      <c r="BJ77" s="1"/>
      <c r="BK77" s="8"/>
    </row>
    <row r="78" spans="1:63">
      <c r="A78" s="49"/>
      <c r="B78" s="7" t="s">
        <v>18</v>
      </c>
      <c r="C78" s="17">
        <v>0.5</v>
      </c>
      <c r="D78" s="7">
        <v>31</v>
      </c>
      <c r="E78" s="1">
        <v>0.49370163690476099</v>
      </c>
      <c r="F78" s="1">
        <v>34.764402824532297</v>
      </c>
      <c r="G78" s="1">
        <v>0.96515513159594302</v>
      </c>
      <c r="H78" s="1">
        <v>14.578611713076601</v>
      </c>
      <c r="I78" s="1">
        <v>38.378024250829696</v>
      </c>
      <c r="J78" s="1">
        <v>0.97013085612668604</v>
      </c>
      <c r="K78" s="8">
        <v>15.2477722521724</v>
      </c>
      <c r="L78" s="7">
        <v>30</v>
      </c>
      <c r="M78" s="1">
        <v>0.41696800595237998</v>
      </c>
      <c r="N78" s="1">
        <v>34.567656111120698</v>
      </c>
      <c r="O78" s="1">
        <v>0.96405214200553802</v>
      </c>
      <c r="P78" s="1">
        <v>14.4432698258013</v>
      </c>
      <c r="Q78" s="1">
        <v>38.260444060653803</v>
      </c>
      <c r="R78" s="1">
        <v>0.96860980953880504</v>
      </c>
      <c r="S78" s="8">
        <v>15.032060491933899</v>
      </c>
      <c r="T78" s="7"/>
      <c r="U78" s="1"/>
      <c r="V78" s="1"/>
      <c r="W78" s="8"/>
      <c r="X78" s="7"/>
      <c r="Y78" s="1"/>
      <c r="Z78" s="1"/>
      <c r="AA78" s="8"/>
      <c r="AB78" s="7">
        <v>32</v>
      </c>
      <c r="AC78" s="1">
        <v>0.69915603741496601</v>
      </c>
      <c r="AD78" s="1">
        <v>36.215993914073103</v>
      </c>
      <c r="AE78" s="1">
        <v>0.97917332561999204</v>
      </c>
      <c r="AF78" s="1">
        <v>16.813800730056201</v>
      </c>
      <c r="AG78" s="1">
        <v>39.674967155609103</v>
      </c>
      <c r="AH78" s="1">
        <v>0.981836893203337</v>
      </c>
      <c r="AI78" s="1">
        <v>17.408098634556499</v>
      </c>
      <c r="AJ78" s="1">
        <v>591.98692631721497</v>
      </c>
      <c r="AK78" s="1">
        <v>279.13525772094698</v>
      </c>
      <c r="AL78" s="7"/>
      <c r="AM78" s="1"/>
      <c r="AN78" s="1"/>
      <c r="AO78" s="8"/>
      <c r="AP78" s="1"/>
      <c r="AQ78" s="1"/>
      <c r="AR78" s="1"/>
      <c r="AS78" s="8"/>
      <c r="AT78" s="7">
        <v>0.32</v>
      </c>
      <c r="AU78" s="1">
        <v>0.50873325892857102</v>
      </c>
      <c r="AV78" s="1">
        <v>33.070935710996103</v>
      </c>
      <c r="AW78" s="1">
        <v>0.98400696050609404</v>
      </c>
      <c r="AX78" s="1">
        <v>17.960689902884202</v>
      </c>
      <c r="AY78" s="1">
        <v>37.063780599232302</v>
      </c>
      <c r="AZ78" s="1">
        <v>0.98595347763518704</v>
      </c>
      <c r="BA78" s="1">
        <v>18.5243118499153</v>
      </c>
      <c r="BB78" s="1">
        <v>988.63290524482704</v>
      </c>
      <c r="BC78" s="1">
        <v>519.12063550949097</v>
      </c>
      <c r="BD78" s="7"/>
      <c r="BE78" s="1"/>
      <c r="BF78" s="1"/>
      <c r="BG78" s="8"/>
      <c r="BH78" s="1"/>
      <c r="BI78" s="1"/>
      <c r="BJ78" s="1"/>
      <c r="BK78" s="8"/>
    </row>
    <row r="79" spans="1:63">
      <c r="A79" s="49"/>
      <c r="B79" s="7" t="s">
        <v>18</v>
      </c>
      <c r="C79" s="17">
        <v>0.25</v>
      </c>
      <c r="D79" s="7">
        <v>34</v>
      </c>
      <c r="E79" s="1">
        <v>0.23589019982993101</v>
      </c>
      <c r="F79" s="1">
        <v>32.743115501207697</v>
      </c>
      <c r="G79" s="1">
        <v>0.94422578518766198</v>
      </c>
      <c r="H79" s="1">
        <v>12.535665349853</v>
      </c>
      <c r="I79" s="1">
        <v>36.580629947571801</v>
      </c>
      <c r="J79" s="1">
        <v>0.95028248856295605</v>
      </c>
      <c r="K79" s="8">
        <v>13.034906176854101</v>
      </c>
      <c r="L79" s="7">
        <v>33</v>
      </c>
      <c r="M79" s="1">
        <v>0.197280771683673</v>
      </c>
      <c r="N79" s="1">
        <v>32.638570846559702</v>
      </c>
      <c r="O79" s="1">
        <v>0.94302868924808603</v>
      </c>
      <c r="P79" s="1">
        <v>12.4434378851637</v>
      </c>
      <c r="Q79" s="1">
        <v>36.535560960847498</v>
      </c>
      <c r="R79" s="1">
        <v>0.94865151129188696</v>
      </c>
      <c r="S79" s="8">
        <v>12.8947233406058</v>
      </c>
      <c r="T79" s="7"/>
      <c r="U79" s="1"/>
      <c r="V79" s="1"/>
      <c r="W79" s="8"/>
      <c r="X79" s="7"/>
      <c r="Y79" s="1"/>
      <c r="Z79" s="1"/>
      <c r="AA79" s="8"/>
      <c r="AB79" s="7">
        <v>16</v>
      </c>
      <c r="AC79" s="1">
        <v>0.38136027848639398</v>
      </c>
      <c r="AD79" s="1">
        <v>33.902294304030796</v>
      </c>
      <c r="AE79" s="1">
        <v>0.96346508695172495</v>
      </c>
      <c r="AF79" s="1">
        <v>14.3729192192214</v>
      </c>
      <c r="AG79" s="1">
        <v>37.588907307876703</v>
      </c>
      <c r="AH79" s="1">
        <v>0.96714254429847801</v>
      </c>
      <c r="AI79" s="1">
        <v>14.833660689463001</v>
      </c>
      <c r="AJ79" s="1">
        <v>528.15775227546601</v>
      </c>
      <c r="AK79" s="1">
        <v>355.27470803260798</v>
      </c>
      <c r="AL79" s="7"/>
      <c r="AM79" s="1"/>
      <c r="AN79" s="1"/>
      <c r="AO79" s="8"/>
      <c r="AP79" s="1"/>
      <c r="AQ79" s="1"/>
      <c r="AR79" s="1"/>
      <c r="AS79" s="8"/>
      <c r="AT79" s="7">
        <v>0.16</v>
      </c>
      <c r="AU79" s="1">
        <v>0.34825494260203999</v>
      </c>
      <c r="AV79" s="1">
        <v>32.499111008480099</v>
      </c>
      <c r="AW79" s="1">
        <v>0.97652970376057302</v>
      </c>
      <c r="AX79" s="1">
        <v>16.2948142875094</v>
      </c>
      <c r="AY79" s="1">
        <v>36.333867986788903</v>
      </c>
      <c r="AZ79" s="1">
        <v>0.97921618358635298</v>
      </c>
      <c r="BA79" s="1">
        <v>16.8227470243793</v>
      </c>
      <c r="BB79" s="1">
        <v>539.21023988723698</v>
      </c>
      <c r="BC79" s="1">
        <v>379.95741915702803</v>
      </c>
      <c r="BD79" s="7"/>
      <c r="BE79" s="1"/>
      <c r="BF79" s="1"/>
      <c r="BG79" s="8"/>
      <c r="BH79" s="1"/>
      <c r="BI79" s="1"/>
      <c r="BJ79" s="1"/>
      <c r="BK79" s="8"/>
    </row>
    <row r="80" spans="1:63">
      <c r="A80" s="49"/>
      <c r="B80" s="7" t="s">
        <v>18</v>
      </c>
      <c r="C80" s="17">
        <v>0.12</v>
      </c>
      <c r="D80" s="7">
        <v>36</v>
      </c>
      <c r="E80" s="1">
        <v>0.119123883928571</v>
      </c>
      <c r="F80" s="1">
        <v>31.586760326249902</v>
      </c>
      <c r="G80" s="1">
        <v>0.92687294484166305</v>
      </c>
      <c r="H80" s="1">
        <v>11.359219153523901</v>
      </c>
      <c r="I80" s="1">
        <v>35.547148882833902</v>
      </c>
      <c r="J80" s="1">
        <v>0.93358943792536198</v>
      </c>
      <c r="K80" s="8">
        <v>11.777628440363999</v>
      </c>
      <c r="L80" s="7">
        <v>35</v>
      </c>
      <c r="M80" s="1">
        <v>9.9978475765306093E-2</v>
      </c>
      <c r="N80" s="1">
        <v>31.561070079273101</v>
      </c>
      <c r="O80" s="1">
        <v>0.92649762281101899</v>
      </c>
      <c r="P80" s="1">
        <v>11.336986148836701</v>
      </c>
      <c r="Q80" s="1">
        <v>35.559235611393497</v>
      </c>
      <c r="R80" s="1">
        <v>0.93282042025016498</v>
      </c>
      <c r="S80" s="8">
        <v>11.727627172686701</v>
      </c>
      <c r="T80" s="7"/>
      <c r="U80" s="1"/>
      <c r="V80" s="1"/>
      <c r="W80" s="8"/>
      <c r="X80" s="7"/>
      <c r="Y80" s="1"/>
      <c r="Z80" s="1"/>
      <c r="AA80" s="8"/>
      <c r="AB80" s="7">
        <v>8</v>
      </c>
      <c r="AC80" s="1">
        <v>0.17941831420068</v>
      </c>
      <c r="AD80" s="1">
        <v>32.209711225035001</v>
      </c>
      <c r="AE80" s="1">
        <v>0.94127459599228702</v>
      </c>
      <c r="AF80" s="1">
        <v>12.311739867646301</v>
      </c>
      <c r="AG80" s="1">
        <v>36.088014678037901</v>
      </c>
      <c r="AH80" s="1">
        <v>0.94607094903899602</v>
      </c>
      <c r="AI80" s="1">
        <v>12.681772223231</v>
      </c>
      <c r="AJ80" s="1">
        <v>385.25481724739001</v>
      </c>
      <c r="AK80" s="1">
        <v>242.436150550842</v>
      </c>
      <c r="AL80" s="7"/>
      <c r="AM80" s="1"/>
      <c r="AN80" s="1"/>
      <c r="AO80" s="8"/>
      <c r="AP80" s="1"/>
      <c r="AQ80" s="1"/>
      <c r="AR80" s="1"/>
      <c r="AS80" s="8"/>
      <c r="AT80" s="7">
        <v>0.08</v>
      </c>
      <c r="AU80" s="1">
        <v>0.23676950467687</v>
      </c>
      <c r="AV80" s="1">
        <v>31.771866511542601</v>
      </c>
      <c r="AW80" s="1">
        <v>0.96350517622853205</v>
      </c>
      <c r="AX80" s="1">
        <v>14.377687291573199</v>
      </c>
      <c r="AY80" s="1">
        <v>35.310882602756998</v>
      </c>
      <c r="AZ80" s="1">
        <v>0.96730255074288796</v>
      </c>
      <c r="BA80" s="1">
        <v>14.8548612552836</v>
      </c>
      <c r="BB80" s="1">
        <v>361.82530236244202</v>
      </c>
      <c r="BC80" s="1">
        <v>241.146709680557</v>
      </c>
      <c r="BD80" s="7"/>
      <c r="BE80" s="1"/>
      <c r="BF80" s="1"/>
      <c r="BG80" s="8"/>
      <c r="BH80" s="1"/>
      <c r="BI80" s="1"/>
      <c r="BJ80" s="1"/>
      <c r="BK80" s="8"/>
    </row>
    <row r="81" spans="1:63">
      <c r="A81" s="49"/>
      <c r="B81" s="7" t="s">
        <v>18</v>
      </c>
      <c r="C81" s="17">
        <v>0.06</v>
      </c>
      <c r="D81" s="7">
        <v>38</v>
      </c>
      <c r="E81" s="1">
        <v>5.22103528911564E-2</v>
      </c>
      <c r="F81" s="1">
        <v>30.781026995313301</v>
      </c>
      <c r="G81" s="1">
        <v>0.908996534400623</v>
      </c>
      <c r="H81" s="1">
        <v>10.4094206853575</v>
      </c>
      <c r="I81" s="1">
        <v>34.779542998683603</v>
      </c>
      <c r="J81" s="1">
        <v>0.91641739979299097</v>
      </c>
      <c r="K81" s="8">
        <v>10.7788412232866</v>
      </c>
      <c r="L81" s="7">
        <v>37</v>
      </c>
      <c r="M81" s="1">
        <v>4.0796396683673401E-2</v>
      </c>
      <c r="N81" s="1">
        <v>30.758822990216601</v>
      </c>
      <c r="O81" s="1">
        <v>0.90843391596621004</v>
      </c>
      <c r="P81" s="1">
        <v>10.3826535869606</v>
      </c>
      <c r="Q81" s="1">
        <v>34.805148289601597</v>
      </c>
      <c r="R81" s="1">
        <v>0.91544705144735095</v>
      </c>
      <c r="S81" s="8">
        <v>10.728712429708199</v>
      </c>
      <c r="T81" s="7"/>
      <c r="U81" s="1"/>
      <c r="V81" s="1"/>
      <c r="W81" s="8"/>
      <c r="X81" s="7"/>
      <c r="Y81" s="1"/>
      <c r="Z81" s="1"/>
      <c r="AA81" s="8"/>
      <c r="AB81" s="7">
        <v>4</v>
      </c>
      <c r="AC81" s="1">
        <v>6.2970610119047601E-2</v>
      </c>
      <c r="AD81" s="1">
        <v>30.987341047781101</v>
      </c>
      <c r="AE81" s="1">
        <v>0.91653596670334703</v>
      </c>
      <c r="AF81" s="1">
        <v>10.785006323710499</v>
      </c>
      <c r="AG81" s="1">
        <v>34.934663200277797</v>
      </c>
      <c r="AH81" s="1">
        <v>0.92238104082375105</v>
      </c>
      <c r="AI81" s="1">
        <v>11.1003218518583</v>
      </c>
      <c r="AJ81" s="1">
        <v>495.17741370201099</v>
      </c>
      <c r="AK81" s="1">
        <v>358.74970746040299</v>
      </c>
      <c r="AL81" s="7"/>
      <c r="AM81" s="1"/>
      <c r="AN81" s="1"/>
      <c r="AO81" s="8"/>
      <c r="AP81" s="1"/>
      <c r="AQ81" s="1"/>
      <c r="AR81" s="1"/>
      <c r="AS81" s="8"/>
      <c r="AT81" s="7">
        <v>0.04</v>
      </c>
      <c r="AU81" s="1">
        <v>0.10140757865646199</v>
      </c>
      <c r="AV81" s="1">
        <v>30.686452828296598</v>
      </c>
      <c r="AW81" s="1">
        <v>0.93840269332803505</v>
      </c>
      <c r="AX81" s="1">
        <v>12.104382768465401</v>
      </c>
      <c r="AY81" s="1">
        <v>33.964561004022798</v>
      </c>
      <c r="AZ81" s="1">
        <v>0.94363403864116002</v>
      </c>
      <c r="BA81" s="1">
        <v>12.489830814190301</v>
      </c>
      <c r="BB81" s="1">
        <v>433.11566376686</v>
      </c>
      <c r="BC81" s="1">
        <v>305.36724925041199</v>
      </c>
      <c r="BD81" s="7"/>
      <c r="BE81" s="1"/>
      <c r="BF81" s="1"/>
      <c r="BG81" s="8"/>
      <c r="BH81" s="1"/>
      <c r="BI81" s="1"/>
      <c r="BJ81" s="1"/>
      <c r="BK81" s="8"/>
    </row>
    <row r="82" spans="1:63">
      <c r="A82" s="49"/>
      <c r="B82" s="7" t="s">
        <v>32</v>
      </c>
      <c r="C82" s="17">
        <v>1.5</v>
      </c>
      <c r="D82" s="7">
        <v>17</v>
      </c>
      <c r="E82" s="1">
        <v>1.41530080782312</v>
      </c>
      <c r="F82" s="1">
        <v>46.046353370951103</v>
      </c>
      <c r="G82" s="1">
        <v>0.99642757437164198</v>
      </c>
      <c r="H82" s="1">
        <v>24.470368036931099</v>
      </c>
      <c r="I82" s="1">
        <v>49.136002408347601</v>
      </c>
      <c r="J82" s="1">
        <v>0.99786831697072398</v>
      </c>
      <c r="K82" s="8">
        <v>26.7127737228653</v>
      </c>
      <c r="L82" s="7">
        <v>15</v>
      </c>
      <c r="M82" s="1">
        <v>1.3396343537414901</v>
      </c>
      <c r="N82" s="1">
        <v>46.142558875278098</v>
      </c>
      <c r="O82" s="1">
        <v>0.99670008377157804</v>
      </c>
      <c r="P82" s="1">
        <v>24.814970849693601</v>
      </c>
      <c r="Q82" s="1">
        <v>49.239588852829499</v>
      </c>
      <c r="R82" s="1">
        <v>0.99795665598165295</v>
      </c>
      <c r="S82" s="8">
        <v>26.896585091914201</v>
      </c>
      <c r="T82" s="13">
        <f>bdrate(E82:E85,F82:F85,M82:M85,N82:N85)</f>
        <v>-0.10942914975882023</v>
      </c>
      <c r="U82" s="12">
        <f>bdrate(E82:E85,H82:H85,M82:M85,P82:P85)</f>
        <v>-0.14977386204943199</v>
      </c>
      <c r="V82" s="12">
        <f>bdrate(E82:E85,I82:I85,M82:M85,Q82:Q85)</f>
        <v>-0.10585737176216459</v>
      </c>
      <c r="W82" s="14">
        <f>bdrate(E82:E85,K82:K85,M82:M85,S82:S85)</f>
        <v>-0.10709371464548567</v>
      </c>
      <c r="X82" s="13">
        <f>bdrate(E84:E87,F84:F87,M84:M87,N84:N87)</f>
        <v>-0.20032673589816941</v>
      </c>
      <c r="Y82" s="12">
        <f>bdrate(E84:E87,H84:H87,M84:M87,P84:P87)</f>
        <v>-0.24484346694261039</v>
      </c>
      <c r="Z82" s="12">
        <f>bdrate(E84:E87,I84:I87,M84:M87,Q84:Q87)</f>
        <v>-0.22949828099265968</v>
      </c>
      <c r="AA82" s="14">
        <f>bdrate(E84:E87,K84:K87,M84:M87,S84:S87)</f>
        <v>-0.15742035710814239</v>
      </c>
      <c r="AB82" s="7">
        <v>256</v>
      </c>
      <c r="AC82" s="1">
        <v>0.82204320790816299</v>
      </c>
      <c r="AD82" s="1">
        <v>44.768232137133701</v>
      </c>
      <c r="AE82" s="1">
        <v>0.99581587356955603</v>
      </c>
      <c r="AF82" s="1">
        <v>23.783952010015799</v>
      </c>
      <c r="AG82" s="1">
        <v>47.895608152285099</v>
      </c>
      <c r="AH82" s="1">
        <v>0.99646344819189803</v>
      </c>
      <c r="AI82" s="1">
        <v>24.514199754133099</v>
      </c>
      <c r="AJ82" s="1">
        <v>770.97604393959</v>
      </c>
      <c r="AK82" s="1">
        <v>516.02016806602398</v>
      </c>
      <c r="AL82" s="13">
        <f>bdrate(E82:E85,F82:F85,AC82:AC85,AD82:AD85)</f>
        <v>-0.26746229249039322</v>
      </c>
      <c r="AM82" s="12">
        <f>bdrate(E82:E85,H82:H85,AC82:AC85,AF82:AF85)</f>
        <v>-0.31903203048460671</v>
      </c>
      <c r="AN82" s="12">
        <f>bdrate(E82:E85,I82:I85,AC82:AC85,AG82:AG85)</f>
        <v>-0.29095992343525057</v>
      </c>
      <c r="AO82" s="14">
        <f>bdrate(E82:E85,K82:K85,AC82:AC85,AI82:AI85)</f>
        <v>-0.1706058112613601</v>
      </c>
      <c r="AP82" s="12">
        <f>bdrate(E84:E87,F84:F87,AC84:AC87,AD84:AD87)</f>
        <v>-0.21916164580874975</v>
      </c>
      <c r="AQ82" s="12">
        <f>bdrate(E84:E87,H84:H87,AC84:AC87,AF84:AF87)</f>
        <v>-0.27816336924826057</v>
      </c>
      <c r="AR82" s="12">
        <f>bdrate(E84:E87,I84:I87,AC84:AC87,AG84:AG87)</f>
        <v>-0.21859382554613127</v>
      </c>
      <c r="AS82" s="14">
        <f>bdrate(E84:E87,K84:K87,AC84:AC87,AI84:AI87)</f>
        <v>-0.14214949122950227</v>
      </c>
      <c r="AT82" s="7">
        <v>6.4</v>
      </c>
      <c r="AU82" s="1">
        <v>1.19709210246598</v>
      </c>
      <c r="AV82" s="1">
        <v>45.405403385921097</v>
      </c>
      <c r="AW82" s="1">
        <v>0.99843964309979505</v>
      </c>
      <c r="AX82" s="1">
        <v>28.067760541701698</v>
      </c>
      <c r="AY82" s="1">
        <v>48.588485731045402</v>
      </c>
      <c r="AZ82" s="1">
        <v>0.99878551068311505</v>
      </c>
      <c r="BA82" s="1">
        <v>29.156063010635101</v>
      </c>
      <c r="BB82" s="1">
        <v>949.05755519866898</v>
      </c>
      <c r="BC82" s="1">
        <v>521.19663429260197</v>
      </c>
      <c r="BD82" s="13">
        <f>bdrate(E82:E85,F82:F85,AU82:AU85,AV82:AV85)</f>
        <v>0.14811598247654456</v>
      </c>
      <c r="BE82" s="12">
        <f>bdrate(E82:E85,H82:H85,AU82:AU85,AX82:AX85)</f>
        <v>-0.55111550359974737</v>
      </c>
      <c r="BF82" s="12">
        <f>bdrate(E82:E85,I82:I85,AU82:AU85,AY82:AY85)</f>
        <v>7.606592854163341E-2</v>
      </c>
      <c r="BG82" s="14">
        <f>bdrate(E82:E85,K82:K85,AU82:AU85,BA82:BA85)</f>
        <v>-0.45404136402769857</v>
      </c>
      <c r="BH82" s="12">
        <f>bdrate(E84:E87,F84:F87,AU84:AU87,AV84:AV87)</f>
        <v>0.23792646699727693</v>
      </c>
      <c r="BI82" s="12">
        <f>bdrate(E84:E87,H84:H87,AU84:AU87,AX84:AX87)</f>
        <v>-0.41356865244181784</v>
      </c>
      <c r="BJ82" s="12">
        <f>bdrate(E84:E87,I84:I87,AU84:AU87,AY84:AY87)</f>
        <v>0.22275490944775589</v>
      </c>
      <c r="BK82" s="14">
        <f>bdrate(E84:E87,K84:K87,AU84:AU87,BA84:BA87)</f>
        <v>-0.32213182785329608</v>
      </c>
    </row>
    <row r="83" spans="1:63">
      <c r="A83" s="49"/>
      <c r="B83" s="7" t="s">
        <v>18</v>
      </c>
      <c r="C83" s="17">
        <v>1</v>
      </c>
      <c r="D83" s="7">
        <v>20</v>
      </c>
      <c r="E83" s="1">
        <v>0.82579427083333301</v>
      </c>
      <c r="F83" s="1">
        <v>43.791477231845398</v>
      </c>
      <c r="G83" s="1">
        <v>0.99402819840694001</v>
      </c>
      <c r="H83" s="1">
        <v>22.238946296929399</v>
      </c>
      <c r="I83" s="1">
        <v>46.923048610590001</v>
      </c>
      <c r="J83" s="1">
        <v>0.99571499387445295</v>
      </c>
      <c r="K83" s="8">
        <v>23.680485529031301</v>
      </c>
      <c r="L83" s="7">
        <v>18</v>
      </c>
      <c r="M83" s="1">
        <v>0.85712106717686998</v>
      </c>
      <c r="N83" s="1">
        <v>44.288419410359801</v>
      </c>
      <c r="O83" s="1">
        <v>0.99491551127273004</v>
      </c>
      <c r="P83" s="1">
        <v>22.9375271119536</v>
      </c>
      <c r="Q83" s="1">
        <v>47.375868691460497</v>
      </c>
      <c r="R83" s="1">
        <v>0.996362349167906</v>
      </c>
      <c r="S83" s="8">
        <v>24.391789899818601</v>
      </c>
      <c r="T83" s="7"/>
      <c r="U83" s="1"/>
      <c r="V83" s="1"/>
      <c r="W83" s="8"/>
      <c r="X83" s="7"/>
      <c r="Y83" s="1"/>
      <c r="Z83" s="1"/>
      <c r="AA83" s="8"/>
      <c r="AB83" s="7">
        <v>128</v>
      </c>
      <c r="AC83" s="1">
        <v>0.41415896045918299</v>
      </c>
      <c r="AD83" s="1">
        <v>42.694188128558103</v>
      </c>
      <c r="AE83" s="1">
        <v>0.99247169709346705</v>
      </c>
      <c r="AF83" s="1">
        <v>21.233029150870301</v>
      </c>
      <c r="AG83" s="1">
        <v>46.003700827782097</v>
      </c>
      <c r="AH83" s="1">
        <v>0.99343888321162799</v>
      </c>
      <c r="AI83" s="1">
        <v>21.830222316995101</v>
      </c>
      <c r="AJ83" s="1">
        <v>837.68943786621003</v>
      </c>
      <c r="AK83" s="1">
        <v>535.92498731613102</v>
      </c>
      <c r="AL83" s="7"/>
      <c r="AM83" s="1"/>
      <c r="AN83" s="1"/>
      <c r="AO83" s="8"/>
      <c r="AP83" s="1"/>
      <c r="AQ83" s="1"/>
      <c r="AR83" s="1"/>
      <c r="AS83" s="8"/>
      <c r="AT83" s="7">
        <v>3.2</v>
      </c>
      <c r="AU83" s="1">
        <v>0.79392139668367301</v>
      </c>
      <c r="AV83" s="1">
        <v>43.320960316877397</v>
      </c>
      <c r="AW83" s="1">
        <v>0.99739657847556396</v>
      </c>
      <c r="AX83" s="1">
        <v>25.844555088344901</v>
      </c>
      <c r="AY83" s="1">
        <v>46.7540721962147</v>
      </c>
      <c r="AZ83" s="1">
        <v>0.99787631179578695</v>
      </c>
      <c r="BA83" s="1">
        <v>26.729092451846402</v>
      </c>
      <c r="BB83" s="1">
        <v>798.52307367324795</v>
      </c>
      <c r="BC83" s="1">
        <v>518.37287878990105</v>
      </c>
      <c r="BD83" s="7"/>
      <c r="BE83" s="1"/>
      <c r="BF83" s="1"/>
      <c r="BG83" s="8"/>
      <c r="BH83" s="1"/>
      <c r="BI83" s="1"/>
      <c r="BJ83" s="1"/>
      <c r="BK83" s="8"/>
    </row>
    <row r="84" spans="1:63">
      <c r="A84" s="49"/>
      <c r="B84" s="7" t="s">
        <v>18</v>
      </c>
      <c r="C84" s="17">
        <v>0.5</v>
      </c>
      <c r="D84" s="7">
        <v>23</v>
      </c>
      <c r="E84" s="1">
        <v>0.42527290603741402</v>
      </c>
      <c r="F84" s="1">
        <v>41.9638897447809</v>
      </c>
      <c r="G84" s="1">
        <v>0.99066252715569003</v>
      </c>
      <c r="H84" s="1">
        <v>20.297706482109501</v>
      </c>
      <c r="I84" s="1">
        <v>45.189574220699001</v>
      </c>
      <c r="J84" s="1">
        <v>0.992703422690973</v>
      </c>
      <c r="K84" s="8">
        <v>21.3688081171283</v>
      </c>
      <c r="L84" s="7">
        <v>21</v>
      </c>
      <c r="M84" s="1">
        <v>0.423067602040816</v>
      </c>
      <c r="N84" s="1">
        <v>42.249204958085301</v>
      </c>
      <c r="O84" s="1">
        <v>0.99147877310650701</v>
      </c>
      <c r="P84" s="1">
        <v>20.694978706425498</v>
      </c>
      <c r="Q84" s="1">
        <v>45.448644692210699</v>
      </c>
      <c r="R84" s="1">
        <v>0.993185113203498</v>
      </c>
      <c r="S84" s="8">
        <v>21.665413539251102</v>
      </c>
      <c r="T84" s="7"/>
      <c r="U84" s="1"/>
      <c r="V84" s="1"/>
      <c r="W84" s="8"/>
      <c r="X84" s="7"/>
      <c r="Y84" s="1"/>
      <c r="Z84" s="1"/>
      <c r="AA84" s="8"/>
      <c r="AB84" s="7">
        <v>64</v>
      </c>
      <c r="AC84" s="1">
        <v>0.25412946428571398</v>
      </c>
      <c r="AD84" s="1">
        <v>41.547217690892303</v>
      </c>
      <c r="AE84" s="1">
        <v>0.99011856890332794</v>
      </c>
      <c r="AF84" s="1">
        <v>20.051801533497201</v>
      </c>
      <c r="AG84" s="1">
        <v>44.825438156293004</v>
      </c>
      <c r="AH84" s="1">
        <v>0.99134753635400996</v>
      </c>
      <c r="AI84" s="1">
        <v>20.628602167526399</v>
      </c>
      <c r="AJ84" s="1">
        <v>885.46309614181496</v>
      </c>
      <c r="AK84" s="1">
        <v>450.320204019546</v>
      </c>
      <c r="AL84" s="7"/>
      <c r="AM84" s="1"/>
      <c r="AN84" s="1"/>
      <c r="AO84" s="8"/>
      <c r="AP84" s="1"/>
      <c r="AQ84" s="1"/>
      <c r="AR84" s="1"/>
      <c r="AS84" s="8"/>
      <c r="AT84" s="7">
        <v>1.28</v>
      </c>
      <c r="AU84" s="1">
        <v>0.53900802508503398</v>
      </c>
      <c r="AV84" s="1">
        <v>41.927724044487903</v>
      </c>
      <c r="AW84" s="1">
        <v>0.99591801950880099</v>
      </c>
      <c r="AX84" s="1">
        <v>23.8912907521653</v>
      </c>
      <c r="AY84" s="1">
        <v>45.378588009410997</v>
      </c>
      <c r="AZ84" s="1">
        <v>0.99656431698450698</v>
      </c>
      <c r="BA84" s="1">
        <v>24.639869120622901</v>
      </c>
      <c r="BB84" s="1">
        <v>743.84006071090698</v>
      </c>
      <c r="BC84" s="1">
        <v>395.57636380195601</v>
      </c>
      <c r="BD84" s="7"/>
      <c r="BE84" s="1"/>
      <c r="BF84" s="1"/>
      <c r="BG84" s="8"/>
      <c r="BH84" s="1"/>
      <c r="BI84" s="1"/>
      <c r="BJ84" s="1"/>
      <c r="BK84" s="8"/>
    </row>
    <row r="85" spans="1:63">
      <c r="A85" s="49"/>
      <c r="B85" s="7" t="s">
        <v>18</v>
      </c>
      <c r="C85" s="17">
        <v>0.25</v>
      </c>
      <c r="D85" s="7">
        <v>27</v>
      </c>
      <c r="E85" s="1">
        <v>0.241609534438775</v>
      </c>
      <c r="F85" s="1">
        <v>40.7159377441046</v>
      </c>
      <c r="G85" s="1">
        <v>0.98719573081206402</v>
      </c>
      <c r="H85" s="1">
        <v>18.926452041306799</v>
      </c>
      <c r="I85" s="1">
        <v>43.898551006895801</v>
      </c>
      <c r="J85" s="1">
        <v>0.98999049092995095</v>
      </c>
      <c r="K85" s="8">
        <v>19.995872225603801</v>
      </c>
      <c r="L85" s="7">
        <v>23</v>
      </c>
      <c r="M85" s="1">
        <v>0.22072013180272099</v>
      </c>
      <c r="N85" s="1">
        <v>40.931949335236801</v>
      </c>
      <c r="O85" s="1">
        <v>0.98827388464239596</v>
      </c>
      <c r="P85" s="1">
        <v>19.308458376862401</v>
      </c>
      <c r="Q85" s="1">
        <v>44.178225949940298</v>
      </c>
      <c r="R85" s="1">
        <v>0.99029523938517905</v>
      </c>
      <c r="S85" s="8">
        <v>20.130151727892301</v>
      </c>
      <c r="T85" s="7"/>
      <c r="U85" s="1"/>
      <c r="V85" s="1"/>
      <c r="W85" s="8"/>
      <c r="X85" s="7"/>
      <c r="Y85" s="1"/>
      <c r="Z85" s="1"/>
      <c r="AA85" s="8"/>
      <c r="AB85" s="7">
        <v>32</v>
      </c>
      <c r="AC85" s="1">
        <v>0.16903140943877501</v>
      </c>
      <c r="AD85" s="1">
        <v>40.5655317485013</v>
      </c>
      <c r="AE85" s="1">
        <v>0.98709617111949599</v>
      </c>
      <c r="AF85" s="1">
        <v>18.892814048213399</v>
      </c>
      <c r="AG85" s="1">
        <v>43.7761393897052</v>
      </c>
      <c r="AH85" s="1">
        <v>0.98863950375867204</v>
      </c>
      <c r="AI85" s="1">
        <v>19.446026976599398</v>
      </c>
      <c r="AJ85" s="1">
        <v>458.92284750938398</v>
      </c>
      <c r="AK85" s="1">
        <v>283.405433893203</v>
      </c>
      <c r="AL85" s="7"/>
      <c r="AM85" s="1"/>
      <c r="AN85" s="1"/>
      <c r="AO85" s="8"/>
      <c r="AP85" s="1"/>
      <c r="AQ85" s="1"/>
      <c r="AR85" s="1"/>
      <c r="AS85" s="8"/>
      <c r="AT85" s="7">
        <v>0.32</v>
      </c>
      <c r="AU85" s="1">
        <v>0.193784810799319</v>
      </c>
      <c r="AV85" s="1">
        <v>39.847507467516003</v>
      </c>
      <c r="AW85" s="1">
        <v>0.99005213122615299</v>
      </c>
      <c r="AX85" s="1">
        <v>20.0226995230942</v>
      </c>
      <c r="AY85" s="1">
        <v>43.055255328176102</v>
      </c>
      <c r="AZ85" s="1">
        <v>0.99125489925347099</v>
      </c>
      <c r="BA85" s="1">
        <v>20.582351829366601</v>
      </c>
      <c r="BB85" s="1">
        <v>906.60341858863796</v>
      </c>
      <c r="BC85" s="1">
        <v>547.07053637504498</v>
      </c>
      <c r="BD85" s="7"/>
      <c r="BE85" s="1"/>
      <c r="BF85" s="1"/>
      <c r="BG85" s="8"/>
      <c r="BH85" s="1"/>
      <c r="BI85" s="1"/>
      <c r="BJ85" s="1"/>
      <c r="BK85" s="8"/>
    </row>
    <row r="86" spans="1:63">
      <c r="A86" s="49"/>
      <c r="B86" s="7" t="s">
        <v>18</v>
      </c>
      <c r="C86" s="17">
        <v>0.12</v>
      </c>
      <c r="D86" s="7">
        <v>33</v>
      </c>
      <c r="E86" s="1">
        <v>0.107431972789115</v>
      </c>
      <c r="F86" s="1">
        <v>38.6946171760775</v>
      </c>
      <c r="G86" s="1">
        <v>0.97803845748826401</v>
      </c>
      <c r="H86" s="1">
        <v>16.583371596313899</v>
      </c>
      <c r="I86" s="1">
        <v>41.796970551726602</v>
      </c>
      <c r="J86" s="1">
        <v>0.98236883236644401</v>
      </c>
      <c r="K86" s="8">
        <v>17.537189253627101</v>
      </c>
      <c r="L86" s="7">
        <v>28</v>
      </c>
      <c r="M86" s="1">
        <v>0.112205303996598</v>
      </c>
      <c r="N86" s="1">
        <v>39.432516538623602</v>
      </c>
      <c r="O86" s="1">
        <v>0.98257451716145305</v>
      </c>
      <c r="P86" s="1">
        <v>17.5881517930104</v>
      </c>
      <c r="Q86" s="1">
        <v>42.674077468300901</v>
      </c>
      <c r="R86" s="1">
        <v>0.98506082107329995</v>
      </c>
      <c r="S86" s="8">
        <v>18.256732711553202</v>
      </c>
      <c r="T86" s="7"/>
      <c r="U86" s="1"/>
      <c r="V86" s="1"/>
      <c r="W86" s="8"/>
      <c r="X86" s="7"/>
      <c r="Y86" s="1"/>
      <c r="Z86" s="1"/>
      <c r="AA86" s="8"/>
      <c r="AB86" s="7">
        <v>16</v>
      </c>
      <c r="AC86" s="1">
        <v>0.111833280187074</v>
      </c>
      <c r="AD86" s="1">
        <v>39.458163623275098</v>
      </c>
      <c r="AE86" s="1">
        <v>0.98281358405413399</v>
      </c>
      <c r="AF86" s="1">
        <v>17.648146816155698</v>
      </c>
      <c r="AG86" s="1">
        <v>42.598812353508102</v>
      </c>
      <c r="AH86" s="1">
        <v>0.98469415143713102</v>
      </c>
      <c r="AI86" s="1">
        <v>18.151425879251601</v>
      </c>
      <c r="AJ86" s="1">
        <v>474.98666882514902</v>
      </c>
      <c r="AK86" s="1">
        <v>351.319836616516</v>
      </c>
      <c r="AL86" s="7"/>
      <c r="AM86" s="1"/>
      <c r="AN86" s="1"/>
      <c r="AO86" s="8"/>
      <c r="AP86" s="1"/>
      <c r="AQ86" s="1"/>
      <c r="AR86" s="1"/>
      <c r="AS86" s="8"/>
      <c r="AT86" s="7">
        <v>0.16</v>
      </c>
      <c r="AU86" s="1">
        <v>0.129271099064625</v>
      </c>
      <c r="AV86" s="1">
        <v>38.654435422795601</v>
      </c>
      <c r="AW86" s="1">
        <v>0.98675724693658096</v>
      </c>
      <c r="AX86" s="1">
        <v>18.7802171912892</v>
      </c>
      <c r="AY86" s="1">
        <v>41.573884160927399</v>
      </c>
      <c r="AZ86" s="1">
        <v>0.98836880005932903</v>
      </c>
      <c r="BA86" s="1">
        <v>19.343754786739801</v>
      </c>
      <c r="BB86" s="1">
        <v>509.97583889961197</v>
      </c>
      <c r="BC86" s="1">
        <v>383.795160531997</v>
      </c>
      <c r="BD86" s="7"/>
      <c r="BE86" s="1"/>
      <c r="BF86" s="1"/>
      <c r="BG86" s="8"/>
      <c r="BH86" s="1"/>
      <c r="BI86" s="1"/>
      <c r="BJ86" s="1"/>
      <c r="BK86" s="8"/>
    </row>
    <row r="87" spans="1:63">
      <c r="A87" s="49"/>
      <c r="B87" s="7" t="s">
        <v>18</v>
      </c>
      <c r="C87" s="17">
        <v>0.06</v>
      </c>
      <c r="D87" s="7">
        <v>37</v>
      </c>
      <c r="E87" s="1">
        <v>5.9023703231292503E-2</v>
      </c>
      <c r="F87" s="1">
        <v>37.142686805916398</v>
      </c>
      <c r="G87" s="1">
        <v>0.96800806487978097</v>
      </c>
      <c r="H87" s="1">
        <v>14.949594896247</v>
      </c>
      <c r="I87" s="1">
        <v>40.217263173635601</v>
      </c>
      <c r="J87" s="1">
        <v>0.97301827325368195</v>
      </c>
      <c r="K87" s="8">
        <v>15.689302602830599</v>
      </c>
      <c r="L87" s="7">
        <v>33</v>
      </c>
      <c r="M87" s="1">
        <v>5.4196162840136002E-2</v>
      </c>
      <c r="N87" s="1">
        <v>37.619995243085498</v>
      </c>
      <c r="O87" s="1">
        <v>0.97232096949075997</v>
      </c>
      <c r="P87" s="1">
        <v>15.578491256264501</v>
      </c>
      <c r="Q87" s="1">
        <v>40.870672112832899</v>
      </c>
      <c r="R87" s="1">
        <v>0.97503236519856595</v>
      </c>
      <c r="S87" s="8">
        <v>16.0262259666898</v>
      </c>
      <c r="T87" s="7"/>
      <c r="U87" s="1"/>
      <c r="V87" s="1"/>
      <c r="W87" s="8"/>
      <c r="X87" s="7"/>
      <c r="Y87" s="1"/>
      <c r="Z87" s="1"/>
      <c r="AA87" s="8"/>
      <c r="AB87" s="7">
        <v>4</v>
      </c>
      <c r="AC87" s="1">
        <v>5.0163956207482902E-2</v>
      </c>
      <c r="AD87" s="1">
        <v>37.0934559419103</v>
      </c>
      <c r="AE87" s="1">
        <v>0.96986626609247295</v>
      </c>
      <c r="AF87" s="1">
        <v>15.209470510361401</v>
      </c>
      <c r="AG87" s="1">
        <v>40.002910822572098</v>
      </c>
      <c r="AH87" s="1">
        <v>0.97204218802918996</v>
      </c>
      <c r="AI87" s="1">
        <v>15.534968202720799</v>
      </c>
      <c r="AJ87" s="1">
        <v>478.59385442733702</v>
      </c>
      <c r="AK87" s="1">
        <v>369.38256764411898</v>
      </c>
      <c r="AL87" s="7"/>
      <c r="AM87" s="1"/>
      <c r="AN87" s="1"/>
      <c r="AO87" s="8"/>
      <c r="AP87" s="1"/>
      <c r="AQ87" s="1"/>
      <c r="AR87" s="1"/>
      <c r="AS87" s="8"/>
      <c r="AT87" s="7">
        <v>0.04</v>
      </c>
      <c r="AU87" s="1">
        <v>6.3379304846938697E-2</v>
      </c>
      <c r="AV87" s="1">
        <v>34.710376074552798</v>
      </c>
      <c r="AW87" s="1">
        <v>0.97553056756177803</v>
      </c>
      <c r="AX87" s="1">
        <v>16.113761038728502</v>
      </c>
      <c r="AY87" s="1">
        <v>37.729428762287597</v>
      </c>
      <c r="AZ87" s="1">
        <v>0.97870433440777604</v>
      </c>
      <c r="BA87" s="1">
        <v>16.717087815816701</v>
      </c>
      <c r="BB87" s="1">
        <v>425.83770871162397</v>
      </c>
      <c r="BC87" s="1">
        <v>307.164784908294</v>
      </c>
      <c r="BD87" s="7"/>
      <c r="BE87" s="1"/>
      <c r="BF87" s="1"/>
      <c r="BG87" s="8"/>
      <c r="BH87" s="1"/>
      <c r="BI87" s="1"/>
      <c r="BJ87" s="1"/>
      <c r="BK87" s="8"/>
    </row>
    <row r="88" spans="1:63">
      <c r="A88" s="49"/>
      <c r="B88" s="7" t="s">
        <v>33</v>
      </c>
      <c r="C88" s="17">
        <v>1.5</v>
      </c>
      <c r="D88" s="7">
        <v>15</v>
      </c>
      <c r="E88" s="1">
        <v>1.4083196288977</v>
      </c>
      <c r="F88" s="1">
        <v>48.085388368556899</v>
      </c>
      <c r="G88" s="1">
        <v>0.99797794724574895</v>
      </c>
      <c r="H88" s="1">
        <v>26.942075180916</v>
      </c>
      <c r="I88" s="1">
        <v>51.3462297391224</v>
      </c>
      <c r="J88" s="1">
        <v>0.99896404127073102</v>
      </c>
      <c r="K88" s="8">
        <v>29.8465754575695</v>
      </c>
      <c r="L88" s="7">
        <v>12</v>
      </c>
      <c r="M88" s="1">
        <v>1.3918515613843501</v>
      </c>
      <c r="N88" s="1">
        <v>48.272545343707499</v>
      </c>
      <c r="O88" s="1">
        <v>0.99820405516103095</v>
      </c>
      <c r="P88" s="1">
        <v>27.457070064768399</v>
      </c>
      <c r="Q88" s="1">
        <v>51.613012201747999</v>
      </c>
      <c r="R88" s="1">
        <v>0.99905309773920103</v>
      </c>
      <c r="S88" s="8">
        <v>30.236948465370599</v>
      </c>
      <c r="T88" s="13">
        <f>bdrate(E88:E91,F88:F91,M88:M91,N88:N91)</f>
        <v>-0.15773394493780934</v>
      </c>
      <c r="U88" s="12">
        <f>bdrate(E88:E91,H88:H91,M88:M91,P88:P91)</f>
        <v>-0.190917698592726</v>
      </c>
      <c r="V88" s="12">
        <f>bdrate(E88:E91,I88:I91,M88:M91,Q88:Q91)</f>
        <v>-0.16259511971784824</v>
      </c>
      <c r="W88" s="14">
        <f>bdrate(E88:E91,K88:K91,M88:M91,S88:S91)</f>
        <v>-0.12731364917745269</v>
      </c>
      <c r="X88" s="13">
        <f>bdrate(E90:E93,F90:F93,M90:M93,N90:N93)</f>
        <v>-0.2973689078224353</v>
      </c>
      <c r="Y88" s="12">
        <f>bdrate(E90:E93,H90:H93,M90:M93,P90:P93)</f>
        <v>-0.30158042174410493</v>
      </c>
      <c r="Z88" s="12">
        <f>bdrate(E90:E93,I90:I93,M90:M93,Q90:Q93)</f>
        <v>-0.31271411182825015</v>
      </c>
      <c r="AA88" s="14">
        <f>bdrate(E90:E93,K90:K93,M90:M93,S90:S93)</f>
        <v>-0.23367431736174915</v>
      </c>
      <c r="AB88" s="7">
        <v>256</v>
      </c>
      <c r="AC88" s="1">
        <v>0.73870103831253398</v>
      </c>
      <c r="AD88" s="1">
        <v>45.867934884797201</v>
      </c>
      <c r="AE88" s="1">
        <v>0.99728624688891998</v>
      </c>
      <c r="AF88" s="1">
        <v>25.664296656567601</v>
      </c>
      <c r="AG88" s="1">
        <v>48.804170215220203</v>
      </c>
      <c r="AH88" s="1">
        <v>0.99771915464514505</v>
      </c>
      <c r="AI88" s="1">
        <v>26.4190415962033</v>
      </c>
      <c r="AJ88" s="1">
        <v>936.71466183662403</v>
      </c>
      <c r="AK88" s="1">
        <v>484.86951684951703</v>
      </c>
      <c r="AL88" s="13">
        <f>bdrate(E88:E91,F88:F91,AC88:AC91,AD88:AD91)</f>
        <v>-0.1706730759058912</v>
      </c>
      <c r="AM88" s="12">
        <f>bdrate(E88:E91,H88:H91,AC88:AC91,AF88:AF91)</f>
        <v>-0.31400896295554481</v>
      </c>
      <c r="AN88" s="12">
        <f>bdrate(E88:E91,I88:I91,AC88:AC91,AG88:AG91)</f>
        <v>-0.16147772700546692</v>
      </c>
      <c r="AO88" s="14">
        <f>bdrate(E88:E91,K88:K91,AC88:AC91,AI88:AI91)</f>
        <v>-0.16509258801071969</v>
      </c>
      <c r="AP88" s="12">
        <f>bdrate(E90:E93,F90:F93,AC90:AC93,AD90:AD93)</f>
        <v>-0.19932971748460748</v>
      </c>
      <c r="AQ88" s="12">
        <f>bdrate(E90:E93,H90:H93,AC90:AC93,AF90:AF93)</f>
        <v>-0.30079230185571271</v>
      </c>
      <c r="AR88" s="12">
        <f>bdrate(E90:E93,I90:I93,AC90:AC93,AG90:AG93)</f>
        <v>-0.19807558191659425</v>
      </c>
      <c r="AS88" s="14">
        <f>bdrate(E90:E93,K90:K93,AC90:AC93,AI90:AI93)</f>
        <v>-0.19300081864358354</v>
      </c>
      <c r="AT88" s="7">
        <v>6.4</v>
      </c>
      <c r="AU88" s="1">
        <v>0.82358446999534696</v>
      </c>
      <c r="AV88" s="1">
        <v>43.345257003968399</v>
      </c>
      <c r="AW88" s="1">
        <v>0.99888218021043795</v>
      </c>
      <c r="AX88" s="1">
        <v>29.5162820602689</v>
      </c>
      <c r="AY88" s="1">
        <v>46.522303859969902</v>
      </c>
      <c r="AZ88" s="1">
        <v>0.99913425181309401</v>
      </c>
      <c r="BA88" s="1">
        <v>30.626084092992599</v>
      </c>
      <c r="BB88" s="1">
        <v>1719.7385468482901</v>
      </c>
      <c r="BC88" s="1">
        <v>476.519342899322</v>
      </c>
      <c r="BD88" s="13">
        <f>bdrate(E88:E91,F88:F91,AU88:AU91,AV88:AV91)</f>
        <v>0.9833900095685113</v>
      </c>
      <c r="BE88" s="12">
        <f>bdrate(E88:E91,H88:H91,AU88:AU91,AX88:AX91)</f>
        <v>-0.61391984964008517</v>
      </c>
      <c r="BF88" s="12">
        <f>bdrate(E88:E91,I88:I91,AU88:AU91,AY88:AY91)</f>
        <v>0.9060680332734119</v>
      </c>
      <c r="BG88" s="14">
        <f>bdrate(E88:E91,K88:K91,AU88:AU91,BA88:BA91)</f>
        <v>-0.50609904166231701</v>
      </c>
      <c r="BH88" s="12">
        <f>bdrate(E90:E93,F90:F93,AU90:AU93,AV90:AV93)</f>
        <v>0.51882850120544899</v>
      </c>
      <c r="BI88" s="12">
        <f>bdrate(E90:E93,H90:H93,AU90:AU93,AX90:AX93)</f>
        <v>-0.54690744143874026</v>
      </c>
      <c r="BJ88" s="12">
        <f>bdrate(E90:E93,I90:I93,AU90:AU93,AY90:AY93)</f>
        <v>0.47273957830813629</v>
      </c>
      <c r="BK88" s="14">
        <f>bdrate(E90:E93,K90:K93,AU90:AU93,BA90:BA93)</f>
        <v>-0.49088588162329894</v>
      </c>
    </row>
    <row r="89" spans="1:63">
      <c r="A89" s="49"/>
      <c r="B89" s="7" t="s">
        <v>18</v>
      </c>
      <c r="C89" s="17">
        <v>1</v>
      </c>
      <c r="D89" s="7">
        <v>18</v>
      </c>
      <c r="E89" s="1">
        <v>0.97379458548112896</v>
      </c>
      <c r="F89" s="1">
        <v>46.414859502565101</v>
      </c>
      <c r="G89" s="1">
        <v>0.99706941886121803</v>
      </c>
      <c r="H89" s="1">
        <v>25.330462498370199</v>
      </c>
      <c r="I89" s="1">
        <v>49.5195169440507</v>
      </c>
      <c r="J89" s="1">
        <v>0.99816804360065503</v>
      </c>
      <c r="K89" s="8">
        <v>27.370848667758398</v>
      </c>
      <c r="L89" s="7">
        <v>16</v>
      </c>
      <c r="M89" s="1">
        <v>0.87819491853346399</v>
      </c>
      <c r="N89" s="1">
        <v>46.437063858544398</v>
      </c>
      <c r="O89" s="1">
        <v>0.99724389032080696</v>
      </c>
      <c r="P89" s="1">
        <v>25.597035037019499</v>
      </c>
      <c r="Q89" s="1">
        <v>49.565266309313799</v>
      </c>
      <c r="R89" s="1">
        <v>0.99817303267705504</v>
      </c>
      <c r="S89" s="8">
        <v>27.382692203496902</v>
      </c>
      <c r="T89" s="7"/>
      <c r="U89" s="1"/>
      <c r="V89" s="1"/>
      <c r="W89" s="8"/>
      <c r="X89" s="7"/>
      <c r="Y89" s="1"/>
      <c r="Z89" s="1"/>
      <c r="AA89" s="8"/>
      <c r="AB89" s="7">
        <v>128</v>
      </c>
      <c r="AC89" s="1">
        <v>0.457534963585356</v>
      </c>
      <c r="AD89" s="1">
        <v>44.2954309835525</v>
      </c>
      <c r="AE89" s="1">
        <v>0.99594709105884704</v>
      </c>
      <c r="AF89" s="1">
        <v>23.922331536723402</v>
      </c>
      <c r="AG89" s="1">
        <v>47.3089021918111</v>
      </c>
      <c r="AH89" s="1">
        <v>0.99651045818796202</v>
      </c>
      <c r="AI89" s="1">
        <v>24.572315935471899</v>
      </c>
      <c r="AJ89" s="1">
        <v>1155.21256208419</v>
      </c>
      <c r="AK89" s="1">
        <v>509.58310341834999</v>
      </c>
      <c r="AL89" s="7"/>
      <c r="AM89" s="1"/>
      <c r="AN89" s="1"/>
      <c r="AO89" s="8"/>
      <c r="AP89" s="1"/>
      <c r="AQ89" s="1"/>
      <c r="AR89" s="1"/>
      <c r="AS89" s="8"/>
      <c r="AT89" s="7">
        <v>3.2</v>
      </c>
      <c r="AU89" s="1">
        <v>0.63970146211356904</v>
      </c>
      <c r="AV89" s="1">
        <v>42.013885313388201</v>
      </c>
      <c r="AW89" s="1">
        <v>0.99841565855343795</v>
      </c>
      <c r="AX89" s="1">
        <v>28.001512164477401</v>
      </c>
      <c r="AY89" s="1">
        <v>45.230364140171503</v>
      </c>
      <c r="AZ89" s="1">
        <v>0.99875698880623398</v>
      </c>
      <c r="BA89" s="1">
        <v>29.055249603618599</v>
      </c>
      <c r="BB89" s="1">
        <v>1254.79912829399</v>
      </c>
      <c r="BC89" s="1">
        <v>487.16493248939503</v>
      </c>
      <c r="BD89" s="7"/>
      <c r="BE89" s="1"/>
      <c r="BF89" s="1"/>
      <c r="BG89" s="8"/>
      <c r="BH89" s="1"/>
      <c r="BI89" s="1"/>
      <c r="BJ89" s="1"/>
      <c r="BK89" s="8"/>
    </row>
    <row r="90" spans="1:63">
      <c r="A90" s="49"/>
      <c r="B90" s="7" t="s">
        <v>18</v>
      </c>
      <c r="C90" s="17">
        <v>0.5</v>
      </c>
      <c r="D90" s="7">
        <v>23</v>
      </c>
      <c r="E90" s="1">
        <v>0.47904948798385799</v>
      </c>
      <c r="F90" s="1">
        <v>43.674697431172802</v>
      </c>
      <c r="G90" s="1">
        <v>0.99456211995118504</v>
      </c>
      <c r="H90" s="1">
        <v>22.645703765043699</v>
      </c>
      <c r="I90" s="1">
        <v>46.732030427785901</v>
      </c>
      <c r="J90" s="1">
        <v>0.99600927997317101</v>
      </c>
      <c r="K90" s="8">
        <v>23.989487395345201</v>
      </c>
      <c r="L90" s="7">
        <v>20</v>
      </c>
      <c r="M90" s="1">
        <v>0.47232078283421502</v>
      </c>
      <c r="N90" s="1">
        <v>44.3759596927977</v>
      </c>
      <c r="O90" s="1">
        <v>0.99543446887511799</v>
      </c>
      <c r="P90" s="1">
        <v>23.405086921301699</v>
      </c>
      <c r="Q90" s="1">
        <v>47.468001194628499</v>
      </c>
      <c r="R90" s="1">
        <v>0.99651860449106799</v>
      </c>
      <c r="S90" s="8">
        <v>24.5824663526523</v>
      </c>
      <c r="T90" s="7"/>
      <c r="U90" s="1"/>
      <c r="V90" s="1"/>
      <c r="W90" s="8"/>
      <c r="X90" s="7"/>
      <c r="Y90" s="1"/>
      <c r="Z90" s="1"/>
      <c r="AA90" s="8"/>
      <c r="AB90" s="7">
        <v>64</v>
      </c>
      <c r="AC90" s="1">
        <v>0.33016087164817098</v>
      </c>
      <c r="AD90" s="1">
        <v>42.864641746578499</v>
      </c>
      <c r="AE90" s="1">
        <v>0.99452093838218203</v>
      </c>
      <c r="AF90" s="1">
        <v>22.612938154390601</v>
      </c>
      <c r="AG90" s="1">
        <v>45.902251517110201</v>
      </c>
      <c r="AH90" s="1">
        <v>0.99528815189897901</v>
      </c>
      <c r="AI90" s="1">
        <v>23.268087186351501</v>
      </c>
      <c r="AJ90" s="1">
        <v>1322.7178351879099</v>
      </c>
      <c r="AK90" s="1">
        <v>442.42766642570399</v>
      </c>
      <c r="AL90" s="7"/>
      <c r="AM90" s="1"/>
      <c r="AN90" s="1"/>
      <c r="AO90" s="8"/>
      <c r="AP90" s="1"/>
      <c r="AQ90" s="1"/>
      <c r="AR90" s="1"/>
      <c r="AS90" s="8"/>
      <c r="AT90" s="7">
        <v>1.28</v>
      </c>
      <c r="AU90" s="1">
        <v>0.40744294808897902</v>
      </c>
      <c r="AV90" s="1">
        <v>40.286801967080201</v>
      </c>
      <c r="AW90" s="1">
        <v>0.99730306505668098</v>
      </c>
      <c r="AX90" s="1">
        <v>25.691295296681002</v>
      </c>
      <c r="AY90" s="1">
        <v>43.547601343512</v>
      </c>
      <c r="AZ90" s="1">
        <v>0.99776734108281795</v>
      </c>
      <c r="BA90" s="1">
        <v>26.5117761893489</v>
      </c>
      <c r="BB90" s="1">
        <v>1094.9745361804901</v>
      </c>
      <c r="BC90" s="1">
        <v>397.06390023231501</v>
      </c>
      <c r="BD90" s="7"/>
      <c r="BE90" s="1"/>
      <c r="BF90" s="1"/>
      <c r="BG90" s="8"/>
      <c r="BH90" s="1"/>
      <c r="BI90" s="1"/>
      <c r="BJ90" s="1"/>
      <c r="BK90" s="8"/>
    </row>
    <row r="91" spans="1:63">
      <c r="A91" s="49"/>
      <c r="B91" s="7" t="s">
        <v>18</v>
      </c>
      <c r="C91" s="17">
        <v>0.25</v>
      </c>
      <c r="D91" s="7">
        <v>29</v>
      </c>
      <c r="E91" s="1">
        <v>0.24038904474325401</v>
      </c>
      <c r="F91" s="1">
        <v>40.859317272776103</v>
      </c>
      <c r="G91" s="1">
        <v>0.99012655394010096</v>
      </c>
      <c r="H91" s="1">
        <v>20.055312421030699</v>
      </c>
      <c r="I91" s="1">
        <v>43.9168638392457</v>
      </c>
      <c r="J91" s="1">
        <v>0.99251470916072504</v>
      </c>
      <c r="K91" s="8">
        <v>21.2579132057968</v>
      </c>
      <c r="L91" s="7">
        <v>26</v>
      </c>
      <c r="M91" s="1">
        <v>0.22916954574978199</v>
      </c>
      <c r="N91" s="1">
        <v>41.954881362960499</v>
      </c>
      <c r="O91" s="1">
        <v>0.99223996877309195</v>
      </c>
      <c r="P91" s="1">
        <v>21.1013653110695</v>
      </c>
      <c r="Q91" s="1">
        <v>45.085133372874701</v>
      </c>
      <c r="R91" s="1">
        <v>0.99373201108668996</v>
      </c>
      <c r="S91" s="8">
        <v>22.0287178037396</v>
      </c>
      <c r="T91" s="7"/>
      <c r="U91" s="1"/>
      <c r="V91" s="1"/>
      <c r="W91" s="8"/>
      <c r="X91" s="7"/>
      <c r="Y91" s="1"/>
      <c r="Z91" s="1"/>
      <c r="AA91" s="8"/>
      <c r="AB91" s="7">
        <v>32</v>
      </c>
      <c r="AC91" s="1">
        <v>0.22612808234638301</v>
      </c>
      <c r="AD91" s="1">
        <v>41.522303089143399</v>
      </c>
      <c r="AE91" s="1">
        <v>0.99253298689816105</v>
      </c>
      <c r="AF91" s="1">
        <v>21.268530866453499</v>
      </c>
      <c r="AG91" s="1">
        <v>44.575061553657299</v>
      </c>
      <c r="AH91" s="1">
        <v>0.99357494319266804</v>
      </c>
      <c r="AI91" s="1">
        <v>21.9212302815207</v>
      </c>
      <c r="AJ91" s="1">
        <v>573.73535275459199</v>
      </c>
      <c r="AK91" s="1">
        <v>258.199903964996</v>
      </c>
      <c r="AL91" s="7"/>
      <c r="AM91" s="1"/>
      <c r="AN91" s="1"/>
      <c r="AO91" s="8"/>
      <c r="AP91" s="1"/>
      <c r="AQ91" s="1"/>
      <c r="AR91" s="1"/>
      <c r="AS91" s="8"/>
      <c r="AT91" s="7">
        <v>0.64</v>
      </c>
      <c r="AU91" s="1">
        <v>0.255703175743839</v>
      </c>
      <c r="AV91" s="1">
        <v>38.886730148477398</v>
      </c>
      <c r="AW91" s="1">
        <v>0.99577079530146695</v>
      </c>
      <c r="AX91" s="1">
        <v>23.737412939753799</v>
      </c>
      <c r="AY91" s="1">
        <v>42.143567733008297</v>
      </c>
      <c r="AZ91" s="1">
        <v>0.99641943460626803</v>
      </c>
      <c r="BA91" s="1">
        <v>24.460483901187001</v>
      </c>
      <c r="BB91" s="1">
        <v>575.03248047828595</v>
      </c>
      <c r="BC91" s="1">
        <v>342.75329375267</v>
      </c>
      <c r="BD91" s="7"/>
      <c r="BE91" s="1"/>
      <c r="BF91" s="1"/>
      <c r="BG91" s="8"/>
      <c r="BH91" s="1"/>
      <c r="BI91" s="1"/>
      <c r="BJ91" s="1"/>
      <c r="BK91" s="8"/>
    </row>
    <row r="92" spans="1:63">
      <c r="A92" s="49"/>
      <c r="B92" s="7" t="s">
        <v>18</v>
      </c>
      <c r="C92" s="17">
        <v>0.12</v>
      </c>
      <c r="D92" s="7">
        <v>36</v>
      </c>
      <c r="E92" s="1">
        <v>0.111032416172616</v>
      </c>
      <c r="F92" s="1">
        <v>37.262128577649896</v>
      </c>
      <c r="G92" s="1">
        <v>0.97890154820396902</v>
      </c>
      <c r="H92" s="1">
        <v>16.757494120534702</v>
      </c>
      <c r="I92" s="1">
        <v>40.299040304960698</v>
      </c>
      <c r="J92" s="1">
        <v>0.98356375032695897</v>
      </c>
      <c r="K92" s="8">
        <v>17.8419727025755</v>
      </c>
      <c r="L92" s="7">
        <v>32</v>
      </c>
      <c r="M92" s="1">
        <v>0.11772282951682</v>
      </c>
      <c r="N92" s="1">
        <v>39.339487455661803</v>
      </c>
      <c r="O92" s="1">
        <v>0.98644971758023603</v>
      </c>
      <c r="P92" s="1">
        <v>18.6805165297652</v>
      </c>
      <c r="Q92" s="1">
        <v>42.495475649028997</v>
      </c>
      <c r="R92" s="1">
        <v>0.98858543622751405</v>
      </c>
      <c r="S92" s="8">
        <v>19.425406811796599</v>
      </c>
      <c r="T92" s="7"/>
      <c r="U92" s="1"/>
      <c r="V92" s="1"/>
      <c r="W92" s="8"/>
      <c r="X92" s="7"/>
      <c r="Y92" s="1"/>
      <c r="Z92" s="1"/>
      <c r="AA92" s="8"/>
      <c r="AB92" s="7">
        <v>8</v>
      </c>
      <c r="AC92" s="1">
        <v>0.118380124192129</v>
      </c>
      <c r="AD92" s="1">
        <v>38.702114871682802</v>
      </c>
      <c r="AE92" s="1">
        <v>0.98625376490587402</v>
      </c>
      <c r="AF92" s="1">
        <v>18.6181623286923</v>
      </c>
      <c r="AG92" s="1">
        <v>41.748551617152202</v>
      </c>
      <c r="AH92" s="1">
        <v>0.98783290132290402</v>
      </c>
      <c r="AI92" s="1">
        <v>19.148129697359501</v>
      </c>
      <c r="AJ92" s="1">
        <v>363.963971853256</v>
      </c>
      <c r="AK92" s="1">
        <v>226.70157527923499</v>
      </c>
      <c r="AL92" s="7"/>
      <c r="AM92" s="1"/>
      <c r="AN92" s="1"/>
      <c r="AO92" s="8"/>
      <c r="AP92" s="1"/>
      <c r="AQ92" s="1"/>
      <c r="AR92" s="1"/>
      <c r="AS92" s="8"/>
      <c r="AT92" s="7">
        <v>0.16</v>
      </c>
      <c r="AU92" s="1">
        <v>0.128755188107774</v>
      </c>
      <c r="AV92" s="1">
        <v>36.232861139278398</v>
      </c>
      <c r="AW92" s="1">
        <v>0.99143830370170805</v>
      </c>
      <c r="AX92" s="1">
        <v>20.674401815840799</v>
      </c>
      <c r="AY92" s="1">
        <v>39.377673938405202</v>
      </c>
      <c r="AZ92" s="1">
        <v>0.99273979146379199</v>
      </c>
      <c r="BA92" s="1">
        <v>21.3905090480628</v>
      </c>
      <c r="BB92" s="1">
        <v>502.524253368377</v>
      </c>
      <c r="BC92" s="1">
        <v>351.288892745971</v>
      </c>
      <c r="BD92" s="7"/>
      <c r="BE92" s="1"/>
      <c r="BF92" s="1"/>
      <c r="BG92" s="8"/>
      <c r="BH92" s="1"/>
      <c r="BI92" s="1"/>
      <c r="BJ92" s="1"/>
      <c r="BK92" s="8"/>
    </row>
    <row r="93" spans="1:63">
      <c r="A93" s="49"/>
      <c r="B93" s="7" t="s">
        <v>18</v>
      </c>
      <c r="C93" s="17">
        <v>0.06</v>
      </c>
      <c r="D93" s="7">
        <v>42</v>
      </c>
      <c r="E93" s="1">
        <v>5.52424072820073E-2</v>
      </c>
      <c r="F93" s="1">
        <v>33.892879630095202</v>
      </c>
      <c r="G93" s="1">
        <v>0.95705579939492902</v>
      </c>
      <c r="H93" s="1">
        <v>13.6709547712433</v>
      </c>
      <c r="I93" s="1">
        <v>36.916874136400899</v>
      </c>
      <c r="J93" s="1">
        <v>0.96467095829111205</v>
      </c>
      <c r="K93" s="8">
        <v>14.518681425307999</v>
      </c>
      <c r="L93" s="7">
        <v>38</v>
      </c>
      <c r="M93" s="1">
        <v>5.9479841811657198E-2</v>
      </c>
      <c r="N93" s="1">
        <v>36.2721404031238</v>
      </c>
      <c r="O93" s="1">
        <v>0.97361934129377303</v>
      </c>
      <c r="P93" s="1">
        <v>15.787143646309</v>
      </c>
      <c r="Q93" s="1">
        <v>39.431888953686602</v>
      </c>
      <c r="R93" s="1">
        <v>0.97670800489597198</v>
      </c>
      <c r="S93" s="8">
        <v>16.327933098526099</v>
      </c>
      <c r="T93" s="7"/>
      <c r="U93" s="1"/>
      <c r="V93" s="1"/>
      <c r="W93" s="8"/>
      <c r="X93" s="7"/>
      <c r="Y93" s="1"/>
      <c r="Z93" s="1"/>
      <c r="AA93" s="8"/>
      <c r="AB93" s="7">
        <v>2</v>
      </c>
      <c r="AC93" s="1">
        <v>6.0183489725128103E-2</v>
      </c>
      <c r="AD93" s="1">
        <v>35.2765498142642</v>
      </c>
      <c r="AE93" s="1">
        <v>0.97129864969202595</v>
      </c>
      <c r="AF93" s="1">
        <v>15.420976706002699</v>
      </c>
      <c r="AG93" s="1">
        <v>38.272072066861</v>
      </c>
      <c r="AH93" s="1">
        <v>0.97388589773260503</v>
      </c>
      <c r="AI93" s="1">
        <v>15.8312489944667</v>
      </c>
      <c r="AJ93" s="1">
        <v>801.86011171340897</v>
      </c>
      <c r="AK93" s="1">
        <v>458.16989493369999</v>
      </c>
      <c r="AL93" s="7"/>
      <c r="AM93" s="1"/>
      <c r="AN93" s="1"/>
      <c r="AO93" s="8"/>
      <c r="AP93" s="1"/>
      <c r="AQ93" s="1"/>
      <c r="AR93" s="1"/>
      <c r="AS93" s="8"/>
      <c r="AT93" s="7">
        <v>0.04</v>
      </c>
      <c r="AU93" s="1">
        <v>6.2020344752928599E-2</v>
      </c>
      <c r="AV93" s="1">
        <v>33.058686004449001</v>
      </c>
      <c r="AW93" s="1">
        <v>0.98281939869639201</v>
      </c>
      <c r="AX93" s="1">
        <v>17.649616403727201</v>
      </c>
      <c r="AY93" s="1">
        <v>36.054930771054998</v>
      </c>
      <c r="AZ93" s="1">
        <v>0.98535346347159403</v>
      </c>
      <c r="BA93" s="1">
        <v>18.342650609366899</v>
      </c>
      <c r="BB93" s="1">
        <v>410.31771421432398</v>
      </c>
      <c r="BC93" s="1">
        <v>295.371683359146</v>
      </c>
      <c r="BD93" s="7"/>
      <c r="BE93" s="1"/>
      <c r="BF93" s="1"/>
      <c r="BG93" s="8"/>
      <c r="BH93" s="1"/>
      <c r="BI93" s="1"/>
      <c r="BJ93" s="1"/>
      <c r="BK93" s="8"/>
    </row>
    <row r="94" spans="1:63">
      <c r="A94" s="49"/>
      <c r="B94" s="7" t="s">
        <v>34</v>
      </c>
      <c r="C94" s="17">
        <v>1.5</v>
      </c>
      <c r="D94" s="7">
        <v>21</v>
      </c>
      <c r="E94" s="1">
        <v>1.4259719072814301</v>
      </c>
      <c r="F94" s="1">
        <v>42.646399687490998</v>
      </c>
      <c r="G94" s="1">
        <v>0.99530240289570104</v>
      </c>
      <c r="H94" s="1">
        <v>23.281242338085999</v>
      </c>
      <c r="I94" s="1">
        <v>45.737492228751002</v>
      </c>
      <c r="J94" s="1">
        <v>0.99702712016232597</v>
      </c>
      <c r="K94" s="8">
        <v>25.2682264440752</v>
      </c>
      <c r="L94" s="7">
        <v>19</v>
      </c>
      <c r="M94" s="1">
        <v>1.3181248425295999</v>
      </c>
      <c r="N94" s="1">
        <v>42.957703014480998</v>
      </c>
      <c r="O94" s="1">
        <v>0.99558940072936197</v>
      </c>
      <c r="P94" s="1">
        <v>23.5550239868418</v>
      </c>
      <c r="Q94" s="1">
        <v>46.128587392922299</v>
      </c>
      <c r="R94" s="1">
        <v>0.99719742736819605</v>
      </c>
      <c r="S94" s="8">
        <v>25.5244312336002</v>
      </c>
      <c r="T94" s="13">
        <f>bdrate(E94:E97,F94:F97,M94:M97,N94:N97)</f>
        <v>-0.17873748642647136</v>
      </c>
      <c r="U94" s="12">
        <f>bdrate(E94:E97,H94:H97,M94:M97,P94:P97)</f>
        <v>-0.16003548008434965</v>
      </c>
      <c r="V94" s="12">
        <f>bdrate(E94:E97,I94:I97,M94:M97,Q94:Q97)</f>
        <v>-0.19049103854346161</v>
      </c>
      <c r="W94" s="14">
        <f>bdrate(E94:E97,K94:K97,M94:M97,S94:S97)</f>
        <v>-0.1436699542844081</v>
      </c>
      <c r="X94" s="13">
        <f>bdrate(E96:E99,F96:F99,M96:M99,N96:N99)</f>
        <v>-0.27012279048528098</v>
      </c>
      <c r="Y94" s="12">
        <f>bdrate(E96:E99,H96:H99,M96:M99,P96:P99)</f>
        <v>-0.23369446041586117</v>
      </c>
      <c r="Z94" s="12">
        <f>bdrate(E96:E99,I96:I99,M96:M99,Q96:Q99)</f>
        <v>-0.28044830382989971</v>
      </c>
      <c r="AA94" s="14">
        <f>bdrate(E96:E99,K96:K99,M96:M99,S96:S99)</f>
        <v>-0.19656951744871975</v>
      </c>
      <c r="AB94" s="7">
        <v>256</v>
      </c>
      <c r="AC94" s="1">
        <v>1.48800610985134</v>
      </c>
      <c r="AD94" s="1">
        <v>44.213297003070402</v>
      </c>
      <c r="AE94" s="1">
        <v>0.99707695298893795</v>
      </c>
      <c r="AF94" s="1">
        <v>25.341641998733099</v>
      </c>
      <c r="AG94" s="1">
        <v>46.987725993513202</v>
      </c>
      <c r="AH94" s="1">
        <v>0.99788057633432603</v>
      </c>
      <c r="AI94" s="1">
        <v>26.737822206025101</v>
      </c>
      <c r="AJ94" s="1">
        <v>785.86349439620903</v>
      </c>
      <c r="AK94" s="1">
        <v>446.26488447189303</v>
      </c>
      <c r="AL94" s="13">
        <f>bdrate(E94:E97,F94:F97,AC94:AC97,AD94:AD97)</f>
        <v>-0.23675875651582878</v>
      </c>
      <c r="AM94" s="12">
        <f>bdrate(E94:E97,H94:H97,AC94:AC97,AF94:AF97)</f>
        <v>-0.25433105305091608</v>
      </c>
      <c r="AN94" s="12">
        <f>bdrate(E94:E97,I94:I97,AC94:AC97,AG94:AG97)</f>
        <v>-0.19304231754120638</v>
      </c>
      <c r="AO94" s="14">
        <f>bdrate(E94:E97,K94:K97,AC94:AC97,AI94:AI97)</f>
        <v>-0.17803992360511334</v>
      </c>
      <c r="AP94" s="12">
        <f>bdrate(E96:E99,F96:F99,AC96:AC99,AD96:AD99)</f>
        <v>-0.25513534389714265</v>
      </c>
      <c r="AQ94" s="12">
        <f>bdrate(E96:E99,H96:H99,AC96:AC99,AF96:AF99)</f>
        <v>-0.25312338669281476</v>
      </c>
      <c r="AR94" s="12">
        <f>bdrate(E96:E99,I96:I99,AC96:AC99,AG96:AG99)</f>
        <v>-0.21158482437814929</v>
      </c>
      <c r="AS94" s="14">
        <f>bdrate(E96:E99,K96:K99,AC96:AC99,AI96:AI99)</f>
        <v>-0.17741343389632358</v>
      </c>
      <c r="AT94" s="7">
        <v>6.4</v>
      </c>
      <c r="AU94" s="1">
        <v>1.5193320105820101</v>
      </c>
      <c r="AV94" s="1">
        <v>42.577753383809302</v>
      </c>
      <c r="AW94" s="1">
        <v>0.99848269814974999</v>
      </c>
      <c r="AX94" s="1">
        <v>28.189280125836</v>
      </c>
      <c r="AY94" s="1">
        <v>45.425350944229898</v>
      </c>
      <c r="AZ94" s="1">
        <v>0.99887179913131197</v>
      </c>
      <c r="BA94" s="1">
        <v>29.4761357021404</v>
      </c>
      <c r="BB94" s="1">
        <v>1403.9351978302</v>
      </c>
      <c r="BC94" s="1">
        <v>430.94590020179697</v>
      </c>
      <c r="BD94" s="13">
        <f>bdrate(E94:E97,F94:F97,AU94:AU97,AV94:AV97)</f>
        <v>0.15984184324145456</v>
      </c>
      <c r="BE94" s="12">
        <f>bdrate(E94:E97,H94:H97,AU94:AU97,AX94:AX97)</f>
        <v>-0.51795001054814538</v>
      </c>
      <c r="BF94" s="12">
        <f>bdrate(E94:E97,I94:I97,AU94:AU97,AY94:AY97)</f>
        <v>0.21736242132304762</v>
      </c>
      <c r="BG94" s="14">
        <f>bdrate(E94:E97,K94:K97,AU94:AU97,BA94:BA97)</f>
        <v>-0.47591829374840278</v>
      </c>
      <c r="BH94" s="12">
        <f>bdrate(E96:E99,F96:F99,AU96:AU99,AV96:AV99)</f>
        <v>0.10821007352310663</v>
      </c>
      <c r="BI94" s="12">
        <f>bdrate(E96:E99,H96:H99,AU96:AU99,AX96:AX99)</f>
        <v>-0.49524998010608379</v>
      </c>
      <c r="BJ94" s="12">
        <f>bdrate(E96:E99,I96:I99,AU96:AU99,AY96:AY99)</f>
        <v>0.1762286755708562</v>
      </c>
      <c r="BK94" s="14">
        <f>bdrate(E96:E99,K96:K99,AU96:AU99,BA96:BA99)</f>
        <v>-0.46227638623500644</v>
      </c>
    </row>
    <row r="95" spans="1:63">
      <c r="A95" s="49"/>
      <c r="B95" s="7" t="s">
        <v>18</v>
      </c>
      <c r="C95" s="17">
        <v>1</v>
      </c>
      <c r="D95" s="7">
        <v>24</v>
      </c>
      <c r="E95" s="1">
        <v>0.908238221214411</v>
      </c>
      <c r="F95" s="1">
        <v>40.442776169143599</v>
      </c>
      <c r="G95" s="1">
        <v>0.99190694916409705</v>
      </c>
      <c r="H95" s="1">
        <v>20.918877316100701</v>
      </c>
      <c r="I95" s="1">
        <v>43.512575733874797</v>
      </c>
      <c r="J95" s="1">
        <v>0.99419527849998302</v>
      </c>
      <c r="K95" s="8">
        <v>22.362186120852101</v>
      </c>
      <c r="L95" s="7">
        <v>22</v>
      </c>
      <c r="M95" s="1">
        <v>0.862820609725371</v>
      </c>
      <c r="N95" s="1">
        <v>40.905143574436899</v>
      </c>
      <c r="O95" s="1">
        <v>0.99267623200225796</v>
      </c>
      <c r="P95" s="1">
        <v>21.352654217292201</v>
      </c>
      <c r="Q95" s="1">
        <v>44.032080995660202</v>
      </c>
      <c r="R95" s="1">
        <v>0.99477884423089302</v>
      </c>
      <c r="S95" s="8">
        <v>22.822333497591799</v>
      </c>
      <c r="T95" s="7"/>
      <c r="U95" s="1"/>
      <c r="V95" s="1"/>
      <c r="W95" s="8"/>
      <c r="X95" s="7"/>
      <c r="Y95" s="1"/>
      <c r="Z95" s="1"/>
      <c r="AA95" s="8"/>
      <c r="AB95" s="7">
        <v>128</v>
      </c>
      <c r="AC95" s="1">
        <v>0.97953672209624498</v>
      </c>
      <c r="AD95" s="1">
        <v>41.922697755873003</v>
      </c>
      <c r="AE95" s="1">
        <v>0.99479405486234496</v>
      </c>
      <c r="AF95" s="1">
        <v>22.8350041297271</v>
      </c>
      <c r="AG95" s="1">
        <v>44.734603664244901</v>
      </c>
      <c r="AH95" s="1">
        <v>0.99598359635141498</v>
      </c>
      <c r="AI95" s="1">
        <v>23.961626470723001</v>
      </c>
      <c r="AJ95" s="1">
        <v>986.04471826553299</v>
      </c>
      <c r="AK95" s="1">
        <v>466.90940356254498</v>
      </c>
      <c r="AL95" s="7"/>
      <c r="AM95" s="1"/>
      <c r="AN95" s="1"/>
      <c r="AO95" s="8"/>
      <c r="AP95" s="1"/>
      <c r="AQ95" s="1"/>
      <c r="AR95" s="1"/>
      <c r="AS95" s="8"/>
      <c r="AT95" s="7">
        <v>3.2</v>
      </c>
      <c r="AU95" s="1">
        <v>1.08344387755102</v>
      </c>
      <c r="AV95" s="1">
        <v>40.692777098698201</v>
      </c>
      <c r="AW95" s="1">
        <v>0.99749197404146295</v>
      </c>
      <c r="AX95" s="1">
        <v>26.0066797278918</v>
      </c>
      <c r="AY95" s="1">
        <v>43.586745896276703</v>
      </c>
      <c r="AZ95" s="1">
        <v>0.99806557808267204</v>
      </c>
      <c r="BA95" s="1">
        <v>27.134487958254599</v>
      </c>
      <c r="BB95" s="1">
        <v>867.71887326240505</v>
      </c>
      <c r="BC95" s="1">
        <v>354.25708723068198</v>
      </c>
      <c r="BD95" s="7"/>
      <c r="BE95" s="1"/>
      <c r="BF95" s="1"/>
      <c r="BG95" s="8"/>
      <c r="BH95" s="1"/>
      <c r="BI95" s="1"/>
      <c r="BJ95" s="1"/>
      <c r="BK95" s="8"/>
    </row>
    <row r="96" spans="1:63">
      <c r="A96" s="49"/>
      <c r="B96" s="7" t="s">
        <v>18</v>
      </c>
      <c r="C96" s="17">
        <v>0.5</v>
      </c>
      <c r="D96" s="7">
        <v>28</v>
      </c>
      <c r="E96" s="1">
        <v>0.49586262282690802</v>
      </c>
      <c r="F96" s="1">
        <v>38.133029129559503</v>
      </c>
      <c r="G96" s="1">
        <v>0.98500023844181295</v>
      </c>
      <c r="H96" s="1">
        <v>18.239156445967701</v>
      </c>
      <c r="I96" s="1">
        <v>41.202900148761501</v>
      </c>
      <c r="J96" s="1">
        <v>0.98838054839588996</v>
      </c>
      <c r="K96" s="8">
        <v>19.3481436858333</v>
      </c>
      <c r="L96" s="7">
        <v>26</v>
      </c>
      <c r="M96" s="1">
        <v>0.44543650793650702</v>
      </c>
      <c r="N96" s="1">
        <v>38.528426765219599</v>
      </c>
      <c r="O96" s="1">
        <v>0.98614185764421203</v>
      </c>
      <c r="P96" s="1">
        <v>18.582949817516699</v>
      </c>
      <c r="Q96" s="1">
        <v>41.656303186724699</v>
      </c>
      <c r="R96" s="1">
        <v>0.98910632835176704</v>
      </c>
      <c r="S96" s="8">
        <v>19.628257191592301</v>
      </c>
      <c r="T96" s="7"/>
      <c r="U96" s="1"/>
      <c r="V96" s="1"/>
      <c r="W96" s="8"/>
      <c r="X96" s="7"/>
      <c r="Y96" s="1"/>
      <c r="Z96" s="1"/>
      <c r="AA96" s="8"/>
      <c r="AB96" s="7">
        <v>32</v>
      </c>
      <c r="AC96" s="1">
        <v>0.38261747291509102</v>
      </c>
      <c r="AD96" s="1">
        <v>38.221698409152097</v>
      </c>
      <c r="AE96" s="1">
        <v>0.98539644386719705</v>
      </c>
      <c r="AF96" s="1">
        <v>18.3554137566782</v>
      </c>
      <c r="AG96" s="1">
        <v>41.097949303846903</v>
      </c>
      <c r="AH96" s="1">
        <v>0.98765491281014095</v>
      </c>
      <c r="AI96" s="1">
        <v>19.0850583842216</v>
      </c>
      <c r="AJ96" s="1">
        <v>584.27200269699097</v>
      </c>
      <c r="AK96" s="1">
        <v>235.816861629486</v>
      </c>
      <c r="AL96" s="7"/>
      <c r="AM96" s="1"/>
      <c r="AN96" s="1"/>
      <c r="AO96" s="8"/>
      <c r="AP96" s="1"/>
      <c r="AQ96" s="1"/>
      <c r="AR96" s="1"/>
      <c r="AS96" s="8"/>
      <c r="AT96" s="7">
        <v>0.64</v>
      </c>
      <c r="AU96" s="1">
        <v>0.51328955656336595</v>
      </c>
      <c r="AV96" s="1">
        <v>37.5608281677588</v>
      </c>
      <c r="AW96" s="1">
        <v>0.99330473563754795</v>
      </c>
      <c r="AX96" s="1">
        <v>21.742322701997999</v>
      </c>
      <c r="AY96" s="1">
        <v>40.444002181228299</v>
      </c>
      <c r="AZ96" s="1">
        <v>0.99475341391445604</v>
      </c>
      <c r="BA96" s="1">
        <v>22.801231968755999</v>
      </c>
      <c r="BB96" s="1">
        <v>577.352711200714</v>
      </c>
      <c r="BC96" s="1">
        <v>319.62601280212402</v>
      </c>
      <c r="BD96" s="7"/>
      <c r="BE96" s="1"/>
      <c r="BF96" s="1"/>
      <c r="BG96" s="8"/>
      <c r="BH96" s="1"/>
      <c r="BI96" s="1"/>
      <c r="BJ96" s="1"/>
      <c r="BK96" s="8"/>
    </row>
    <row r="97" spans="1:63">
      <c r="A97" s="49"/>
      <c r="B97" s="7" t="s">
        <v>18</v>
      </c>
      <c r="C97" s="17">
        <v>0.25</v>
      </c>
      <c r="D97" s="7">
        <v>34</v>
      </c>
      <c r="E97" s="1">
        <v>0.22661659108087601</v>
      </c>
      <c r="F97" s="1">
        <v>35.3791913738117</v>
      </c>
      <c r="G97" s="1">
        <v>0.97191894400169399</v>
      </c>
      <c r="H97" s="1">
        <v>15.515865644334699</v>
      </c>
      <c r="I97" s="1">
        <v>38.442426619910201</v>
      </c>
      <c r="J97" s="1">
        <v>0.97767657674419395</v>
      </c>
      <c r="K97" s="8">
        <v>16.512392063693401</v>
      </c>
      <c r="L97" s="7">
        <v>31</v>
      </c>
      <c r="M97" s="1">
        <v>0.22714947089946999</v>
      </c>
      <c r="N97" s="1">
        <v>36.419745147780297</v>
      </c>
      <c r="O97" s="1">
        <v>0.97694469616047597</v>
      </c>
      <c r="P97" s="1">
        <v>16.3722914995904</v>
      </c>
      <c r="Q97" s="1">
        <v>39.537641887145298</v>
      </c>
      <c r="R97" s="1">
        <v>0.98122801826775496</v>
      </c>
      <c r="S97" s="8">
        <v>17.264898770884201</v>
      </c>
      <c r="T97" s="7"/>
      <c r="U97" s="1"/>
      <c r="V97" s="1"/>
      <c r="W97" s="8"/>
      <c r="X97" s="7"/>
      <c r="Y97" s="1"/>
      <c r="Z97" s="1"/>
      <c r="AA97" s="8"/>
      <c r="AB97" s="7">
        <v>16</v>
      </c>
      <c r="AC97" s="1">
        <v>0.261261967750063</v>
      </c>
      <c r="AD97" s="1">
        <v>36.871017675658997</v>
      </c>
      <c r="AE97" s="1">
        <v>0.97981342553346795</v>
      </c>
      <c r="AF97" s="1">
        <v>16.949373718191801</v>
      </c>
      <c r="AG97" s="1">
        <v>39.734218137428797</v>
      </c>
      <c r="AH97" s="1">
        <v>0.98280020378840605</v>
      </c>
      <c r="AI97" s="1">
        <v>17.644766987148</v>
      </c>
      <c r="AJ97" s="1">
        <v>452.41913390159601</v>
      </c>
      <c r="AK97" s="1">
        <v>309.477805376052</v>
      </c>
      <c r="AL97" s="7"/>
      <c r="AM97" s="1"/>
      <c r="AN97" s="1"/>
      <c r="AO97" s="8"/>
      <c r="AP97" s="1"/>
      <c r="AQ97" s="1"/>
      <c r="AR97" s="1"/>
      <c r="AS97" s="8"/>
      <c r="AT97" s="7">
        <v>0.16</v>
      </c>
      <c r="AU97" s="1">
        <v>0.21246882086167801</v>
      </c>
      <c r="AV97" s="1">
        <v>34.810202561001802</v>
      </c>
      <c r="AW97" s="1">
        <v>0.98290329240917695</v>
      </c>
      <c r="AX97" s="1">
        <v>17.670875160878701</v>
      </c>
      <c r="AY97" s="1">
        <v>37.654902828142198</v>
      </c>
      <c r="AZ97" s="1">
        <v>0.98590676024427604</v>
      </c>
      <c r="BA97" s="1">
        <v>18.5098915974378</v>
      </c>
      <c r="BB97" s="1">
        <v>489.10886573791498</v>
      </c>
      <c r="BC97" s="1">
        <v>330.06841278076098</v>
      </c>
      <c r="BD97" s="7"/>
      <c r="BE97" s="1"/>
      <c r="BF97" s="1"/>
      <c r="BG97" s="8"/>
      <c r="BH97" s="1"/>
      <c r="BI97" s="1"/>
      <c r="BJ97" s="1"/>
      <c r="BK97" s="8"/>
    </row>
    <row r="98" spans="1:63">
      <c r="A98" s="49"/>
      <c r="B98" s="7" t="s">
        <v>18</v>
      </c>
      <c r="C98" s="17">
        <v>0.12</v>
      </c>
      <c r="D98" s="7">
        <v>39</v>
      </c>
      <c r="E98" s="1">
        <v>0.11725875535399299</v>
      </c>
      <c r="F98" s="1">
        <v>32.955085492719199</v>
      </c>
      <c r="G98" s="1">
        <v>0.95341284329892095</v>
      </c>
      <c r="H98" s="1">
        <v>13.3173379452523</v>
      </c>
      <c r="I98" s="1">
        <v>36.014832525443701</v>
      </c>
      <c r="J98" s="1">
        <v>0.96197770151795503</v>
      </c>
      <c r="K98" s="8">
        <v>14.199616331860801</v>
      </c>
      <c r="L98" s="7">
        <v>36</v>
      </c>
      <c r="M98" s="1">
        <v>0.119877802973041</v>
      </c>
      <c r="N98" s="1">
        <v>34.277034067210799</v>
      </c>
      <c r="O98" s="1">
        <v>0.963056620921658</v>
      </c>
      <c r="P98" s="1">
        <v>14.3246338372086</v>
      </c>
      <c r="Q98" s="1">
        <v>37.384921665392497</v>
      </c>
      <c r="R98" s="1">
        <v>0.96887225052790604</v>
      </c>
      <c r="S98" s="8">
        <v>15.0685227755658</v>
      </c>
      <c r="T98" s="7"/>
      <c r="U98" s="1"/>
      <c r="V98" s="1"/>
      <c r="W98" s="8"/>
      <c r="X98" s="7"/>
      <c r="Y98" s="1"/>
      <c r="Z98" s="1"/>
      <c r="AA98" s="8"/>
      <c r="AB98" s="7">
        <v>4</v>
      </c>
      <c r="AC98" s="1">
        <v>0.12441830435878</v>
      </c>
      <c r="AD98" s="1">
        <v>34.305699152381699</v>
      </c>
      <c r="AE98" s="1">
        <v>0.96463045368589695</v>
      </c>
      <c r="AF98" s="1">
        <v>14.5137051085376</v>
      </c>
      <c r="AG98" s="1">
        <v>37.162455283636902</v>
      </c>
      <c r="AH98" s="1">
        <v>0.96936784899972495</v>
      </c>
      <c r="AI98" s="1">
        <v>15.138225058133999</v>
      </c>
      <c r="AJ98" s="1">
        <v>422.66226553916903</v>
      </c>
      <c r="AK98" s="1">
        <v>305.10167098045298</v>
      </c>
      <c r="AL98" s="7"/>
      <c r="AM98" s="1"/>
      <c r="AN98" s="1"/>
      <c r="AO98" s="8"/>
      <c r="AP98" s="1"/>
      <c r="AQ98" s="1"/>
      <c r="AR98" s="1"/>
      <c r="AS98" s="8"/>
      <c r="AT98" s="7">
        <v>0.08</v>
      </c>
      <c r="AU98" s="1">
        <v>0.140016061980347</v>
      </c>
      <c r="AV98" s="1">
        <v>33.353780478621204</v>
      </c>
      <c r="AW98" s="1">
        <v>0.97586169157578595</v>
      </c>
      <c r="AX98" s="1">
        <v>16.1729316786627</v>
      </c>
      <c r="AY98" s="1">
        <v>36.197801448840302</v>
      </c>
      <c r="AZ98" s="1">
        <v>0.97986626129618004</v>
      </c>
      <c r="BA98" s="1">
        <v>16.9607557197304</v>
      </c>
      <c r="BB98" s="1">
        <v>304.643579483032</v>
      </c>
      <c r="BC98" s="1">
        <v>204.92825293540901</v>
      </c>
      <c r="BD98" s="7"/>
      <c r="BE98" s="1"/>
      <c r="BF98" s="1"/>
      <c r="BG98" s="8"/>
      <c r="BH98" s="1"/>
      <c r="BI98" s="1"/>
      <c r="BJ98" s="1"/>
      <c r="BK98" s="8"/>
    </row>
    <row r="99" spans="1:63">
      <c r="A99" s="49"/>
      <c r="B99" s="7" t="s">
        <v>18</v>
      </c>
      <c r="C99" s="17">
        <v>0.06</v>
      </c>
      <c r="D99" s="7">
        <v>44</v>
      </c>
      <c r="E99" s="1">
        <v>5.8149407911312602E-2</v>
      </c>
      <c r="F99" s="1">
        <v>30.440217343615998</v>
      </c>
      <c r="G99" s="1">
        <v>0.92364657600280597</v>
      </c>
      <c r="H99" s="1">
        <v>11.171714826449501</v>
      </c>
      <c r="I99" s="1">
        <v>33.500523444736501</v>
      </c>
      <c r="J99" s="1">
        <v>0.93548706340510102</v>
      </c>
      <c r="K99" s="8">
        <v>11.903531887999</v>
      </c>
      <c r="L99" s="7">
        <v>42</v>
      </c>
      <c r="M99" s="1">
        <v>5.3710317460317403E-2</v>
      </c>
      <c r="N99" s="1">
        <v>31.349737406318699</v>
      </c>
      <c r="O99" s="1">
        <v>0.93377624721449703</v>
      </c>
      <c r="P99" s="1">
        <v>11.7898621216964</v>
      </c>
      <c r="Q99" s="1">
        <v>34.456208576933797</v>
      </c>
      <c r="R99" s="1">
        <v>0.94246469621213003</v>
      </c>
      <c r="S99" s="8">
        <v>12.4006558947816</v>
      </c>
      <c r="T99" s="7"/>
      <c r="U99" s="1"/>
      <c r="V99" s="1"/>
      <c r="W99" s="8"/>
      <c r="X99" s="7"/>
      <c r="Y99" s="1"/>
      <c r="Z99" s="1"/>
      <c r="AA99" s="8"/>
      <c r="AB99" s="7">
        <v>2</v>
      </c>
      <c r="AC99" s="1">
        <v>8.1329680020156198E-2</v>
      </c>
      <c r="AD99" s="1">
        <v>32.810958107384003</v>
      </c>
      <c r="AE99" s="1">
        <v>0.95198486398556204</v>
      </c>
      <c r="AF99" s="1">
        <v>13.1862183655471</v>
      </c>
      <c r="AG99" s="1">
        <v>35.657167537620602</v>
      </c>
      <c r="AH99" s="1">
        <v>0.957902842434323</v>
      </c>
      <c r="AI99" s="1">
        <v>13.757472270910799</v>
      </c>
      <c r="AJ99" s="1">
        <v>769.71564078330903</v>
      </c>
      <c r="AK99" s="1">
        <v>473.04109883308399</v>
      </c>
      <c r="AL99" s="7"/>
      <c r="AM99" s="1"/>
      <c r="AN99" s="1"/>
      <c r="AO99" s="8"/>
      <c r="AP99" s="1"/>
      <c r="AQ99" s="1"/>
      <c r="AR99" s="1"/>
      <c r="AS99" s="8"/>
      <c r="AT99" s="7">
        <v>0.04</v>
      </c>
      <c r="AU99" s="1">
        <v>8.8321050642479207E-2</v>
      </c>
      <c r="AV99" s="1">
        <v>31.716821778270699</v>
      </c>
      <c r="AW99" s="1">
        <v>0.96631168082859598</v>
      </c>
      <c r="AX99" s="1">
        <v>14.7252065695579</v>
      </c>
      <c r="AY99" s="1">
        <v>34.517655412191402</v>
      </c>
      <c r="AZ99" s="1">
        <v>0.97179974540264602</v>
      </c>
      <c r="BA99" s="1">
        <v>15.4974697076835</v>
      </c>
      <c r="BB99" s="1">
        <v>497.75849938392599</v>
      </c>
      <c r="BC99" s="1">
        <v>278.937443256378</v>
      </c>
      <c r="BD99" s="7"/>
      <c r="BE99" s="1"/>
      <c r="BF99" s="1"/>
      <c r="BG99" s="8"/>
      <c r="BH99" s="1"/>
      <c r="BI99" s="1"/>
      <c r="BJ99" s="1"/>
      <c r="BK99" s="8"/>
    </row>
    <row r="100" spans="1:63">
      <c r="A100" s="49"/>
      <c r="B100" s="7" t="s">
        <v>35</v>
      </c>
      <c r="C100" s="17">
        <v>1.5</v>
      </c>
      <c r="D100" s="7">
        <v>22</v>
      </c>
      <c r="E100" s="1">
        <v>1.40077221513605</v>
      </c>
      <c r="F100" s="1">
        <v>41.648256004441102</v>
      </c>
      <c r="G100" s="1">
        <v>0.99579908821830498</v>
      </c>
      <c r="H100" s="1">
        <v>23.766564384632801</v>
      </c>
      <c r="I100" s="1">
        <v>44.7365348275206</v>
      </c>
      <c r="J100" s="1">
        <v>0.99724275401120799</v>
      </c>
      <c r="K100" s="8">
        <v>25.5952448641176</v>
      </c>
      <c r="L100" s="7">
        <v>19</v>
      </c>
      <c r="M100" s="1">
        <v>1.4751001806972699</v>
      </c>
      <c r="N100" s="1">
        <v>42.719000606482403</v>
      </c>
      <c r="O100" s="1">
        <v>0.99663015764708096</v>
      </c>
      <c r="P100" s="1">
        <v>24.723904157040799</v>
      </c>
      <c r="Q100" s="1">
        <v>45.916409856121099</v>
      </c>
      <c r="R100" s="1">
        <v>0.99790164656995095</v>
      </c>
      <c r="S100" s="8">
        <v>26.781213608552399</v>
      </c>
      <c r="T100" s="13">
        <f>bdrate(E100:E103,F100:F103,M100:M103,N100:N103)</f>
        <v>-0.1873318261227982</v>
      </c>
      <c r="U100" s="12">
        <f>bdrate(E100:E103,H100:H103,M100:M103,P100:P103)</f>
        <v>-0.16764506801772594</v>
      </c>
      <c r="V100" s="12">
        <f>bdrate(E100:E103,I100:I103,M100:M103,Q100:Q103)</f>
        <v>-0.19993243133977479</v>
      </c>
      <c r="W100" s="14">
        <f>bdrate(E100:E103,K100:K103,M100:M103,S100:S103)</f>
        <v>-0.15208800633568687</v>
      </c>
      <c r="X100" s="13">
        <f>bdrate(E102:E105,F102:F105,M102:M105,N102:N105)</f>
        <v>-0.2553573083913957</v>
      </c>
      <c r="Y100" s="12">
        <f>bdrate(E102:E105,H102:H105,M102:M105,P102:P105)</f>
        <v>-0.23114041413387654</v>
      </c>
      <c r="Z100" s="12">
        <f>bdrate(E102:E105,I102:I105,M102:M105,Q102:Q105)</f>
        <v>-0.26704775364187405</v>
      </c>
      <c r="AA100" s="14">
        <f>bdrate(E102:E105,K102:K105,M102:M105,S102:S105)</f>
        <v>-0.18650645762140972</v>
      </c>
      <c r="AB100" s="7">
        <v>256</v>
      </c>
      <c r="AC100" s="1">
        <v>1.61583519345238</v>
      </c>
      <c r="AD100" s="1">
        <v>44.078190294882802</v>
      </c>
      <c r="AE100" s="1">
        <v>0.99773455259010102</v>
      </c>
      <c r="AF100" s="1">
        <v>26.448460150808302</v>
      </c>
      <c r="AG100" s="1">
        <v>46.870153157862099</v>
      </c>
      <c r="AH100" s="1">
        <v>0.99839016205684294</v>
      </c>
      <c r="AI100" s="1">
        <v>27.932178406981102</v>
      </c>
      <c r="AJ100" s="1">
        <v>944.17549729347195</v>
      </c>
      <c r="AK100" s="1">
        <v>524.06564974784806</v>
      </c>
      <c r="AL100" s="13">
        <f>bdrate(E100:E103,F100:F103,AC100:AC103,AD100:AD103)</f>
        <v>-0.25695141067302918</v>
      </c>
      <c r="AM100" s="12">
        <f>bdrate(E100:E103,H100:H103,AC100:AC103,AF100:AF103)</f>
        <v>-0.25895235249588866</v>
      </c>
      <c r="AN100" s="12">
        <f>bdrate(E100:E103,I100:I103,AC100:AC103,AG100:AG103)</f>
        <v>-0.21771425049246551</v>
      </c>
      <c r="AO100" s="14">
        <f>bdrate(E100:E103,K100:K103,AC100:AC103,AI100:AI103)</f>
        <v>-0.18844884457305333</v>
      </c>
      <c r="AP100" s="12">
        <f>bdrate(E102:E105,F102:F105,AC102:AC105,AD102:AD105)</f>
        <v>-0.26709649615235886</v>
      </c>
      <c r="AQ100" s="12">
        <f>bdrate(E102:E105,H102:H105,AC102:AC105,AF102:AF105)</f>
        <v>-0.25767908234383752</v>
      </c>
      <c r="AR100" s="12">
        <f>bdrate(E102:E105,I102:I105,AC102:AC105,AG102:AG105)</f>
        <v>-0.22941523798793573</v>
      </c>
      <c r="AS100" s="14">
        <f>bdrate(E102:E105,K102:K105,AC102:AC105,AI102:AI105)</f>
        <v>-0.18613438213654476</v>
      </c>
      <c r="AT100" s="7">
        <v>6.4</v>
      </c>
      <c r="AU100" s="1">
        <v>1.5156311118197201</v>
      </c>
      <c r="AV100" s="1">
        <v>42.066014130324497</v>
      </c>
      <c r="AW100" s="1">
        <v>0.998506582406543</v>
      </c>
      <c r="AX100" s="1">
        <v>28.2581873669873</v>
      </c>
      <c r="AY100" s="1">
        <v>45.008270686564401</v>
      </c>
      <c r="AZ100" s="1">
        <v>0.99886955617500595</v>
      </c>
      <c r="BA100" s="1">
        <v>29.467510141247701</v>
      </c>
      <c r="BB100" s="1">
        <v>1805.15177774429</v>
      </c>
      <c r="BC100" s="1">
        <v>499.26316165923998</v>
      </c>
      <c r="BD100" s="13">
        <f>bdrate(E100:E103,F100:F103,AU100:AU103,AV100:AV103)</f>
        <v>2.7053808349928099E-2</v>
      </c>
      <c r="BE100" s="12">
        <f>bdrate(E100:E103,H100:H103,AU100:AU103,AX100:AX103)</f>
        <v>-0.46492439638115135</v>
      </c>
      <c r="BF100" s="12">
        <f>bdrate(E100:E103,I100:I103,AU100:AU103,AY100:AY103)</f>
        <v>5.8221810564126564E-2</v>
      </c>
      <c r="BG100" s="14">
        <f>bdrate(E100:E103,K100:K103,AU100:AU103,BA100:BA103)</f>
        <v>-0.41778869254423789</v>
      </c>
      <c r="BH100" s="12">
        <f>bdrate(E102:E105,F102:F105,AU102:AU105,AV102:AV105)</f>
        <v>-3.5471319486078512E-2</v>
      </c>
      <c r="BI100" s="12">
        <f>bdrate(E102:E105,H102:H105,AU102:AU105,AX102:AX105)</f>
        <v>-0.42795825539598997</v>
      </c>
      <c r="BJ100" s="12">
        <f>bdrate(E102:E105,I102:I105,AU102:AU105,AY102:AY105)</f>
        <v>1.5111142837551883E-2</v>
      </c>
      <c r="BK100" s="14">
        <f>bdrate(E102:E105,K102:K105,AU102:AU105,BA102:BA105)</f>
        <v>-0.3867857350187085</v>
      </c>
    </row>
    <row r="101" spans="1:63">
      <c r="A101" s="49"/>
      <c r="B101" s="7" t="s">
        <v>18</v>
      </c>
      <c r="C101" s="17">
        <v>1</v>
      </c>
      <c r="D101" s="7">
        <v>25</v>
      </c>
      <c r="E101" s="1">
        <v>0.88364556760204005</v>
      </c>
      <c r="F101" s="1">
        <v>39.421397502217999</v>
      </c>
      <c r="G101" s="1">
        <v>0.99262141334221798</v>
      </c>
      <c r="H101" s="1">
        <v>21.3202681778521</v>
      </c>
      <c r="I101" s="1">
        <v>42.507049657106897</v>
      </c>
      <c r="J101" s="1">
        <v>0.99470597708648401</v>
      </c>
      <c r="K101" s="8">
        <v>22.762141833233201</v>
      </c>
      <c r="L101" s="7">
        <v>22</v>
      </c>
      <c r="M101" s="1">
        <v>0.97872581845238005</v>
      </c>
      <c r="N101" s="1">
        <v>40.609315255799203</v>
      </c>
      <c r="O101" s="1">
        <v>0.99439482418885905</v>
      </c>
      <c r="P101" s="1">
        <v>22.514107608369599</v>
      </c>
      <c r="Q101" s="1">
        <v>43.757756076401598</v>
      </c>
      <c r="R101" s="1">
        <v>0.99614556105688401</v>
      </c>
      <c r="S101" s="8">
        <v>24.140388294527298</v>
      </c>
      <c r="T101" s="7"/>
      <c r="U101" s="1"/>
      <c r="V101" s="1"/>
      <c r="W101" s="8"/>
      <c r="X101" s="7"/>
      <c r="Y101" s="1"/>
      <c r="Z101" s="1"/>
      <c r="AA101" s="8"/>
      <c r="AB101" s="7">
        <v>128</v>
      </c>
      <c r="AC101" s="1">
        <v>1.0883155293367299</v>
      </c>
      <c r="AD101" s="1">
        <v>41.643471194678497</v>
      </c>
      <c r="AE101" s="1">
        <v>0.995918141168606</v>
      </c>
      <c r="AF101" s="1">
        <v>23.891420191708701</v>
      </c>
      <c r="AG101" s="1">
        <v>44.476155979850297</v>
      </c>
      <c r="AH101" s="1">
        <v>0.99693458407288504</v>
      </c>
      <c r="AI101" s="1">
        <v>25.1351059044555</v>
      </c>
      <c r="AJ101" s="1">
        <v>1250.5117428302699</v>
      </c>
      <c r="AK101" s="1">
        <v>560.93819618225098</v>
      </c>
      <c r="AL101" s="7"/>
      <c r="AM101" s="1"/>
      <c r="AN101" s="1"/>
      <c r="AO101" s="8"/>
      <c r="AP101" s="1"/>
      <c r="AQ101" s="1"/>
      <c r="AR101" s="1"/>
      <c r="AS101" s="8"/>
      <c r="AT101" s="7">
        <v>3.2</v>
      </c>
      <c r="AU101" s="1">
        <v>1.0719509991496501</v>
      </c>
      <c r="AV101" s="1">
        <v>40.128587945323297</v>
      </c>
      <c r="AW101" s="1">
        <v>0.99746643215073005</v>
      </c>
      <c r="AX101" s="1">
        <v>25.9626746075608</v>
      </c>
      <c r="AY101" s="1">
        <v>43.134643160944201</v>
      </c>
      <c r="AZ101" s="1">
        <v>0.99802852645159101</v>
      </c>
      <c r="BA101" s="1">
        <v>27.052090455536799</v>
      </c>
      <c r="BB101" s="1">
        <v>1199.63780808448</v>
      </c>
      <c r="BC101" s="1">
        <v>509.38378500938398</v>
      </c>
      <c r="BD101" s="7"/>
      <c r="BE101" s="1"/>
      <c r="BF101" s="1"/>
      <c r="BG101" s="8"/>
      <c r="BH101" s="1"/>
      <c r="BI101" s="1"/>
      <c r="BJ101" s="1"/>
      <c r="BK101" s="8"/>
    </row>
    <row r="102" spans="1:63">
      <c r="A102" s="49"/>
      <c r="B102" s="7" t="s">
        <v>18</v>
      </c>
      <c r="C102" s="17">
        <v>0.5</v>
      </c>
      <c r="D102" s="7">
        <v>30</v>
      </c>
      <c r="E102" s="1">
        <v>0.44453470450680199</v>
      </c>
      <c r="F102" s="1">
        <v>36.848804734257001</v>
      </c>
      <c r="G102" s="1">
        <v>0.98551045874327803</v>
      </c>
      <c r="H102" s="1">
        <v>18.389453642064201</v>
      </c>
      <c r="I102" s="1">
        <v>39.935391737525698</v>
      </c>
      <c r="J102" s="1">
        <v>0.98921519882619802</v>
      </c>
      <c r="K102" s="8">
        <v>19.671878570442001</v>
      </c>
      <c r="L102" s="7">
        <v>27</v>
      </c>
      <c r="M102" s="1">
        <v>0.43849303784013599</v>
      </c>
      <c r="N102" s="1">
        <v>37.617392362475499</v>
      </c>
      <c r="O102" s="1">
        <v>0.98788859386316397</v>
      </c>
      <c r="P102" s="1">
        <v>19.168054322477701</v>
      </c>
      <c r="Q102" s="1">
        <v>40.766877217284197</v>
      </c>
      <c r="R102" s="1">
        <v>0.99075356064752595</v>
      </c>
      <c r="S102" s="8">
        <v>20.340254745339099</v>
      </c>
      <c r="T102" s="7"/>
      <c r="U102" s="1"/>
      <c r="V102" s="1"/>
      <c r="W102" s="8"/>
      <c r="X102" s="7"/>
      <c r="Y102" s="1"/>
      <c r="Z102" s="1"/>
      <c r="AA102" s="8"/>
      <c r="AB102" s="7">
        <v>32</v>
      </c>
      <c r="AC102" s="1">
        <v>0.42591969600340102</v>
      </c>
      <c r="AD102" s="1">
        <v>37.820987648819496</v>
      </c>
      <c r="AE102" s="1">
        <v>0.98866413898981298</v>
      </c>
      <c r="AF102" s="1">
        <v>19.455454876440498</v>
      </c>
      <c r="AG102" s="1">
        <v>40.724057170519202</v>
      </c>
      <c r="AH102" s="1">
        <v>0.99078514268254703</v>
      </c>
      <c r="AI102" s="1">
        <v>20.355113849942999</v>
      </c>
      <c r="AJ102" s="1">
        <v>694.342874765396</v>
      </c>
      <c r="AK102" s="1">
        <v>291.17713832855202</v>
      </c>
      <c r="AL102" s="7"/>
      <c r="AM102" s="1"/>
      <c r="AN102" s="1"/>
      <c r="AO102" s="8"/>
      <c r="AP102" s="1"/>
      <c r="AQ102" s="1"/>
      <c r="AR102" s="1"/>
      <c r="AS102" s="8"/>
      <c r="AT102" s="7">
        <v>0.64</v>
      </c>
      <c r="AU102" s="1">
        <v>0.494323448129251</v>
      </c>
      <c r="AV102" s="1">
        <v>37.063007256044699</v>
      </c>
      <c r="AW102" s="1">
        <v>0.99312642302971998</v>
      </c>
      <c r="AX102" s="1">
        <v>21.628171997412299</v>
      </c>
      <c r="AY102" s="1">
        <v>40.028458900160302</v>
      </c>
      <c r="AZ102" s="1">
        <v>0.99461010658270099</v>
      </c>
      <c r="BA102" s="1">
        <v>22.684198227050299</v>
      </c>
      <c r="BB102" s="1">
        <v>717.69169974326996</v>
      </c>
      <c r="BC102" s="1">
        <v>382.577341079711</v>
      </c>
      <c r="BD102" s="7"/>
      <c r="BE102" s="1"/>
      <c r="BF102" s="1"/>
      <c r="BG102" s="8"/>
      <c r="BH102" s="1"/>
      <c r="BI102" s="1"/>
      <c r="BJ102" s="1"/>
      <c r="BK102" s="8"/>
    </row>
    <row r="103" spans="1:63">
      <c r="A103" s="49"/>
      <c r="B103" s="7" t="s">
        <v>18</v>
      </c>
      <c r="C103" s="17">
        <v>0.25</v>
      </c>
      <c r="D103" s="7">
        <v>35</v>
      </c>
      <c r="E103" s="1">
        <v>0.24202513818027199</v>
      </c>
      <c r="F103" s="1">
        <v>34.568677671003897</v>
      </c>
      <c r="G103" s="1">
        <v>0.97462161865466101</v>
      </c>
      <c r="H103" s="1">
        <v>15.955360810279601</v>
      </c>
      <c r="I103" s="1">
        <v>37.658644508998599</v>
      </c>
      <c r="J103" s="1">
        <v>0.98087647838860403</v>
      </c>
      <c r="K103" s="8">
        <v>17.184321290282099</v>
      </c>
      <c r="L103" s="7">
        <v>32</v>
      </c>
      <c r="M103" s="1">
        <v>0.23442628613945499</v>
      </c>
      <c r="N103" s="1">
        <v>35.550226400198</v>
      </c>
      <c r="O103" s="1">
        <v>0.97953714181204499</v>
      </c>
      <c r="P103" s="1">
        <v>16.890337054937199</v>
      </c>
      <c r="Q103" s="1">
        <v>38.687101697065103</v>
      </c>
      <c r="R103" s="1">
        <v>0.98384779512206699</v>
      </c>
      <c r="S103" s="8">
        <v>17.917681853477699</v>
      </c>
      <c r="T103" s="7"/>
      <c r="U103" s="1"/>
      <c r="V103" s="1"/>
      <c r="W103" s="8"/>
      <c r="X103" s="7"/>
      <c r="Y103" s="1"/>
      <c r="Z103" s="1"/>
      <c r="AA103" s="8"/>
      <c r="AB103" s="7">
        <v>16</v>
      </c>
      <c r="AC103" s="1">
        <v>0.28873379039115599</v>
      </c>
      <c r="AD103" s="1">
        <v>36.448890997443897</v>
      </c>
      <c r="AE103" s="1">
        <v>0.98391763008644395</v>
      </c>
      <c r="AF103" s="1">
        <v>17.936499528175901</v>
      </c>
      <c r="AG103" s="1">
        <v>39.343083446470601</v>
      </c>
      <c r="AH103" s="1">
        <v>0.98692172180722004</v>
      </c>
      <c r="AI103" s="1">
        <v>18.834494288402102</v>
      </c>
      <c r="AJ103" s="1">
        <v>557.33100819587696</v>
      </c>
      <c r="AK103" s="1">
        <v>366.14967107772799</v>
      </c>
      <c r="AL103" s="7"/>
      <c r="AM103" s="1"/>
      <c r="AN103" s="1"/>
      <c r="AO103" s="8"/>
      <c r="AP103" s="1"/>
      <c r="AQ103" s="1"/>
      <c r="AR103" s="1"/>
      <c r="AS103" s="8"/>
      <c r="AT103" s="7">
        <v>0.16</v>
      </c>
      <c r="AU103" s="1">
        <v>0.218287096088435</v>
      </c>
      <c r="AV103" s="1">
        <v>34.420284314265501</v>
      </c>
      <c r="AW103" s="1">
        <v>0.98362729533295501</v>
      </c>
      <c r="AX103" s="1">
        <v>17.858795719657198</v>
      </c>
      <c r="AY103" s="1">
        <v>37.322482997220902</v>
      </c>
      <c r="AZ103" s="1">
        <v>0.98682113768369195</v>
      </c>
      <c r="BA103" s="1">
        <v>18.8012207920146</v>
      </c>
      <c r="BB103" s="1">
        <v>617.06867909431401</v>
      </c>
      <c r="BC103" s="1">
        <v>406.74590015411297</v>
      </c>
      <c r="BD103" s="7"/>
      <c r="BE103" s="1"/>
      <c r="BF103" s="1"/>
      <c r="BG103" s="8"/>
      <c r="BH103" s="1"/>
      <c r="BI103" s="1"/>
      <c r="BJ103" s="1"/>
      <c r="BK103" s="8"/>
    </row>
    <row r="104" spans="1:63">
      <c r="A104" s="49"/>
      <c r="B104" s="7" t="s">
        <v>18</v>
      </c>
      <c r="C104" s="17">
        <v>0.12</v>
      </c>
      <c r="D104" s="7">
        <v>41</v>
      </c>
      <c r="E104" s="1">
        <v>0.113413849914965</v>
      </c>
      <c r="F104" s="1">
        <v>31.603689755192502</v>
      </c>
      <c r="G104" s="1">
        <v>0.94901822605354402</v>
      </c>
      <c r="H104" s="1">
        <v>12.925850570238</v>
      </c>
      <c r="I104" s="1">
        <v>34.706244156099402</v>
      </c>
      <c r="J104" s="1">
        <v>0.95951736931009801</v>
      </c>
      <c r="K104" s="8">
        <v>13.9273127341663</v>
      </c>
      <c r="L104" s="7">
        <v>38</v>
      </c>
      <c r="M104" s="1">
        <v>0.11261160714285701</v>
      </c>
      <c r="N104" s="1">
        <v>32.741181106168</v>
      </c>
      <c r="O104" s="1">
        <v>0.95963129254789603</v>
      </c>
      <c r="P104" s="1">
        <v>13.939551558511599</v>
      </c>
      <c r="Q104" s="1">
        <v>35.904914673437901</v>
      </c>
      <c r="R104" s="1">
        <v>0.96676677203817296</v>
      </c>
      <c r="S104" s="8">
        <v>14.7842747340909</v>
      </c>
      <c r="T104" s="7"/>
      <c r="U104" s="1"/>
      <c r="V104" s="1"/>
      <c r="W104" s="8"/>
      <c r="X104" s="7"/>
      <c r="Y104" s="1"/>
      <c r="Z104" s="1"/>
      <c r="AA104" s="8"/>
      <c r="AB104" s="7">
        <v>4</v>
      </c>
      <c r="AC104" s="1">
        <v>0.15034412202380901</v>
      </c>
      <c r="AD104" s="1">
        <v>33.875514052810203</v>
      </c>
      <c r="AE104" s="1">
        <v>0.96956305742336302</v>
      </c>
      <c r="AF104" s="1">
        <v>15.1659897505468</v>
      </c>
      <c r="AG104" s="1">
        <v>36.775141010761601</v>
      </c>
      <c r="AH104" s="1">
        <v>0.974584111908253</v>
      </c>
      <c r="AI104" s="1">
        <v>15.9489471041115</v>
      </c>
      <c r="AJ104" s="1">
        <v>509.29683828353802</v>
      </c>
      <c r="AK104" s="1">
        <v>369.67095160484303</v>
      </c>
      <c r="AL104" s="7"/>
      <c r="AM104" s="1"/>
      <c r="AN104" s="1"/>
      <c r="AO104" s="8"/>
      <c r="AP104" s="1"/>
      <c r="AQ104" s="1"/>
      <c r="AR104" s="1"/>
      <c r="AS104" s="8"/>
      <c r="AT104" s="7">
        <v>0.08</v>
      </c>
      <c r="AU104" s="1">
        <v>0.15479937287414899</v>
      </c>
      <c r="AV104" s="1">
        <v>32.967668651917002</v>
      </c>
      <c r="AW104" s="1">
        <v>0.97680530026934098</v>
      </c>
      <c r="AX104" s="1">
        <v>16.346112453121499</v>
      </c>
      <c r="AY104" s="1">
        <v>35.859340771148801</v>
      </c>
      <c r="AZ104" s="1">
        <v>0.98135647889809097</v>
      </c>
      <c r="BA104" s="1">
        <v>17.294720613642902</v>
      </c>
      <c r="BB104" s="1">
        <v>361.76493382453901</v>
      </c>
      <c r="BC104" s="1">
        <v>236.56704211235001</v>
      </c>
      <c r="BD104" s="7"/>
      <c r="BE104" s="1"/>
      <c r="BF104" s="1"/>
      <c r="BG104" s="8"/>
      <c r="BH104" s="1"/>
      <c r="BI104" s="1"/>
      <c r="BJ104" s="1"/>
      <c r="BK104" s="8"/>
    </row>
    <row r="105" spans="1:63">
      <c r="A105" s="49"/>
      <c r="B105" s="7" t="s">
        <v>18</v>
      </c>
      <c r="C105" s="17">
        <v>0.06</v>
      </c>
      <c r="D105" s="7">
        <v>46</v>
      </c>
      <c r="E105" s="1">
        <v>5.7669802295918303E-2</v>
      </c>
      <c r="F105" s="1">
        <v>29.0464930064737</v>
      </c>
      <c r="G105" s="1">
        <v>0.909058265679903</v>
      </c>
      <c r="H105" s="1">
        <v>10.412367677637899</v>
      </c>
      <c r="I105" s="1">
        <v>32.154835346025898</v>
      </c>
      <c r="J105" s="1">
        <v>0.92410815820205405</v>
      </c>
      <c r="K105" s="8">
        <v>11.1980490727399</v>
      </c>
      <c r="L105" s="7">
        <v>43</v>
      </c>
      <c r="M105" s="1">
        <v>5.9337797619047603E-2</v>
      </c>
      <c r="N105" s="1">
        <v>30.300056287196199</v>
      </c>
      <c r="O105" s="1">
        <v>0.92862289439866197</v>
      </c>
      <c r="P105" s="1">
        <v>11.464410670115299</v>
      </c>
      <c r="Q105" s="1">
        <v>33.471644151355399</v>
      </c>
      <c r="R105" s="1">
        <v>0.93847708071872005</v>
      </c>
      <c r="S105" s="8">
        <v>12.109630653121</v>
      </c>
      <c r="T105" s="7"/>
      <c r="U105" s="1"/>
      <c r="V105" s="1"/>
      <c r="W105" s="8"/>
      <c r="X105" s="7"/>
      <c r="Y105" s="1"/>
      <c r="Z105" s="1"/>
      <c r="AA105" s="8"/>
      <c r="AB105" s="7">
        <v>2</v>
      </c>
      <c r="AC105" s="1">
        <v>9.8113042091836702E-2</v>
      </c>
      <c r="AD105" s="1">
        <v>32.3335911303746</v>
      </c>
      <c r="AE105" s="1">
        <v>0.95613292739332401</v>
      </c>
      <c r="AF105" s="1">
        <v>13.578613465202199</v>
      </c>
      <c r="AG105" s="1">
        <v>35.238483849077397</v>
      </c>
      <c r="AH105" s="1">
        <v>0.96249964771158103</v>
      </c>
      <c r="AI105" s="1">
        <v>14.2596465237367</v>
      </c>
      <c r="AJ105" s="1">
        <v>825.66625833511296</v>
      </c>
      <c r="AK105" s="1">
        <v>464.45210695266701</v>
      </c>
      <c r="AL105" s="7"/>
      <c r="AM105" s="1"/>
      <c r="AN105" s="1"/>
      <c r="AO105" s="8"/>
      <c r="AP105" s="1"/>
      <c r="AQ105" s="1"/>
      <c r="AR105" s="1"/>
      <c r="AS105" s="8"/>
      <c r="AT105" s="7">
        <v>0.04</v>
      </c>
      <c r="AU105" s="1">
        <v>0.103569036989795</v>
      </c>
      <c r="AV105" s="1">
        <v>31.323145464551001</v>
      </c>
      <c r="AW105" s="1">
        <v>0.96687759059112199</v>
      </c>
      <c r="AX105" s="1">
        <v>14.798780790453399</v>
      </c>
      <c r="AY105" s="1">
        <v>34.163246864073699</v>
      </c>
      <c r="AZ105" s="1">
        <v>0.97327134769291401</v>
      </c>
      <c r="BA105" s="1">
        <v>15.7302293837595</v>
      </c>
      <c r="BB105" s="1">
        <v>638.35446119308403</v>
      </c>
      <c r="BC105" s="1">
        <v>385.41435980796803</v>
      </c>
      <c r="BD105" s="7"/>
      <c r="BE105" s="1"/>
      <c r="BF105" s="1"/>
      <c r="BG105" s="8"/>
      <c r="BH105" s="1"/>
      <c r="BI105" s="1"/>
      <c r="BJ105" s="1"/>
      <c r="BK105" s="8"/>
    </row>
    <row r="106" spans="1:63">
      <c r="A106" s="49"/>
      <c r="B106" s="7" t="s">
        <v>36</v>
      </c>
      <c r="C106" s="17">
        <v>1.5</v>
      </c>
      <c r="D106" s="7">
        <v>18</v>
      </c>
      <c r="E106" s="1">
        <v>1.39593298256802</v>
      </c>
      <c r="F106" s="1">
        <v>45.536248286057798</v>
      </c>
      <c r="G106" s="1">
        <v>0.99646101582484103</v>
      </c>
      <c r="H106" s="1">
        <v>24.511213793394699</v>
      </c>
      <c r="I106" s="1">
        <v>48.602741334214898</v>
      </c>
      <c r="J106" s="1">
        <v>0.99788049825689595</v>
      </c>
      <c r="K106" s="8">
        <v>26.737662219266301</v>
      </c>
      <c r="L106" s="7">
        <v>15</v>
      </c>
      <c r="M106" s="1">
        <v>1.46325414540816</v>
      </c>
      <c r="N106" s="1">
        <v>46.188291437838998</v>
      </c>
      <c r="O106" s="1">
        <v>0.99699516956558798</v>
      </c>
      <c r="P106" s="1">
        <v>25.221800306419301</v>
      </c>
      <c r="Q106" s="1">
        <v>49.321342958704903</v>
      </c>
      <c r="R106" s="1">
        <v>0.99828731749126198</v>
      </c>
      <c r="S106" s="8">
        <v>27.663231376082901</v>
      </c>
      <c r="T106" s="13">
        <f>bdrate(E106:E109,F106:F109,M106:M109,N106:N109)</f>
        <v>-0.14053222949972266</v>
      </c>
      <c r="U106" s="12">
        <f>bdrate(E106:E109,H106:H109,M106:M109,P106:P109)</f>
        <v>-0.14636146172129305</v>
      </c>
      <c r="V106" s="12">
        <f>bdrate(E106:E109,I106:I109,M106:M109,Q106:Q109)</f>
        <v>-0.1452228437945976</v>
      </c>
      <c r="W106" s="14">
        <f>bdrate(E106:E109,K106:K109,M106:M109,S106:S109)</f>
        <v>-0.11698023779911026</v>
      </c>
      <c r="X106" s="13">
        <f>bdrate(E108:E111,F108:F111,M108:M111,N108:N111)</f>
        <v>-0.23653095874416963</v>
      </c>
      <c r="Y106" s="12">
        <f>bdrate(E108:E111,H108:H111,M108:M111,P108:P111)</f>
        <v>-0.24249188390033027</v>
      </c>
      <c r="Z106" s="12">
        <f>bdrate(E108:E111,I108:I111,M108:M111,Q108:Q111)</f>
        <v>-0.26128843656195089</v>
      </c>
      <c r="AA106" s="14">
        <f>bdrate(E108:E111,K108:K111,M108:M111,S108:S111)</f>
        <v>-0.17480250443926748</v>
      </c>
      <c r="AB106" s="7">
        <v>256</v>
      </c>
      <c r="AC106" s="1">
        <v>1.02209369685374</v>
      </c>
      <c r="AD106" s="1">
        <v>45.324409175846</v>
      </c>
      <c r="AE106" s="1">
        <v>0.99686456377430299</v>
      </c>
      <c r="AF106" s="1">
        <v>25.037020282835801</v>
      </c>
      <c r="AG106" s="1">
        <v>48.226225215733102</v>
      </c>
      <c r="AH106" s="1">
        <v>0.99748669677123503</v>
      </c>
      <c r="AI106" s="1">
        <v>25.9975511083646</v>
      </c>
      <c r="AJ106" s="1">
        <v>829.59585976600601</v>
      </c>
      <c r="AK106" s="1">
        <v>513.41039848327603</v>
      </c>
      <c r="AL106" s="13">
        <f>bdrate(E106:E109,F106:F109,AC106:AC109,AD106:AD109)</f>
        <v>-0.23566072449548148</v>
      </c>
      <c r="AM106" s="12">
        <f>bdrate(E106:E109,H106:H109,AC106:AC109,AF106:AF109)</f>
        <v>-0.31215698022013116</v>
      </c>
      <c r="AN106" s="12">
        <f>bdrate(E106:E109,I106:I109,AC106:AC109,AG106:AG109)</f>
        <v>-0.23044499637316751</v>
      </c>
      <c r="AO106" s="14">
        <f>bdrate(E106:E109,K106:K109,AC106:AC109,AI106:AI109)</f>
        <v>-0.16399427701566915</v>
      </c>
      <c r="AP106" s="12">
        <f>bdrate(E108:E111,F108:F111,AC108:AC111,AD108:AD111)</f>
        <v>-0.24096547514999489</v>
      </c>
      <c r="AQ106" s="12">
        <f>bdrate(E108:E111,H108:H111,AC108:AC111,AF108:AF111)</f>
        <v>-0.29580402376736115</v>
      </c>
      <c r="AR106" s="12">
        <f>bdrate(E108:E111,I108:I111,AC108:AC111,AG108:AG111)</f>
        <v>-0.25284363310463465</v>
      </c>
      <c r="AS106" s="14">
        <f>bdrate(E108:E111,K108:K111,AC108:AC111,AI108:AI111)</f>
        <v>-0.15924925056303529</v>
      </c>
      <c r="AT106" s="7">
        <v>6.4</v>
      </c>
      <c r="AU106" s="1">
        <v>1.2057953337584999</v>
      </c>
      <c r="AV106" s="1">
        <v>44.519023395532301</v>
      </c>
      <c r="AW106" s="1">
        <v>0.99856145183961798</v>
      </c>
      <c r="AX106" s="1">
        <v>28.4207559401849</v>
      </c>
      <c r="AY106" s="1">
        <v>47.636138320459096</v>
      </c>
      <c r="AZ106" s="1">
        <v>0.99891596791142601</v>
      </c>
      <c r="BA106" s="1">
        <v>29.6495786200061</v>
      </c>
      <c r="BB106" s="1">
        <v>1235.8284482955901</v>
      </c>
      <c r="BC106" s="1">
        <v>500.57232522964398</v>
      </c>
      <c r="BD106" s="13">
        <f>bdrate(E106:E109,F106:F109,AU106:AU109,AV106:AV109)</f>
        <v>0.18126930014059028</v>
      </c>
      <c r="BE106" s="12">
        <f>bdrate(E106:E109,H106:H109,AU106:AU109,AX106:AX109)</f>
        <v>-0.5242068897914649</v>
      </c>
      <c r="BF106" s="12">
        <f>bdrate(E106:E109,I106:I109,AU106:AU109,AY106:AY109)</f>
        <v>0.12150592148065109</v>
      </c>
      <c r="BG106" s="14">
        <f>bdrate(E106:E109,K106:K109,AU106:AU109,BA106:BA109)</f>
        <v>-0.4202498672140087</v>
      </c>
      <c r="BH106" s="12">
        <f>bdrate(E108:E111,F108:F111,AU108:AU111,AV108:AV111)</f>
        <v>0.17630529448458621</v>
      </c>
      <c r="BI106" s="12">
        <f>bdrate(E108:E111,H108:H111,AU108:AU111,AX108:AX111)</f>
        <v>-0.47772700603011398</v>
      </c>
      <c r="BJ106" s="12">
        <f>bdrate(E108:E111,I108:I111,AU108:AU111,AY108:AY111)</f>
        <v>0.14270141033893458</v>
      </c>
      <c r="BK106" s="14">
        <f>bdrate(E108:E111,K108:K111,AU108:AU111,BA108:BA111)</f>
        <v>-0.39520131741718423</v>
      </c>
    </row>
    <row r="107" spans="1:63">
      <c r="A107" s="49"/>
      <c r="B107" s="7" t="s">
        <v>18</v>
      </c>
      <c r="C107" s="17">
        <v>1</v>
      </c>
      <c r="D107" s="7">
        <v>21</v>
      </c>
      <c r="E107" s="1">
        <v>0.96229857568027199</v>
      </c>
      <c r="F107" s="1">
        <v>43.693698318696399</v>
      </c>
      <c r="G107" s="1">
        <v>0.99488460349501096</v>
      </c>
      <c r="H107" s="1">
        <v>22.911206975814402</v>
      </c>
      <c r="I107" s="1">
        <v>46.750716068147902</v>
      </c>
      <c r="J107" s="1">
        <v>0.99663876379289595</v>
      </c>
      <c r="K107" s="8">
        <v>24.735009669006502</v>
      </c>
      <c r="L107" s="7">
        <v>19</v>
      </c>
      <c r="M107" s="1">
        <v>0.89671529549319695</v>
      </c>
      <c r="N107" s="1">
        <v>43.932552043781797</v>
      </c>
      <c r="O107" s="1">
        <v>0.99512886404532597</v>
      </c>
      <c r="P107" s="1">
        <v>23.1236974898695</v>
      </c>
      <c r="Q107" s="1">
        <v>46.994732000086302</v>
      </c>
      <c r="R107" s="1">
        <v>0.996770093781012</v>
      </c>
      <c r="S107" s="8">
        <v>24.9081008731822</v>
      </c>
      <c r="T107" s="7"/>
      <c r="U107" s="1"/>
      <c r="V107" s="1"/>
      <c r="W107" s="8"/>
      <c r="X107" s="7"/>
      <c r="Y107" s="1"/>
      <c r="Z107" s="1"/>
      <c r="AA107" s="8"/>
      <c r="AB107" s="7">
        <v>128</v>
      </c>
      <c r="AC107" s="1">
        <v>0.67617320365646205</v>
      </c>
      <c r="AD107" s="1">
        <v>43.356328239424101</v>
      </c>
      <c r="AE107" s="1">
        <v>0.99517147537621697</v>
      </c>
      <c r="AF107" s="1">
        <v>23.161855495034899</v>
      </c>
      <c r="AG107" s="1">
        <v>46.376717508050803</v>
      </c>
      <c r="AH107" s="1">
        <v>0.99600733990601797</v>
      </c>
      <c r="AI107" s="1">
        <v>23.9873766090302</v>
      </c>
      <c r="AJ107" s="1">
        <v>968.24800729751496</v>
      </c>
      <c r="AK107" s="1">
        <v>549.69702577590897</v>
      </c>
      <c r="AL107" s="7"/>
      <c r="AM107" s="1"/>
      <c r="AN107" s="1"/>
      <c r="AO107" s="8"/>
      <c r="AP107" s="1"/>
      <c r="AQ107" s="1"/>
      <c r="AR107" s="1"/>
      <c r="AS107" s="8"/>
      <c r="AT107" s="7">
        <v>3.2</v>
      </c>
      <c r="AU107" s="1">
        <v>0.87277024872448905</v>
      </c>
      <c r="AV107" s="1">
        <v>42.662013124627997</v>
      </c>
      <c r="AW107" s="1">
        <v>0.99776529656476898</v>
      </c>
      <c r="AX107" s="1">
        <v>26.507801033994799</v>
      </c>
      <c r="AY107" s="1">
        <v>45.926635615738199</v>
      </c>
      <c r="AZ107" s="1">
        <v>0.99823581055672295</v>
      </c>
      <c r="BA107" s="1">
        <v>27.5345478102276</v>
      </c>
      <c r="BB107" s="1">
        <v>923.58063006401005</v>
      </c>
      <c r="BC107" s="1">
        <v>509.70669770240698</v>
      </c>
      <c r="BD107" s="7"/>
      <c r="BE107" s="1"/>
      <c r="BF107" s="1"/>
      <c r="BG107" s="8"/>
      <c r="BH107" s="1"/>
      <c r="BI107" s="1"/>
      <c r="BJ107" s="1"/>
      <c r="BK107" s="8"/>
    </row>
    <row r="108" spans="1:63">
      <c r="A108" s="49"/>
      <c r="B108" s="7" t="s">
        <v>18</v>
      </c>
      <c r="C108" s="17">
        <v>0.5</v>
      </c>
      <c r="D108" s="7">
        <v>26</v>
      </c>
      <c r="E108" s="1">
        <v>0.47608737244897897</v>
      </c>
      <c r="F108" s="1">
        <v>40.728335430109396</v>
      </c>
      <c r="G108" s="1">
        <v>0.99001508967687701</v>
      </c>
      <c r="H108" s="1">
        <v>20.006558312787799</v>
      </c>
      <c r="I108" s="1">
        <v>43.835979120179701</v>
      </c>
      <c r="J108" s="1">
        <v>0.99275332072248101</v>
      </c>
      <c r="K108" s="8">
        <v>21.398609591986201</v>
      </c>
      <c r="L108" s="7">
        <v>24</v>
      </c>
      <c r="M108" s="1">
        <v>0.440221088435374</v>
      </c>
      <c r="N108" s="1">
        <v>41.091319906994201</v>
      </c>
      <c r="O108" s="1">
        <v>0.99088827934025803</v>
      </c>
      <c r="P108" s="1">
        <v>20.403996029974799</v>
      </c>
      <c r="Q108" s="1">
        <v>44.220727689515101</v>
      </c>
      <c r="R108" s="1">
        <v>0.99316500336475999</v>
      </c>
      <c r="S108" s="8">
        <v>21.652616948923601</v>
      </c>
      <c r="T108" s="7"/>
      <c r="U108" s="1"/>
      <c r="V108" s="1"/>
      <c r="W108" s="8"/>
      <c r="X108" s="7"/>
      <c r="Y108" s="1"/>
      <c r="Z108" s="1"/>
      <c r="AA108" s="8"/>
      <c r="AB108" s="7">
        <v>64</v>
      </c>
      <c r="AC108" s="1">
        <v>0.44786591198979497</v>
      </c>
      <c r="AD108" s="1">
        <v>41.488162041458601</v>
      </c>
      <c r="AE108" s="1">
        <v>0.992333912204166</v>
      </c>
      <c r="AF108" s="1">
        <v>21.154262112977399</v>
      </c>
      <c r="AG108" s="1">
        <v>44.584113168237302</v>
      </c>
      <c r="AH108" s="1">
        <v>0.99346314271895297</v>
      </c>
      <c r="AI108" s="1">
        <v>21.8463099686528</v>
      </c>
      <c r="AJ108" s="1">
        <v>929.56935572624195</v>
      </c>
      <c r="AK108" s="1">
        <v>425.27803468704201</v>
      </c>
      <c r="AL108" s="7"/>
      <c r="AM108" s="1"/>
      <c r="AN108" s="1"/>
      <c r="AO108" s="8"/>
      <c r="AP108" s="1"/>
      <c r="AQ108" s="1"/>
      <c r="AR108" s="1"/>
      <c r="AS108" s="8"/>
      <c r="AT108" s="7">
        <v>1.28</v>
      </c>
      <c r="AU108" s="1">
        <v>0.56791347789115598</v>
      </c>
      <c r="AV108" s="1">
        <v>40.544238488197102</v>
      </c>
      <c r="AW108" s="1">
        <v>0.99605842117322296</v>
      </c>
      <c r="AX108" s="1">
        <v>24.043297836534801</v>
      </c>
      <c r="AY108" s="1">
        <v>43.9270875690341</v>
      </c>
      <c r="AZ108" s="1">
        <v>0.99673991705682696</v>
      </c>
      <c r="BA108" s="1">
        <v>24.8677135045235</v>
      </c>
      <c r="BB108" s="1">
        <v>1045.09963583946</v>
      </c>
      <c r="BC108" s="1">
        <v>467.92568874359102</v>
      </c>
      <c r="BD108" s="7"/>
      <c r="BE108" s="1"/>
      <c r="BF108" s="1"/>
      <c r="BG108" s="8"/>
      <c r="BH108" s="1"/>
      <c r="BI108" s="1"/>
      <c r="BJ108" s="1"/>
      <c r="BK108" s="8"/>
    </row>
    <row r="109" spans="1:63">
      <c r="A109" s="49"/>
      <c r="B109" s="7" t="s">
        <v>18</v>
      </c>
      <c r="C109" s="17">
        <v>0.25</v>
      </c>
      <c r="D109" s="7">
        <v>31</v>
      </c>
      <c r="E109" s="1">
        <v>0.23518734056122401</v>
      </c>
      <c r="F109" s="1">
        <v>38.195705773496798</v>
      </c>
      <c r="G109" s="1">
        <v>0.98143574663982402</v>
      </c>
      <c r="H109" s="1">
        <v>17.313225130727002</v>
      </c>
      <c r="I109" s="1">
        <v>41.295768600774501</v>
      </c>
      <c r="J109" s="1">
        <v>0.98565797931214705</v>
      </c>
      <c r="K109" s="8">
        <v>18.433896553795599</v>
      </c>
      <c r="L109" s="7">
        <v>28</v>
      </c>
      <c r="M109" s="1">
        <v>0.246633981717687</v>
      </c>
      <c r="N109" s="1">
        <v>39.1438009432242</v>
      </c>
      <c r="O109" s="1">
        <v>0.98536830077028004</v>
      </c>
      <c r="P109" s="1">
        <v>18.3470523482905</v>
      </c>
      <c r="Q109" s="1">
        <v>42.322024748462802</v>
      </c>
      <c r="R109" s="1">
        <v>0.98825048941765503</v>
      </c>
      <c r="S109" s="8">
        <v>19.299802232487298</v>
      </c>
      <c r="T109" s="7"/>
      <c r="U109" s="1"/>
      <c r="V109" s="1"/>
      <c r="W109" s="8"/>
      <c r="X109" s="7"/>
      <c r="Y109" s="1"/>
      <c r="Z109" s="1"/>
      <c r="AA109" s="8"/>
      <c r="AB109" s="7">
        <v>32</v>
      </c>
      <c r="AC109" s="1">
        <v>0.28647932610544202</v>
      </c>
      <c r="AD109" s="1">
        <v>39.857320571873203</v>
      </c>
      <c r="AE109" s="1">
        <v>0.98828415859632601</v>
      </c>
      <c r="AF109" s="1">
        <v>19.3122651595727</v>
      </c>
      <c r="AG109" s="1">
        <v>43.007448660839401</v>
      </c>
      <c r="AH109" s="1">
        <v>0.98973304763956604</v>
      </c>
      <c r="AI109" s="1">
        <v>19.885584531380498</v>
      </c>
      <c r="AJ109" s="1">
        <v>554.234083652496</v>
      </c>
      <c r="AK109" s="1">
        <v>295.15939235687199</v>
      </c>
      <c r="AL109" s="7"/>
      <c r="AM109" s="1"/>
      <c r="AN109" s="1"/>
      <c r="AO109" s="8"/>
      <c r="AP109" s="1"/>
      <c r="AQ109" s="1"/>
      <c r="AR109" s="1"/>
      <c r="AS109" s="8"/>
      <c r="AT109" s="7">
        <v>0.32</v>
      </c>
      <c r="AU109" s="1">
        <v>0.27438748937074797</v>
      </c>
      <c r="AV109" s="1">
        <v>38.1684675627288</v>
      </c>
      <c r="AW109" s="1">
        <v>0.99124309894002904</v>
      </c>
      <c r="AX109" s="1">
        <v>20.5764955714988</v>
      </c>
      <c r="AY109" s="1">
        <v>41.446449281590297</v>
      </c>
      <c r="AZ109" s="1">
        <v>0.99250703877827895</v>
      </c>
      <c r="BA109" s="1">
        <v>21.253465149978499</v>
      </c>
      <c r="BB109" s="1">
        <v>521.81462359428394</v>
      </c>
      <c r="BC109" s="1">
        <v>378.71225190162602</v>
      </c>
      <c r="BD109" s="7"/>
      <c r="BE109" s="1"/>
      <c r="BF109" s="1"/>
      <c r="BG109" s="8"/>
      <c r="BH109" s="1"/>
      <c r="BI109" s="1"/>
      <c r="BJ109" s="1"/>
      <c r="BK109" s="8"/>
    </row>
    <row r="110" spans="1:63">
      <c r="A110" s="49"/>
      <c r="B110" s="7" t="s">
        <v>18</v>
      </c>
      <c r="C110" s="17">
        <v>0.12</v>
      </c>
      <c r="D110" s="7">
        <v>36</v>
      </c>
      <c r="E110" s="1">
        <v>0.109789806547619</v>
      </c>
      <c r="F110" s="1">
        <v>35.798887261567003</v>
      </c>
      <c r="G110" s="1">
        <v>0.96650915894925704</v>
      </c>
      <c r="H110" s="1">
        <v>14.750739459474399</v>
      </c>
      <c r="I110" s="1">
        <v>38.863747347071502</v>
      </c>
      <c r="J110" s="1">
        <v>0.97279087458727598</v>
      </c>
      <c r="K110" s="8">
        <v>15.6528541759298</v>
      </c>
      <c r="L110" s="7">
        <v>33</v>
      </c>
      <c r="M110" s="1">
        <v>0.116518920068027</v>
      </c>
      <c r="N110" s="1">
        <v>36.880146980204003</v>
      </c>
      <c r="O110" s="1">
        <v>0.97448902439390295</v>
      </c>
      <c r="P110" s="1">
        <v>15.932729325214201</v>
      </c>
      <c r="Q110" s="1">
        <v>40.092521646802403</v>
      </c>
      <c r="R110" s="1">
        <v>0.97808094974943405</v>
      </c>
      <c r="S110" s="8">
        <v>16.591782677001898</v>
      </c>
      <c r="T110" s="7"/>
      <c r="U110" s="1"/>
      <c r="V110" s="1"/>
      <c r="W110" s="8"/>
      <c r="X110" s="7"/>
      <c r="Y110" s="1"/>
      <c r="Z110" s="1"/>
      <c r="AA110" s="8"/>
      <c r="AB110" s="7">
        <v>8</v>
      </c>
      <c r="AC110" s="1">
        <v>0.118932025935374</v>
      </c>
      <c r="AD110" s="1">
        <v>36.888957259339598</v>
      </c>
      <c r="AE110" s="1">
        <v>0.97582424696673498</v>
      </c>
      <c r="AF110" s="1">
        <v>16.166199895056401</v>
      </c>
      <c r="AG110" s="1">
        <v>40.048265459109402</v>
      </c>
      <c r="AH110" s="1">
        <v>0.97790062461153904</v>
      </c>
      <c r="AI110" s="1">
        <v>16.556200009383499</v>
      </c>
      <c r="AJ110" s="1">
        <v>369.715367555618</v>
      </c>
      <c r="AK110" s="1">
        <v>240.88112688064501</v>
      </c>
      <c r="AL110" s="7"/>
      <c r="AM110" s="1"/>
      <c r="AN110" s="1"/>
      <c r="AO110" s="8"/>
      <c r="AP110" s="1"/>
      <c r="AQ110" s="1"/>
      <c r="AR110" s="1"/>
      <c r="AS110" s="8"/>
      <c r="AT110" s="7">
        <v>0.08</v>
      </c>
      <c r="AU110" s="1">
        <v>0.115569462159863</v>
      </c>
      <c r="AV110" s="1">
        <v>35.587247029443603</v>
      </c>
      <c r="AW110" s="1">
        <v>0.98029792689259199</v>
      </c>
      <c r="AX110" s="1">
        <v>17.054880737502</v>
      </c>
      <c r="AY110" s="1">
        <v>38.643941501320903</v>
      </c>
      <c r="AZ110" s="1">
        <v>0.98262139944142601</v>
      </c>
      <c r="BA110" s="1">
        <v>17.599851987826</v>
      </c>
      <c r="BB110" s="1">
        <v>353.36767673492398</v>
      </c>
      <c r="BC110" s="1">
        <v>239.05373358726499</v>
      </c>
      <c r="BD110" s="7"/>
      <c r="BE110" s="1"/>
      <c r="BF110" s="1"/>
      <c r="BG110" s="8"/>
      <c r="BH110" s="1"/>
      <c r="BI110" s="1"/>
      <c r="BJ110" s="1"/>
      <c r="BK110" s="8"/>
    </row>
    <row r="111" spans="1:63">
      <c r="A111" s="49"/>
      <c r="B111" s="7" t="s">
        <v>18</v>
      </c>
      <c r="C111" s="17">
        <v>0.06</v>
      </c>
      <c r="D111" s="7">
        <v>40</v>
      </c>
      <c r="E111" s="1">
        <v>5.7553411989795897E-2</v>
      </c>
      <c r="F111" s="1">
        <v>33.975959662608297</v>
      </c>
      <c r="G111" s="1">
        <v>0.94861937773795402</v>
      </c>
      <c r="H111" s="1">
        <v>12.892006403706301</v>
      </c>
      <c r="I111" s="1">
        <v>36.994301359266998</v>
      </c>
      <c r="J111" s="1">
        <v>0.95654780921853999</v>
      </c>
      <c r="K111" s="8">
        <v>13.6198832231512</v>
      </c>
      <c r="L111" s="7">
        <v>38</v>
      </c>
      <c r="M111" s="1">
        <v>5.2564838435374101E-2</v>
      </c>
      <c r="N111" s="1">
        <v>34.692382506647597</v>
      </c>
      <c r="O111" s="1">
        <v>0.95655864023562198</v>
      </c>
      <c r="P111" s="1">
        <v>13.6209658929114</v>
      </c>
      <c r="Q111" s="1">
        <v>37.862960908303698</v>
      </c>
      <c r="R111" s="1">
        <v>0.96071181278459705</v>
      </c>
      <c r="S111" s="8">
        <v>14.057380093788201</v>
      </c>
      <c r="T111" s="7"/>
      <c r="U111" s="1"/>
      <c r="V111" s="1"/>
      <c r="W111" s="8"/>
      <c r="X111" s="7"/>
      <c r="Y111" s="1"/>
      <c r="Z111" s="1"/>
      <c r="AA111" s="8"/>
      <c r="AB111" s="7">
        <v>2</v>
      </c>
      <c r="AC111" s="1">
        <v>4.5306388180272099E-2</v>
      </c>
      <c r="AD111" s="1">
        <v>34.035037552523001</v>
      </c>
      <c r="AE111" s="1">
        <v>0.95234036019318902</v>
      </c>
      <c r="AF111" s="1">
        <v>13.2184924420747</v>
      </c>
      <c r="AG111" s="1">
        <v>37.052713652114001</v>
      </c>
      <c r="AH111" s="1">
        <v>0.95477481688865096</v>
      </c>
      <c r="AI111" s="1">
        <v>13.446196660582601</v>
      </c>
      <c r="AJ111" s="1">
        <v>787.60630369186401</v>
      </c>
      <c r="AK111" s="1">
        <v>468.45813322067198</v>
      </c>
      <c r="AL111" s="7"/>
      <c r="AM111" s="1"/>
      <c r="AN111" s="1"/>
      <c r="AO111" s="8"/>
      <c r="AP111" s="1"/>
      <c r="AQ111" s="1"/>
      <c r="AR111" s="1"/>
      <c r="AS111" s="8"/>
      <c r="AT111" s="7">
        <v>0.04</v>
      </c>
      <c r="AU111" s="1">
        <v>7.4339126275510203E-2</v>
      </c>
      <c r="AV111" s="1">
        <v>34.026512387208903</v>
      </c>
      <c r="AW111" s="1">
        <v>0.97160160007912799</v>
      </c>
      <c r="AX111" s="1">
        <v>15.4670612914706</v>
      </c>
      <c r="AY111" s="1">
        <v>36.796815515108001</v>
      </c>
      <c r="AZ111" s="1">
        <v>0.97483884282948396</v>
      </c>
      <c r="BA111" s="1">
        <v>15.992693894106701</v>
      </c>
      <c r="BB111" s="1">
        <v>632.45482540130604</v>
      </c>
      <c r="BC111" s="1">
        <v>388.76078653335497</v>
      </c>
      <c r="BD111" s="7"/>
      <c r="BE111" s="1"/>
      <c r="BF111" s="1"/>
      <c r="BG111" s="8"/>
      <c r="BH111" s="1"/>
      <c r="BI111" s="1"/>
      <c r="BJ111" s="1"/>
      <c r="BK111" s="8"/>
    </row>
    <row r="112" spans="1:63">
      <c r="A112" s="49"/>
      <c r="B112" s="7" t="s">
        <v>37</v>
      </c>
      <c r="C112" s="17">
        <v>1.5</v>
      </c>
      <c r="D112" s="7">
        <v>19</v>
      </c>
      <c r="E112" s="1">
        <v>1.46756882440476</v>
      </c>
      <c r="F112" s="1">
        <v>44.778746811488702</v>
      </c>
      <c r="G112" s="1">
        <v>0.99689103370856402</v>
      </c>
      <c r="H112" s="1">
        <v>25.073839867129799</v>
      </c>
      <c r="I112" s="1">
        <v>47.831366893755501</v>
      </c>
      <c r="J112" s="1">
        <v>0.99797380373364597</v>
      </c>
      <c r="K112" s="8">
        <v>26.933184892491401</v>
      </c>
      <c r="L112" s="7">
        <v>17</v>
      </c>
      <c r="M112" s="1">
        <v>1.36244844812925</v>
      </c>
      <c r="N112" s="1">
        <v>44.981393840013403</v>
      </c>
      <c r="O112" s="1">
        <v>0.99713442586575296</v>
      </c>
      <c r="P112" s="1">
        <v>25.4278835158328</v>
      </c>
      <c r="Q112" s="1">
        <v>48.105085056667498</v>
      </c>
      <c r="R112" s="1">
        <v>0.99806670504669703</v>
      </c>
      <c r="S112" s="8">
        <v>27.1370188274349</v>
      </c>
      <c r="T112" s="13">
        <f>bdrate(E112:E115,F112:F115,M112:M115,N112:N115)</f>
        <v>-0.1486056790960204</v>
      </c>
      <c r="U112" s="12">
        <f>bdrate(E112:E115,H112:H115,M112:M115,P112:P115)</f>
        <v>-0.16042373648364139</v>
      </c>
      <c r="V112" s="12">
        <f>bdrate(E112:E115,I112:I115,M112:M115,Q112:Q115)</f>
        <v>-0.16097217999652436</v>
      </c>
      <c r="W112" s="14">
        <f>bdrate(E112:E115,K112:K115,M112:M115,S112:S115)</f>
        <v>-0.11853292077329691</v>
      </c>
      <c r="X112" s="13">
        <f>bdrate(E114:E117,F114:F117,M114:M117,N114:N117)</f>
        <v>-0.18675014427247982</v>
      </c>
      <c r="Y112" s="12">
        <f>bdrate(E114:E117,H114:H117,M114:M117,P114:P117)</f>
        <v>-0.18006686626140722</v>
      </c>
      <c r="Z112" s="12">
        <f>bdrate(E114:E117,I114:I117,M114:M117,Q114:Q117)</f>
        <v>-0.22096541497528133</v>
      </c>
      <c r="AA112" s="14">
        <f>bdrate(E114:E117,K114:K117,M114:M117,S114:S117)</f>
        <v>-0.14140808742284705</v>
      </c>
      <c r="AB112" s="7">
        <v>256</v>
      </c>
      <c r="AC112" s="1">
        <v>1.1731842580782299</v>
      </c>
      <c r="AD112" s="1">
        <v>45.315332721792103</v>
      </c>
      <c r="AE112" s="1">
        <v>0.99736080991753095</v>
      </c>
      <c r="AF112" s="1">
        <v>25.785293294487101</v>
      </c>
      <c r="AG112" s="1">
        <v>48.119250745426797</v>
      </c>
      <c r="AH112" s="1">
        <v>0.997921184046618</v>
      </c>
      <c r="AI112" s="1">
        <v>26.821839589459898</v>
      </c>
      <c r="AJ112" s="1">
        <v>848.54662489890995</v>
      </c>
      <c r="AK112" s="1">
        <v>521.72309637069702</v>
      </c>
      <c r="AL112" s="13">
        <f>bdrate(E112:E115,F112:F115,AC112:AC115,AD112:AD115)</f>
        <v>-0.24085811426658355</v>
      </c>
      <c r="AM112" s="12">
        <f>bdrate(E112:E115,H112:H115,AC112:AC115,AF112:AF115)</f>
        <v>-0.25401396094219708</v>
      </c>
      <c r="AN112" s="12">
        <f>bdrate(E112:E115,I112:I115,AC112:AC115,AG112:AG115)</f>
        <v>-0.22916079448162874</v>
      </c>
      <c r="AO112" s="14">
        <f>bdrate(E112:E115,K112:K115,AC112:AC115,AI112:AI115)</f>
        <v>-0.16266839818232282</v>
      </c>
      <c r="AP112" s="12">
        <f>bdrate(E114:E117,F114:F117,AC114:AC117,AD114:AD117)</f>
        <v>-0.17096028916493999</v>
      </c>
      <c r="AQ112" s="12">
        <f>bdrate(E114:E117,H114:H117,AC114:AC117,AF114:AF117)</f>
        <v>-0.18454076497050453</v>
      </c>
      <c r="AR112" s="12">
        <f>bdrate(E114:E117,I114:I117,AC114:AC117,AG114:AG117)</f>
        <v>-0.1630128646972786</v>
      </c>
      <c r="AS112" s="14">
        <f>bdrate(E114:E117,K114:K117,AC114:AC117,AI114:AI117)</f>
        <v>-0.11180832793523032</v>
      </c>
      <c r="AT112" s="7">
        <v>6.4</v>
      </c>
      <c r="AU112" s="1">
        <v>1.23761027848639</v>
      </c>
      <c r="AV112" s="1">
        <v>43.9222540200224</v>
      </c>
      <c r="AW112" s="1">
        <v>0.99861394738588805</v>
      </c>
      <c r="AX112" s="1">
        <v>28.5822028373229</v>
      </c>
      <c r="AY112" s="1">
        <v>46.982709333331002</v>
      </c>
      <c r="AZ112" s="1">
        <v>0.99893199429587998</v>
      </c>
      <c r="BA112" s="1">
        <v>29.714264277746</v>
      </c>
      <c r="BB112" s="1">
        <v>1149.7320542335499</v>
      </c>
      <c r="BC112" s="1">
        <v>489.89538478851301</v>
      </c>
      <c r="BD112" s="13">
        <f>bdrate(E112:E115,F112:F115,AU112:AU115,AV112:AV115)</f>
        <v>8.9605496966521203E-2</v>
      </c>
      <c r="BE112" s="12">
        <f>bdrate(E112:E115,H112:H115,AU112:AU115,AX112:AX115)</f>
        <v>-0.45490001590063189</v>
      </c>
      <c r="BF112" s="12">
        <f>bdrate(E112:E115,I112:I115,AU112:AU115,AY112:AY115)</f>
        <v>4.4934234186295718E-2</v>
      </c>
      <c r="BG112" s="14">
        <f>bdrate(E112:E115,K112:K115,AU112:AU115,BA112:BA115)</f>
        <v>-0.37780099744373452</v>
      </c>
      <c r="BH112" s="12">
        <f>bdrate(E114:E117,F114:F117,AU114:AU117,AV114:AV117)</f>
        <v>0.12312390318582911</v>
      </c>
      <c r="BI112" s="12">
        <f>bdrate(E114:E117,H114:H117,AU114:AU117,AX114:AX117)</f>
        <v>-0.38651037028093704</v>
      </c>
      <c r="BJ112" s="12">
        <f>bdrate(E114:E117,I114:I117,AU114:AU117,AY114:AY117)</f>
        <v>0.1507493074465136</v>
      </c>
      <c r="BK112" s="14">
        <f>bdrate(E114:E117,K114:K117,AU114:AU117,BA114:BA117)</f>
        <v>-0.32765309125231423</v>
      </c>
    </row>
    <row r="113" spans="1:63">
      <c r="A113" s="49"/>
      <c r="B113" s="7" t="s">
        <v>18</v>
      </c>
      <c r="C113" s="17">
        <v>1</v>
      </c>
      <c r="D113" s="7">
        <v>23</v>
      </c>
      <c r="E113" s="1">
        <v>0.92102386267006797</v>
      </c>
      <c r="F113" s="1">
        <v>42.256523870144399</v>
      </c>
      <c r="G113" s="1">
        <v>0.994743616935718</v>
      </c>
      <c r="H113" s="1">
        <v>22.793129926412899</v>
      </c>
      <c r="I113" s="1">
        <v>45.286055984879397</v>
      </c>
      <c r="J113" s="1">
        <v>0.99627640149019303</v>
      </c>
      <c r="K113" s="8">
        <v>24.290371521739399</v>
      </c>
      <c r="L113" s="7">
        <v>20</v>
      </c>
      <c r="M113" s="1">
        <v>0.96459821428571402</v>
      </c>
      <c r="N113" s="1">
        <v>43.207278611676301</v>
      </c>
      <c r="O113" s="1">
        <v>0.99578990396575595</v>
      </c>
      <c r="P113" s="1">
        <v>23.7570799759274</v>
      </c>
      <c r="Q113" s="1">
        <v>46.273713474946902</v>
      </c>
      <c r="R113" s="1">
        <v>0.99695100865923902</v>
      </c>
      <c r="S113" s="8">
        <v>25.158438090439699</v>
      </c>
      <c r="T113" s="7"/>
      <c r="U113" s="1"/>
      <c r="V113" s="1"/>
      <c r="W113" s="8"/>
      <c r="X113" s="7"/>
      <c r="Y113" s="1"/>
      <c r="Z113" s="1"/>
      <c r="AA113" s="8"/>
      <c r="AB113" s="7">
        <v>128</v>
      </c>
      <c r="AC113" s="1">
        <v>0.82664407950680197</v>
      </c>
      <c r="AD113" s="1">
        <v>43.280564948019197</v>
      </c>
      <c r="AE113" s="1">
        <v>0.99590849191758801</v>
      </c>
      <c r="AF113" s="1">
        <v>23.881165865767699</v>
      </c>
      <c r="AG113" s="1">
        <v>46.183503174766301</v>
      </c>
      <c r="AH113" s="1">
        <v>0.99667773899621503</v>
      </c>
      <c r="AI113" s="1">
        <v>24.785662514599899</v>
      </c>
      <c r="AJ113" s="1">
        <v>973.90289568901005</v>
      </c>
      <c r="AK113" s="1">
        <v>545.03516483306805</v>
      </c>
      <c r="AL113" s="7"/>
      <c r="AM113" s="1"/>
      <c r="AN113" s="1"/>
      <c r="AO113" s="8"/>
      <c r="AP113" s="1"/>
      <c r="AQ113" s="1"/>
      <c r="AR113" s="1"/>
      <c r="AS113" s="8"/>
      <c r="AT113" s="7">
        <v>3.2</v>
      </c>
      <c r="AU113" s="1">
        <v>0.92037335246598595</v>
      </c>
      <c r="AV113" s="1">
        <v>42.0104024216553</v>
      </c>
      <c r="AW113" s="1">
        <v>0.99782859958063597</v>
      </c>
      <c r="AX113" s="1">
        <v>26.632600826326499</v>
      </c>
      <c r="AY113" s="1">
        <v>45.230716988398598</v>
      </c>
      <c r="AZ113" s="1">
        <v>0.99825134871373</v>
      </c>
      <c r="BA113" s="1">
        <v>27.572967883190199</v>
      </c>
      <c r="BB113" s="1">
        <v>909.74441862106301</v>
      </c>
      <c r="BC113" s="1">
        <v>521.52171134948696</v>
      </c>
      <c r="BD113" s="7"/>
      <c r="BE113" s="1"/>
      <c r="BF113" s="1"/>
      <c r="BG113" s="8"/>
      <c r="BH113" s="1"/>
      <c r="BI113" s="1"/>
      <c r="BJ113" s="1"/>
      <c r="BK113" s="8"/>
    </row>
    <row r="114" spans="1:63">
      <c r="A114" s="49"/>
      <c r="B114" s="7" t="s">
        <v>18</v>
      </c>
      <c r="C114" s="17">
        <v>0.5</v>
      </c>
      <c r="D114" s="7">
        <v>29</v>
      </c>
      <c r="E114" s="1">
        <v>0.44816167091836701</v>
      </c>
      <c r="F114" s="1">
        <v>38.807739224180203</v>
      </c>
      <c r="G114" s="1">
        <v>0.98818099675407001</v>
      </c>
      <c r="H114" s="1">
        <v>19.274191480779098</v>
      </c>
      <c r="I114" s="1">
        <v>41.902235042530997</v>
      </c>
      <c r="J114" s="1">
        <v>0.99088622920750302</v>
      </c>
      <c r="K114" s="8">
        <v>20.4030189793984</v>
      </c>
      <c r="L114" s="7">
        <v>26</v>
      </c>
      <c r="M114" s="1">
        <v>0.46491842049319698</v>
      </c>
      <c r="N114" s="1">
        <v>39.774134977906101</v>
      </c>
      <c r="O114" s="1">
        <v>0.990792843321876</v>
      </c>
      <c r="P114" s="1">
        <v>20.358744663993299</v>
      </c>
      <c r="Q114" s="1">
        <v>42.921384587745898</v>
      </c>
      <c r="R114" s="1">
        <v>0.99261913729445705</v>
      </c>
      <c r="S114" s="8">
        <v>21.318928730876099</v>
      </c>
      <c r="T114" s="7"/>
      <c r="U114" s="1"/>
      <c r="V114" s="1"/>
      <c r="W114" s="8"/>
      <c r="X114" s="7"/>
      <c r="Y114" s="1"/>
      <c r="Z114" s="1"/>
      <c r="AA114" s="8"/>
      <c r="AB114" s="7">
        <v>64</v>
      </c>
      <c r="AC114" s="1">
        <v>0.58765598426870702</v>
      </c>
      <c r="AD114" s="1">
        <v>41.389329657274402</v>
      </c>
      <c r="AE114" s="1">
        <v>0.99376143870915701</v>
      </c>
      <c r="AF114" s="1">
        <v>22.049155538255</v>
      </c>
      <c r="AG114" s="1">
        <v>44.364151888365903</v>
      </c>
      <c r="AH114" s="1">
        <v>0.99477493231374403</v>
      </c>
      <c r="AI114" s="1">
        <v>22.819080792691999</v>
      </c>
      <c r="AJ114" s="1">
        <v>960.61051774024895</v>
      </c>
      <c r="AK114" s="1">
        <v>429.25699019432</v>
      </c>
      <c r="AL114" s="7"/>
      <c r="AM114" s="1"/>
      <c r="AN114" s="1"/>
      <c r="AO114" s="8"/>
      <c r="AP114" s="1"/>
      <c r="AQ114" s="1"/>
      <c r="AR114" s="1"/>
      <c r="AS114" s="8"/>
      <c r="AT114" s="7">
        <v>0.64</v>
      </c>
      <c r="AU114" s="1">
        <v>0.45663823341836701</v>
      </c>
      <c r="AV114" s="1">
        <v>38.2769161908328</v>
      </c>
      <c r="AW114" s="1">
        <v>0.99421829543404405</v>
      </c>
      <c r="AX114" s="1">
        <v>22.379441037157601</v>
      </c>
      <c r="AY114" s="1">
        <v>41.648967919052602</v>
      </c>
      <c r="AZ114" s="1">
        <v>0.99501126707630605</v>
      </c>
      <c r="BA114" s="1">
        <v>23.020097457843701</v>
      </c>
      <c r="BB114" s="1">
        <v>649.19287276268005</v>
      </c>
      <c r="BC114" s="1">
        <v>388.18882727622901</v>
      </c>
      <c r="BD114" s="7"/>
      <c r="BE114" s="1"/>
      <c r="BF114" s="1"/>
      <c r="BG114" s="8"/>
      <c r="BH114" s="1"/>
      <c r="BI114" s="1"/>
      <c r="BJ114" s="1"/>
      <c r="BK114" s="8"/>
    </row>
    <row r="115" spans="1:63">
      <c r="A115" s="49"/>
      <c r="B115" s="7" t="s">
        <v>18</v>
      </c>
      <c r="C115" s="17">
        <v>0.25</v>
      </c>
      <c r="D115" s="7">
        <v>34</v>
      </c>
      <c r="E115" s="1">
        <v>0.226787308673469</v>
      </c>
      <c r="F115" s="1">
        <v>35.975073278948599</v>
      </c>
      <c r="G115" s="1">
        <v>0.97551886935972298</v>
      </c>
      <c r="H115" s="1">
        <v>16.1116852854061</v>
      </c>
      <c r="I115" s="1">
        <v>39.164152250177402</v>
      </c>
      <c r="J115" s="1">
        <v>0.97958863183455203</v>
      </c>
      <c r="K115" s="8">
        <v>16.901278837312798</v>
      </c>
      <c r="L115" s="7">
        <v>31</v>
      </c>
      <c r="M115" s="1">
        <v>0.24055192389455701</v>
      </c>
      <c r="N115" s="1">
        <v>36.983010834918801</v>
      </c>
      <c r="O115" s="1">
        <v>0.98118635632167805</v>
      </c>
      <c r="P115" s="1">
        <v>17.255270855690899</v>
      </c>
      <c r="Q115" s="1">
        <v>40.264453470312901</v>
      </c>
      <c r="R115" s="1">
        <v>0.98379959914172999</v>
      </c>
      <c r="S115" s="8">
        <v>17.904742392610299</v>
      </c>
      <c r="T115" s="7"/>
      <c r="U115" s="1"/>
      <c r="V115" s="1"/>
      <c r="W115" s="8"/>
      <c r="X115" s="7"/>
      <c r="Y115" s="1"/>
      <c r="Z115" s="1"/>
      <c r="AA115" s="8"/>
      <c r="AB115" s="7">
        <v>16</v>
      </c>
      <c r="AC115" s="1">
        <v>0.27741868622448901</v>
      </c>
      <c r="AD115" s="1">
        <v>37.713046570219802</v>
      </c>
      <c r="AE115" s="1">
        <v>0.98458670535721904</v>
      </c>
      <c r="AF115" s="1">
        <v>18.1210451947466</v>
      </c>
      <c r="AG115" s="1">
        <v>40.810560122711998</v>
      </c>
      <c r="AH115" s="1">
        <v>0.98626192804320301</v>
      </c>
      <c r="AI115" s="1">
        <v>18.620742132210601</v>
      </c>
      <c r="AJ115" s="1">
        <v>518.76675367355301</v>
      </c>
      <c r="AK115" s="1">
        <v>370.87461209297101</v>
      </c>
      <c r="AL115" s="7"/>
      <c r="AM115" s="1"/>
      <c r="AN115" s="1"/>
      <c r="AO115" s="8"/>
      <c r="AP115" s="1"/>
      <c r="AQ115" s="1"/>
      <c r="AR115" s="1"/>
      <c r="AS115" s="8"/>
      <c r="AT115" s="7">
        <v>0.16</v>
      </c>
      <c r="AU115" s="1">
        <v>0.2365340667517</v>
      </c>
      <c r="AV115" s="1">
        <v>35.857093632876101</v>
      </c>
      <c r="AW115" s="1">
        <v>0.98644346248833004</v>
      </c>
      <c r="AX115" s="1">
        <v>18.678512198786201</v>
      </c>
      <c r="AY115" s="1">
        <v>39.0883442690116</v>
      </c>
      <c r="AZ115" s="1">
        <v>0.98788862817807399</v>
      </c>
      <c r="BA115" s="1">
        <v>19.1680666272397</v>
      </c>
      <c r="BB115" s="1">
        <v>603.21685218811001</v>
      </c>
      <c r="BC115" s="1">
        <v>406.97411036491297</v>
      </c>
      <c r="BD115" s="7"/>
      <c r="BE115" s="1"/>
      <c r="BF115" s="1"/>
      <c r="BG115" s="8"/>
      <c r="BH115" s="1"/>
      <c r="BI115" s="1"/>
      <c r="BJ115" s="1"/>
      <c r="BK115" s="8"/>
    </row>
    <row r="116" spans="1:63">
      <c r="A116" s="49"/>
      <c r="B116" s="7" t="s">
        <v>18</v>
      </c>
      <c r="C116" s="17">
        <v>0.12</v>
      </c>
      <c r="D116" s="7">
        <v>38</v>
      </c>
      <c r="E116" s="1">
        <v>0.11899287840136</v>
      </c>
      <c r="F116" s="1">
        <v>33.747524585485898</v>
      </c>
      <c r="G116" s="1">
        <v>0.95619581742982496</v>
      </c>
      <c r="H116" s="1">
        <v>13.584844196232201</v>
      </c>
      <c r="I116" s="1">
        <v>37.037377496459598</v>
      </c>
      <c r="J116" s="1">
        <v>0.96110435355968504</v>
      </c>
      <c r="K116" s="8">
        <v>14.100990062001999</v>
      </c>
      <c r="L116" s="7">
        <v>36</v>
      </c>
      <c r="M116" s="1">
        <v>0.11254517431972701</v>
      </c>
      <c r="N116" s="1">
        <v>34.263281264518298</v>
      </c>
      <c r="O116" s="1">
        <v>0.96123698139493197</v>
      </c>
      <c r="P116" s="1">
        <v>14.115824103499101</v>
      </c>
      <c r="Q116" s="1">
        <v>37.696751483270504</v>
      </c>
      <c r="R116" s="1">
        <v>0.96461957317814395</v>
      </c>
      <c r="S116" s="8">
        <v>14.5123693215952</v>
      </c>
      <c r="T116" s="7"/>
      <c r="U116" s="1"/>
      <c r="V116" s="1"/>
      <c r="W116" s="8"/>
      <c r="X116" s="7"/>
      <c r="Y116" s="1"/>
      <c r="Z116" s="1"/>
      <c r="AA116" s="8"/>
      <c r="AB116" s="7">
        <v>4</v>
      </c>
      <c r="AC116" s="1">
        <v>0.124374734268707</v>
      </c>
      <c r="AD116" s="1">
        <v>34.355759247978497</v>
      </c>
      <c r="AE116" s="1">
        <v>0.96337786609088105</v>
      </c>
      <c r="AF116" s="1">
        <v>14.362563537002201</v>
      </c>
      <c r="AG116" s="1">
        <v>37.581315287925399</v>
      </c>
      <c r="AH116" s="1">
        <v>0.96549382433247299</v>
      </c>
      <c r="AI116" s="1">
        <v>14.6210317106276</v>
      </c>
      <c r="AJ116" s="1">
        <v>494.93812704086298</v>
      </c>
      <c r="AK116" s="1">
        <v>370.39386558532698</v>
      </c>
      <c r="AL116" s="7"/>
      <c r="AM116" s="1"/>
      <c r="AN116" s="1"/>
      <c r="AO116" s="8"/>
      <c r="AP116" s="1"/>
      <c r="AQ116" s="1"/>
      <c r="AR116" s="1"/>
      <c r="AS116" s="8"/>
      <c r="AT116" s="7">
        <v>0.08</v>
      </c>
      <c r="AU116" s="1">
        <v>0.16231850552721</v>
      </c>
      <c r="AV116" s="1">
        <v>34.3370057803075</v>
      </c>
      <c r="AW116" s="1">
        <v>0.97885271436223698</v>
      </c>
      <c r="AX116" s="1">
        <v>16.7474536862902</v>
      </c>
      <c r="AY116" s="1">
        <v>37.359527491799497</v>
      </c>
      <c r="AZ116" s="1">
        <v>0.98072171261840002</v>
      </c>
      <c r="BA116" s="1">
        <v>17.149315499849099</v>
      </c>
      <c r="BB116" s="1">
        <v>349.59437012672402</v>
      </c>
      <c r="BC116" s="1">
        <v>237.931612253189</v>
      </c>
      <c r="BD116" s="7"/>
      <c r="BE116" s="1"/>
      <c r="BF116" s="1"/>
      <c r="BG116" s="8"/>
      <c r="BH116" s="1"/>
      <c r="BI116" s="1"/>
      <c r="BJ116" s="1"/>
      <c r="BK116" s="8"/>
    </row>
    <row r="117" spans="1:63">
      <c r="A117" s="49"/>
      <c r="B117" s="7" t="s">
        <v>18</v>
      </c>
      <c r="C117" s="17">
        <v>0.06</v>
      </c>
      <c r="D117" s="7">
        <v>42</v>
      </c>
      <c r="E117" s="1">
        <v>5.7849436649659802E-2</v>
      </c>
      <c r="F117" s="1">
        <v>31.738483182717701</v>
      </c>
      <c r="G117" s="1">
        <v>0.92505278238513999</v>
      </c>
      <c r="H117" s="1">
        <v>11.252444855234099</v>
      </c>
      <c r="I117" s="1">
        <v>35.100427014032299</v>
      </c>
      <c r="J117" s="1">
        <v>0.93028556669371498</v>
      </c>
      <c r="K117" s="8">
        <v>11.566772985683899</v>
      </c>
      <c r="L117" s="7">
        <v>40</v>
      </c>
      <c r="M117" s="1">
        <v>5.6335299744897899E-2</v>
      </c>
      <c r="N117" s="1">
        <v>32.225174719981801</v>
      </c>
      <c r="O117" s="1">
        <v>0.93285310453402004</v>
      </c>
      <c r="P117" s="1">
        <v>11.7297406211905</v>
      </c>
      <c r="Q117" s="1">
        <v>35.697847549415798</v>
      </c>
      <c r="R117" s="1">
        <v>0.936977088935671</v>
      </c>
      <c r="S117" s="8">
        <v>12.005015403880501</v>
      </c>
      <c r="T117" s="7"/>
      <c r="U117" s="1"/>
      <c r="V117" s="1"/>
      <c r="W117" s="8"/>
      <c r="X117" s="7"/>
      <c r="Y117" s="1"/>
      <c r="Z117" s="1"/>
      <c r="AA117" s="8"/>
      <c r="AB117" s="7">
        <v>2</v>
      </c>
      <c r="AC117" s="1">
        <v>6.7937127976190406E-2</v>
      </c>
      <c r="AD117" s="1">
        <v>32.616290319511002</v>
      </c>
      <c r="AE117" s="1">
        <v>0.94148916386541104</v>
      </c>
      <c r="AF117" s="1">
        <v>12.3276369566738</v>
      </c>
      <c r="AG117" s="1">
        <v>35.899675891410297</v>
      </c>
      <c r="AH117" s="1">
        <v>0.94343463381395798</v>
      </c>
      <c r="AI117" s="1">
        <v>12.4744939704639</v>
      </c>
      <c r="AJ117" s="1">
        <v>797.98492169380097</v>
      </c>
      <c r="AK117" s="1">
        <v>472.67322611808697</v>
      </c>
      <c r="AL117" s="7"/>
      <c r="AM117" s="1"/>
      <c r="AN117" s="1"/>
      <c r="AO117" s="8"/>
      <c r="AP117" s="1"/>
      <c r="AQ117" s="1"/>
      <c r="AR117" s="1"/>
      <c r="AS117" s="8"/>
      <c r="AT117" s="7">
        <v>0.04</v>
      </c>
      <c r="AU117" s="1">
        <v>0.10934762967687001</v>
      </c>
      <c r="AV117" s="1">
        <v>32.788251284694503</v>
      </c>
      <c r="AW117" s="1">
        <v>0.96785696358902096</v>
      </c>
      <c r="AX117" s="1">
        <v>14.9291309974924</v>
      </c>
      <c r="AY117" s="1">
        <v>35.690759802742399</v>
      </c>
      <c r="AZ117" s="1">
        <v>0.97038730378112603</v>
      </c>
      <c r="BA117" s="1">
        <v>15.2852204854889</v>
      </c>
      <c r="BB117" s="1">
        <v>668.89098024368195</v>
      </c>
      <c r="BC117" s="1">
        <v>422.512843370437</v>
      </c>
      <c r="BD117" s="7"/>
      <c r="BE117" s="1"/>
      <c r="BF117" s="1"/>
      <c r="BG117" s="8"/>
      <c r="BH117" s="1"/>
      <c r="BI117" s="1"/>
      <c r="BJ117" s="1"/>
      <c r="BK117" s="8"/>
    </row>
    <row r="118" spans="1:63">
      <c r="A118" s="49"/>
      <c r="B118" s="7" t="s">
        <v>38</v>
      </c>
      <c r="C118" s="17">
        <v>1.5</v>
      </c>
      <c r="D118" s="7">
        <v>26</v>
      </c>
      <c r="E118" s="1">
        <v>1.3566414221938701</v>
      </c>
      <c r="F118" s="1">
        <v>38.970709370856</v>
      </c>
      <c r="G118" s="1">
        <v>0.99341389209372899</v>
      </c>
      <c r="H118" s="1">
        <v>21.813711581193701</v>
      </c>
      <c r="I118" s="1">
        <v>42.035819425478699</v>
      </c>
      <c r="J118" s="1">
        <v>0.99555637246395001</v>
      </c>
      <c r="K118" s="8">
        <v>23.5226235068024</v>
      </c>
      <c r="L118" s="7">
        <v>23</v>
      </c>
      <c r="M118" s="1">
        <v>1.40945471938775</v>
      </c>
      <c r="N118" s="1">
        <v>40.127322533793503</v>
      </c>
      <c r="O118" s="1">
        <v>0.99485217452979902</v>
      </c>
      <c r="P118" s="1">
        <v>22.883761856630802</v>
      </c>
      <c r="Q118" s="1">
        <v>43.2105718058775</v>
      </c>
      <c r="R118" s="1">
        <v>0.99639086091949802</v>
      </c>
      <c r="S118" s="8">
        <v>24.425963818001801</v>
      </c>
      <c r="T118" s="13">
        <f>bdrate(E118:E121,F118:F121,M118:M121,N118:N121)</f>
        <v>-0.13318875490109039</v>
      </c>
      <c r="U118" s="12">
        <f>bdrate(E118:E121,H118:H121,M118:M121,P118:P121)</f>
        <v>-0.12922207524550855</v>
      </c>
      <c r="V118" s="12">
        <f>bdrate(E118:E121,I118:I121,M118:M121,Q118:Q121)</f>
        <v>-0.15177099924112125</v>
      </c>
      <c r="W118" s="14">
        <f>bdrate(E118:E121,K118:K121,M118:M121,S118:S121)</f>
        <v>-9.3103859049843418E-2</v>
      </c>
      <c r="X118" s="13">
        <f>bdrate(E120:E123,F120:F123,M120:M123,N120:N123)</f>
        <v>-0.15213291433588738</v>
      </c>
      <c r="Y118" s="12">
        <f>bdrate(E120:E123,H120:H123,M120:M123,P120:P123)</f>
        <v>-0.14183977226877387</v>
      </c>
      <c r="Z118" s="12">
        <f>bdrate(E120:E123,I120:I123,M120:M123,Q120:Q123)</f>
        <v>-0.18411611352765989</v>
      </c>
      <c r="AA118" s="14">
        <f>bdrate(E120:E123,K120:K123,M120:M123,S120:S123)</f>
        <v>-0.11923518765276642</v>
      </c>
      <c r="AB118" s="7">
        <v>128</v>
      </c>
      <c r="AC118" s="1">
        <v>1.6355827487244801</v>
      </c>
      <c r="AD118" s="1">
        <v>42.001984364441597</v>
      </c>
      <c r="AE118" s="1">
        <v>0.99675357822349497</v>
      </c>
      <c r="AF118" s="1">
        <v>24.885950571195199</v>
      </c>
      <c r="AG118" s="1">
        <v>44.819785705855601</v>
      </c>
      <c r="AH118" s="1">
        <v>0.99752923615187505</v>
      </c>
      <c r="AI118" s="1">
        <v>26.0716876182471</v>
      </c>
      <c r="AJ118" s="1">
        <v>1020.70435690879</v>
      </c>
      <c r="AK118" s="1">
        <v>545.02495932578995</v>
      </c>
      <c r="AL118" s="13">
        <f>bdrate(E118:E121,F118:F121,AC118:AC121,AD118:AD121)</f>
        <v>-0.18194588979519877</v>
      </c>
      <c r="AM118" s="12">
        <f>bdrate(E118:E121,H118:H121,AC118:AC121,AF118:AF121)</f>
        <v>-0.20968735926243198</v>
      </c>
      <c r="AN118" s="12">
        <f>bdrate(E118:E121,I118:I121,AC118:AC121,AG118:AG121)</f>
        <v>-0.17576761560283471</v>
      </c>
      <c r="AO118" s="14">
        <f>bdrate(E118:E121,K118:K121,AC118:AC121,AI118:AI121)</f>
        <v>-0.14585147580883828</v>
      </c>
      <c r="AP118" s="12">
        <f>bdrate(E120:E123,F120:F123,AC120:AC123,AD120:AD123)</f>
        <v>-3.3410759892345543E-2</v>
      </c>
      <c r="AQ118" s="12">
        <f>bdrate(E120:E123,H120:H123,AC120:AC123,AF120:AF123)</f>
        <v>-0.17192985164290631</v>
      </c>
      <c r="AR118" s="12">
        <f>bdrate(E120:E123,I120:I123,AC120:AC123,AG120:AG123)</f>
        <v>-6.3501859171513186E-2</v>
      </c>
      <c r="AS118" s="14">
        <f>bdrate(E120:E123,K120:K123,AC120:AC123,AI120:AI123)</f>
        <v>-0.12479547277977943</v>
      </c>
      <c r="AT118" s="7">
        <v>3.2</v>
      </c>
      <c r="AU118" s="1">
        <v>1.31449378188775</v>
      </c>
      <c r="AV118" s="1">
        <v>37.804259577981099</v>
      </c>
      <c r="AW118" s="1">
        <v>0.99768270916283597</v>
      </c>
      <c r="AX118" s="1">
        <v>26.350194556150502</v>
      </c>
      <c r="AY118" s="1">
        <v>41.3360938139637</v>
      </c>
      <c r="AZ118" s="1">
        <v>0.99813939009370001</v>
      </c>
      <c r="BA118" s="1">
        <v>27.303446710927101</v>
      </c>
      <c r="BB118" s="1">
        <v>1044.75878238677</v>
      </c>
      <c r="BC118" s="1">
        <v>523.44807004928498</v>
      </c>
      <c r="BD118" s="13">
        <f>bdrate(E118:E121,F118:F121,AU118:AU121,AV118:AV121)</f>
        <v>0.26625041131130889</v>
      </c>
      <c r="BE118" s="12">
        <f>bdrate(E118:E121,H118:H121,AU118:AU121,AX118:AX121)</f>
        <v>-0.45007300205057788</v>
      </c>
      <c r="BF118" s="12">
        <f>bdrate(E118:E121,I118:I121,AU118:AU121,AY118:AY121)</f>
        <v>0.14155882148998455</v>
      </c>
      <c r="BG118" s="14">
        <f>bdrate(E118:E121,K118:K121,AU118:AU121,BA118:BA121)</f>
        <v>-0.387397010547337</v>
      </c>
      <c r="BH118" s="12">
        <f>bdrate(E120:E123,F120:F123,AU120:AU123,AV120:AV123)</f>
        <v>0.26029024892892538</v>
      </c>
      <c r="BI118" s="12">
        <f>bdrate(E120:E123,H120:H123,AU120:AU123,AX120:AX123)</f>
        <v>-0.41331187119211032</v>
      </c>
      <c r="BJ118" s="12">
        <f>bdrate(E120:E123,I120:I123,AU120:AU123,AY120:AY123)</f>
        <v>0.18475652106049933</v>
      </c>
      <c r="BK118" s="14">
        <f>bdrate(E120:E123,K120:K123,AU120:AU123,BA120:BA123)</f>
        <v>-0.38106391963637187</v>
      </c>
    </row>
    <row r="119" spans="1:63">
      <c r="A119" s="49"/>
      <c r="B119" s="7" t="s">
        <v>18</v>
      </c>
      <c r="C119" s="17">
        <v>1</v>
      </c>
      <c r="D119" s="7">
        <v>29</v>
      </c>
      <c r="E119" s="1">
        <v>0.978325892857142</v>
      </c>
      <c r="F119" s="1">
        <v>36.764912372288499</v>
      </c>
      <c r="G119" s="1">
        <v>0.98922614523019203</v>
      </c>
      <c r="H119" s="1">
        <v>19.676288829850101</v>
      </c>
      <c r="I119" s="1">
        <v>39.898255140352298</v>
      </c>
      <c r="J119" s="1">
        <v>0.992103639308626</v>
      </c>
      <c r="K119" s="8">
        <v>21.025730221044501</v>
      </c>
      <c r="L119" s="7">
        <v>27</v>
      </c>
      <c r="M119" s="1">
        <v>0.92692548894557802</v>
      </c>
      <c r="N119" s="1">
        <v>37.267096734991298</v>
      </c>
      <c r="O119" s="1">
        <v>0.99035740748379197</v>
      </c>
      <c r="P119" s="1">
        <v>20.1580618558758</v>
      </c>
      <c r="Q119" s="1">
        <v>40.450069890822199</v>
      </c>
      <c r="R119" s="1">
        <v>0.99254984655837497</v>
      </c>
      <c r="S119" s="8">
        <v>21.278347825316299</v>
      </c>
      <c r="T119" s="7"/>
      <c r="U119" s="1"/>
      <c r="V119" s="1"/>
      <c r="W119" s="8"/>
      <c r="X119" s="7"/>
      <c r="Y119" s="1"/>
      <c r="Z119" s="1"/>
      <c r="AA119" s="8"/>
      <c r="AB119" s="7">
        <v>32</v>
      </c>
      <c r="AC119" s="1">
        <v>0.87526174532312895</v>
      </c>
      <c r="AD119" s="1">
        <v>37.620031328478703</v>
      </c>
      <c r="AE119" s="1">
        <v>0.99122802087428497</v>
      </c>
      <c r="AF119" s="1">
        <v>20.569024104644001</v>
      </c>
      <c r="AG119" s="1">
        <v>40.6221368187881</v>
      </c>
      <c r="AH119" s="1">
        <v>0.99276767964055401</v>
      </c>
      <c r="AI119" s="1">
        <v>21.407223448034198</v>
      </c>
      <c r="AJ119" s="1">
        <v>449.92298460006702</v>
      </c>
      <c r="AK119" s="1">
        <v>252.38468766212401</v>
      </c>
      <c r="AL119" s="7"/>
      <c r="AM119" s="1"/>
      <c r="AN119" s="1"/>
      <c r="AO119" s="8"/>
      <c r="AP119" s="1"/>
      <c r="AQ119" s="1"/>
      <c r="AR119" s="1"/>
      <c r="AS119" s="8"/>
      <c r="AT119" s="7">
        <v>1.28</v>
      </c>
      <c r="AU119" s="1">
        <v>0.91973320578231199</v>
      </c>
      <c r="AV119" s="1">
        <v>34.878507246538099</v>
      </c>
      <c r="AW119" s="1">
        <v>0.99541347945813097</v>
      </c>
      <c r="AX119" s="1">
        <v>23.385166570565602</v>
      </c>
      <c r="AY119" s="1">
        <v>38.6858623878313</v>
      </c>
      <c r="AZ119" s="1">
        <v>0.99614484469206999</v>
      </c>
      <c r="BA119" s="1">
        <v>24.139581213696101</v>
      </c>
      <c r="BB119" s="1">
        <v>1131.44350218772</v>
      </c>
      <c r="BC119" s="1">
        <v>488.70144820213301</v>
      </c>
      <c r="BD119" s="7"/>
      <c r="BE119" s="1"/>
      <c r="BF119" s="1"/>
      <c r="BG119" s="8"/>
      <c r="BH119" s="1"/>
      <c r="BI119" s="1"/>
      <c r="BJ119" s="1"/>
      <c r="BK119" s="8"/>
    </row>
    <row r="120" spans="1:63">
      <c r="A120" s="49"/>
      <c r="B120" s="7" t="s">
        <v>18</v>
      </c>
      <c r="C120" s="17">
        <v>0.5</v>
      </c>
      <c r="D120" s="7">
        <v>35</v>
      </c>
      <c r="E120" s="1">
        <v>0.46167198129251702</v>
      </c>
      <c r="F120" s="1">
        <v>32.675377545022997</v>
      </c>
      <c r="G120" s="1">
        <v>0.970419952941316</v>
      </c>
      <c r="H120" s="1">
        <v>15.2900113942261</v>
      </c>
      <c r="I120" s="1">
        <v>35.995226337088198</v>
      </c>
      <c r="J120" s="1">
        <v>0.975233691873019</v>
      </c>
      <c r="K120" s="8">
        <v>16.061387281569601</v>
      </c>
      <c r="L120" s="7">
        <v>33</v>
      </c>
      <c r="M120" s="1">
        <v>0.44110942814625798</v>
      </c>
      <c r="N120" s="1">
        <v>33.182330164264499</v>
      </c>
      <c r="O120" s="1">
        <v>0.97383190309885703</v>
      </c>
      <c r="P120" s="1">
        <v>15.822278606763501</v>
      </c>
      <c r="Q120" s="1">
        <v>36.617023657801703</v>
      </c>
      <c r="R120" s="1">
        <v>0.97714777928789798</v>
      </c>
      <c r="S120" s="8">
        <v>16.410715900733798</v>
      </c>
      <c r="T120" s="7"/>
      <c r="U120" s="1"/>
      <c r="V120" s="1"/>
      <c r="W120" s="8"/>
      <c r="X120" s="7"/>
      <c r="Y120" s="1"/>
      <c r="Z120" s="1"/>
      <c r="AA120" s="8"/>
      <c r="AB120" s="7">
        <v>16</v>
      </c>
      <c r="AC120" s="1">
        <v>0.60950281675170004</v>
      </c>
      <c r="AD120" s="1">
        <v>35.101183983473497</v>
      </c>
      <c r="AE120" s="1">
        <v>0.98481692069719495</v>
      </c>
      <c r="AF120" s="1">
        <v>18.186401396002999</v>
      </c>
      <c r="AG120" s="1">
        <v>38.256709477702799</v>
      </c>
      <c r="AH120" s="1">
        <v>0.98691122825252897</v>
      </c>
      <c r="AI120" s="1">
        <v>18.8310110580395</v>
      </c>
      <c r="AJ120" s="1">
        <v>548.86698698997498</v>
      </c>
      <c r="AK120" s="1">
        <v>374.05143785476599</v>
      </c>
      <c r="AL120" s="7"/>
      <c r="AM120" s="1"/>
      <c r="AN120" s="1"/>
      <c r="AO120" s="8"/>
      <c r="AP120" s="1"/>
      <c r="AQ120" s="1"/>
      <c r="AR120" s="1"/>
      <c r="AS120" s="8"/>
      <c r="AT120" s="7">
        <v>0.32</v>
      </c>
      <c r="AU120" s="1">
        <v>0.51648304634353703</v>
      </c>
      <c r="AV120" s="1">
        <v>32.044968933128203</v>
      </c>
      <c r="AW120" s="1">
        <v>0.98861899400120801</v>
      </c>
      <c r="AX120" s="1">
        <v>19.438193477463901</v>
      </c>
      <c r="AY120" s="1">
        <v>35.891539285560803</v>
      </c>
      <c r="AZ120" s="1">
        <v>0.99006317600914096</v>
      </c>
      <c r="BA120" s="1">
        <v>20.027524026902899</v>
      </c>
      <c r="BB120" s="1">
        <v>545.219978570938</v>
      </c>
      <c r="BC120" s="1">
        <v>381.47445607185301</v>
      </c>
      <c r="BD120" s="7"/>
      <c r="BE120" s="1"/>
      <c r="BF120" s="1"/>
      <c r="BG120" s="8"/>
      <c r="BH120" s="1"/>
      <c r="BI120" s="1"/>
      <c r="BJ120" s="1"/>
      <c r="BK120" s="8"/>
    </row>
    <row r="121" spans="1:63">
      <c r="A121" s="49"/>
      <c r="B121" s="7" t="s">
        <v>18</v>
      </c>
      <c r="C121" s="17">
        <v>0.25</v>
      </c>
      <c r="D121" s="7">
        <v>40</v>
      </c>
      <c r="E121" s="1">
        <v>0.212127178996598</v>
      </c>
      <c r="F121" s="1">
        <v>29.533392684364198</v>
      </c>
      <c r="G121" s="1">
        <v>0.932817046377171</v>
      </c>
      <c r="H121" s="1">
        <v>11.727409068072699</v>
      </c>
      <c r="I121" s="1">
        <v>33.049521840005397</v>
      </c>
      <c r="J121" s="1">
        <v>0.93884705218390097</v>
      </c>
      <c r="K121" s="8">
        <v>12.135826033961401</v>
      </c>
      <c r="L121" s="7">
        <v>37</v>
      </c>
      <c r="M121" s="1">
        <v>0.24402396896258499</v>
      </c>
      <c r="N121" s="1">
        <v>30.614663621276598</v>
      </c>
      <c r="O121" s="1">
        <v>0.94902065442365802</v>
      </c>
      <c r="P121" s="1">
        <v>12.9260574388456</v>
      </c>
      <c r="Q121" s="1">
        <v>34.167343291365803</v>
      </c>
      <c r="R121" s="1">
        <v>0.95332235560372802</v>
      </c>
      <c r="S121" s="8">
        <v>13.308910688973199</v>
      </c>
      <c r="T121" s="7"/>
      <c r="U121" s="1"/>
      <c r="V121" s="1"/>
      <c r="W121" s="8"/>
      <c r="X121" s="7"/>
      <c r="Y121" s="1"/>
      <c r="Z121" s="1"/>
      <c r="AA121" s="8"/>
      <c r="AB121" s="7">
        <v>8</v>
      </c>
      <c r="AC121" s="1">
        <v>0.41923070790816302</v>
      </c>
      <c r="AD121" s="1">
        <v>32.713880284124002</v>
      </c>
      <c r="AE121" s="1">
        <v>0.97392420074337405</v>
      </c>
      <c r="AF121" s="1">
        <v>15.837623710156199</v>
      </c>
      <c r="AG121" s="1">
        <v>36.079065017801597</v>
      </c>
      <c r="AH121" s="1">
        <v>0.97648558642897798</v>
      </c>
      <c r="AI121" s="1">
        <v>16.2866584770867</v>
      </c>
      <c r="AJ121" s="1">
        <v>380.37066960334698</v>
      </c>
      <c r="AK121" s="1">
        <v>240.17353081703101</v>
      </c>
      <c r="AL121" s="7"/>
      <c r="AM121" s="1"/>
      <c r="AN121" s="1"/>
      <c r="AO121" s="8"/>
      <c r="AP121" s="1"/>
      <c r="AQ121" s="1"/>
      <c r="AR121" s="1"/>
      <c r="AS121" s="8"/>
      <c r="AT121" s="7">
        <v>0.16</v>
      </c>
      <c r="AU121" s="1">
        <v>0.38143202593537401</v>
      </c>
      <c r="AV121" s="1">
        <v>30.869057538295198</v>
      </c>
      <c r="AW121" s="1">
        <v>0.98179225535797698</v>
      </c>
      <c r="AX121" s="1">
        <v>17.397438460878501</v>
      </c>
      <c r="AY121" s="1">
        <v>34.652089158954198</v>
      </c>
      <c r="AZ121" s="1">
        <v>0.98375298474119899</v>
      </c>
      <c r="BA121" s="1">
        <v>17.8922641165084</v>
      </c>
      <c r="BB121" s="1">
        <v>617.39833950996399</v>
      </c>
      <c r="BC121" s="1">
        <v>407.75412893295203</v>
      </c>
      <c r="BD121" s="7"/>
      <c r="BE121" s="1"/>
      <c r="BF121" s="1"/>
      <c r="BG121" s="8"/>
      <c r="BH121" s="1"/>
      <c r="BI121" s="1"/>
      <c r="BJ121" s="1"/>
      <c r="BK121" s="8"/>
    </row>
    <row r="122" spans="1:63">
      <c r="A122" s="49"/>
      <c r="B122" s="7" t="s">
        <v>18</v>
      </c>
      <c r="C122" s="17">
        <v>0.12</v>
      </c>
      <c r="D122" s="7">
        <v>43</v>
      </c>
      <c r="E122" s="1">
        <v>0.119955888605442</v>
      </c>
      <c r="F122" s="1">
        <v>27.817644352061201</v>
      </c>
      <c r="G122" s="1">
        <v>0.89518433010236098</v>
      </c>
      <c r="H122" s="1">
        <v>9.7957378565999402</v>
      </c>
      <c r="I122" s="1">
        <v>31.473097816816299</v>
      </c>
      <c r="J122" s="1">
        <v>0.90131780591550603</v>
      </c>
      <c r="K122" s="8">
        <v>10.057612030392599</v>
      </c>
      <c r="L122" s="7">
        <v>42</v>
      </c>
      <c r="M122" s="1">
        <v>9.9263392857142793E-2</v>
      </c>
      <c r="N122" s="1">
        <v>27.771032941123998</v>
      </c>
      <c r="O122" s="1">
        <v>0.89250918336101503</v>
      </c>
      <c r="P122" s="1">
        <v>9.6862863764025207</v>
      </c>
      <c r="Q122" s="1">
        <v>31.5400477384681</v>
      </c>
      <c r="R122" s="1">
        <v>0.89710991056382705</v>
      </c>
      <c r="S122" s="8">
        <v>9.8762645527124793</v>
      </c>
      <c r="T122" s="7"/>
      <c r="U122" s="1"/>
      <c r="V122" s="1"/>
      <c r="W122" s="8"/>
      <c r="X122" s="7"/>
      <c r="Y122" s="1"/>
      <c r="Z122" s="1"/>
      <c r="AA122" s="8"/>
      <c r="AB122" s="7">
        <v>4</v>
      </c>
      <c r="AC122" s="1">
        <v>0.270823767006802</v>
      </c>
      <c r="AD122" s="1">
        <v>30.433788366940298</v>
      </c>
      <c r="AE122" s="1">
        <v>0.95519625100202699</v>
      </c>
      <c r="AF122" s="1">
        <v>13.4868564446143</v>
      </c>
      <c r="AG122" s="1">
        <v>34.003710367191502</v>
      </c>
      <c r="AH122" s="1">
        <v>0.95806354020356399</v>
      </c>
      <c r="AI122" s="1">
        <v>13.774082347139499</v>
      </c>
      <c r="AJ122" s="1">
        <v>500.427459955215</v>
      </c>
      <c r="AK122" s="1">
        <v>361.98511123657198</v>
      </c>
      <c r="AL122" s="7"/>
      <c r="AM122" s="1"/>
      <c r="AN122" s="1"/>
      <c r="AO122" s="8"/>
      <c r="AP122" s="1"/>
      <c r="AQ122" s="1"/>
      <c r="AR122" s="1"/>
      <c r="AS122" s="8"/>
      <c r="AT122" s="7">
        <v>0.08</v>
      </c>
      <c r="AU122" s="1">
        <v>0.26847443664965898</v>
      </c>
      <c r="AV122" s="1">
        <v>29.5474042446331</v>
      </c>
      <c r="AW122" s="1">
        <v>0.96997195141452597</v>
      </c>
      <c r="AX122" s="1">
        <v>15.224728901152901</v>
      </c>
      <c r="AY122" s="1">
        <v>33.175866077608397</v>
      </c>
      <c r="AZ122" s="1">
        <v>0.97267305108219304</v>
      </c>
      <c r="BA122" s="1">
        <v>15.6340885502999</v>
      </c>
      <c r="BB122" s="1">
        <v>355.85702347755398</v>
      </c>
      <c r="BC122" s="1">
        <v>236.879007577896</v>
      </c>
      <c r="BD122" s="7"/>
      <c r="BE122" s="1"/>
      <c r="BF122" s="1"/>
      <c r="BG122" s="8"/>
      <c r="BH122" s="1"/>
      <c r="BI122" s="1"/>
      <c r="BJ122" s="1"/>
      <c r="BK122" s="8"/>
    </row>
    <row r="123" spans="1:63">
      <c r="A123" s="49"/>
      <c r="B123" s="7" t="s">
        <v>18</v>
      </c>
      <c r="C123" s="17">
        <v>0.06</v>
      </c>
      <c r="D123" s="7">
        <v>47</v>
      </c>
      <c r="E123" s="1">
        <v>5.1207748724489799E-2</v>
      </c>
      <c r="F123" s="1">
        <v>25.909359972078501</v>
      </c>
      <c r="G123" s="1">
        <v>0.82719202879618703</v>
      </c>
      <c r="H123" s="1">
        <v>7.6243622846600596</v>
      </c>
      <c r="I123" s="1">
        <v>29.7119787590171</v>
      </c>
      <c r="J123" s="1">
        <v>0.83219543809473095</v>
      </c>
      <c r="K123" s="8">
        <v>7.75196236693525</v>
      </c>
      <c r="L123" s="7">
        <v>45</v>
      </c>
      <c r="M123" s="1">
        <v>5.3247502125850298E-2</v>
      </c>
      <c r="N123" s="1">
        <v>26.339810762349099</v>
      </c>
      <c r="O123" s="1">
        <v>0.84314128479820505</v>
      </c>
      <c r="P123" s="1">
        <v>8.0449134653016205</v>
      </c>
      <c r="Q123" s="1">
        <v>30.220416070574998</v>
      </c>
      <c r="R123" s="1">
        <v>0.84721013709787796</v>
      </c>
      <c r="S123" s="8">
        <v>8.1590545879509797</v>
      </c>
      <c r="T123" s="7"/>
      <c r="U123" s="1"/>
      <c r="V123" s="1"/>
      <c r="W123" s="8"/>
      <c r="X123" s="7"/>
      <c r="Y123" s="1"/>
      <c r="Z123" s="1"/>
      <c r="AA123" s="8"/>
      <c r="AB123" s="7">
        <v>2</v>
      </c>
      <c r="AC123" s="1">
        <v>0.14493542729591799</v>
      </c>
      <c r="AD123" s="1">
        <v>28.411820031476601</v>
      </c>
      <c r="AE123" s="1">
        <v>0.92264623687810399</v>
      </c>
      <c r="AF123" s="1">
        <v>11.115185538027401</v>
      </c>
      <c r="AG123" s="1">
        <v>32.161038162778802</v>
      </c>
      <c r="AH123" s="1">
        <v>0.92561018644071402</v>
      </c>
      <c r="AI123" s="1">
        <v>11.2848652974806</v>
      </c>
      <c r="AJ123" s="1">
        <v>822.13854312896694</v>
      </c>
      <c r="AK123" s="1">
        <v>479.81438589096001</v>
      </c>
      <c r="AL123" s="7"/>
      <c r="AM123" s="1"/>
      <c r="AN123" s="1"/>
      <c r="AO123" s="8"/>
      <c r="AP123" s="1"/>
      <c r="AQ123" s="1"/>
      <c r="AR123" s="1"/>
      <c r="AS123" s="8"/>
      <c r="AT123" s="7">
        <v>0.04</v>
      </c>
      <c r="AU123" s="1">
        <v>0.175248990221088</v>
      </c>
      <c r="AV123" s="1">
        <v>28.152069992142899</v>
      </c>
      <c r="AW123" s="1">
        <v>0.95121248155173499</v>
      </c>
      <c r="AX123" s="1">
        <v>13.1169127148875</v>
      </c>
      <c r="AY123" s="1">
        <v>31.775149225479101</v>
      </c>
      <c r="AZ123" s="1">
        <v>0.954529912884587</v>
      </c>
      <c r="BA123" s="1">
        <v>13.4227421373624</v>
      </c>
      <c r="BB123" s="1">
        <v>695.08529901504505</v>
      </c>
      <c r="BC123" s="1">
        <v>417.97691011428799</v>
      </c>
      <c r="BD123" s="7"/>
      <c r="BE123" s="1"/>
      <c r="BF123" s="1"/>
      <c r="BG123" s="8"/>
      <c r="BH123" s="1"/>
      <c r="BI123" s="1"/>
      <c r="BJ123" s="1"/>
      <c r="BK123" s="8"/>
    </row>
    <row r="124" spans="1:63">
      <c r="A124" s="49"/>
      <c r="B124" s="7" t="s">
        <v>39</v>
      </c>
      <c r="C124" s="17">
        <v>1.5</v>
      </c>
      <c r="D124" s="7">
        <v>20</v>
      </c>
      <c r="E124" s="1">
        <v>1.47275643069727</v>
      </c>
      <c r="F124" s="1">
        <v>43.430745600625599</v>
      </c>
      <c r="G124" s="1">
        <v>0.99503526223209604</v>
      </c>
      <c r="H124" s="1">
        <v>23.041036855291502</v>
      </c>
      <c r="I124" s="1">
        <v>46.6010963733723</v>
      </c>
      <c r="J124" s="1">
        <v>0.99678394494232903</v>
      </c>
      <c r="K124" s="8">
        <v>24.926765248994101</v>
      </c>
      <c r="L124" s="7">
        <v>18</v>
      </c>
      <c r="M124" s="1">
        <v>1.38685427295918</v>
      </c>
      <c r="N124" s="1">
        <v>43.668964080745198</v>
      </c>
      <c r="O124" s="1">
        <v>0.99551359572279297</v>
      </c>
      <c r="P124" s="1">
        <v>23.481015940055801</v>
      </c>
      <c r="Q124" s="1">
        <v>46.8577017464969</v>
      </c>
      <c r="R124" s="1">
        <v>0.99697626649989302</v>
      </c>
      <c r="S124" s="8">
        <v>25.1945648847956</v>
      </c>
      <c r="T124" s="13">
        <f>bdrate(E124:E127,F124:F127,M124:M127,N124:N127)</f>
        <v>-0.14256540193806266</v>
      </c>
      <c r="U124" s="12">
        <f>bdrate(E124:E127,H124:H127,M124:M127,P124:P127)</f>
        <v>-0.15659068635277207</v>
      </c>
      <c r="V124" s="12">
        <f>bdrate(E124:E127,I124:I127,M124:M127,Q124:Q127)</f>
        <v>-0.14843807929224651</v>
      </c>
      <c r="W124" s="14">
        <f>bdrate(E124:E127,K124:K127,M124:M127,S124:S127)</f>
        <v>-0.13283935274234382</v>
      </c>
      <c r="X124" s="13">
        <f>bdrate(E126:E129,F126:F129,M126:M129,N126:N129)</f>
        <v>-0.28056817754879226</v>
      </c>
      <c r="Y124" s="12">
        <f>bdrate(E126:E129,H126:H129,M126:M129,P126:P129)</f>
        <v>-0.25242480652817301</v>
      </c>
      <c r="Z124" s="12">
        <f>bdrate(E126:E129,I126:I129,M126:M129,Q126:Q129)</f>
        <v>-0.29703298276468693</v>
      </c>
      <c r="AA124" s="14">
        <f>bdrate(E126:E129,K126:K129,M126:M129,S126:S129)</f>
        <v>-0.22500765942944401</v>
      </c>
      <c r="AB124" s="7">
        <v>256</v>
      </c>
      <c r="AC124" s="1">
        <v>1.44043925382653</v>
      </c>
      <c r="AD124" s="1">
        <v>44.405789735395501</v>
      </c>
      <c r="AE124" s="1">
        <v>0.99672604269051701</v>
      </c>
      <c r="AF124" s="1">
        <v>24.849269878370301</v>
      </c>
      <c r="AG124" s="1">
        <v>47.341493345035502</v>
      </c>
      <c r="AH124" s="1">
        <v>0.997416201447619</v>
      </c>
      <c r="AI124" s="1">
        <v>25.877413494231099</v>
      </c>
      <c r="AJ124" s="1">
        <v>948.91647148132301</v>
      </c>
      <c r="AK124" s="1">
        <v>521.84597444534302</v>
      </c>
      <c r="AL124" s="13">
        <f>bdrate(E124:E127,F124:F127,AC124:AC127,AD124:AD127)</f>
        <v>-0.17247125918978812</v>
      </c>
      <c r="AM124" s="12">
        <f>bdrate(E124:E127,H124:H127,AC124:AC127,AF124:AF127)</f>
        <v>-0.25453536928980325</v>
      </c>
      <c r="AN124" s="12">
        <f>bdrate(E124:E127,I124:I127,AC124:AC127,AG124:AG127)</f>
        <v>-0.15306370303801609</v>
      </c>
      <c r="AO124" s="14">
        <f>bdrate(E124:E127,K124:K127,AC124:AC127,AI124:AI127)</f>
        <v>-0.16693486468161489</v>
      </c>
      <c r="AP124" s="12">
        <f>bdrate(E126:E129,F126:F129,AC126:AC129,AD126:AD129)</f>
        <v>-0.26262265086365999</v>
      </c>
      <c r="AQ124" s="12">
        <f>bdrate(E126:E129,H126:H129,AC126:AC129,AF126:AF129)</f>
        <v>-0.29356404626298482</v>
      </c>
      <c r="AR124" s="12">
        <f>bdrate(E126:E129,I126:I129,AC126:AC129,AG126:AG129)</f>
        <v>-0.23822021480047617</v>
      </c>
      <c r="AS124" s="14">
        <f>bdrate(E126:E129,K126:K129,AC126:AC129,AI126:AI129)</f>
        <v>-0.22174584981760992</v>
      </c>
      <c r="AT124" s="7">
        <v>6.4</v>
      </c>
      <c r="AU124" s="1">
        <v>1.51870934311224</v>
      </c>
      <c r="AV124" s="1">
        <v>42.216730155297903</v>
      </c>
      <c r="AW124" s="1">
        <v>0.998437970590343</v>
      </c>
      <c r="AX124" s="1">
        <v>28.063107935499701</v>
      </c>
      <c r="AY124" s="1">
        <v>45.211841536961003</v>
      </c>
      <c r="AZ124" s="1">
        <v>0.99886144435266699</v>
      </c>
      <c r="BA124" s="1">
        <v>29.436457382251099</v>
      </c>
      <c r="BB124" s="1">
        <v>864.18128681182804</v>
      </c>
      <c r="BC124" s="1">
        <v>372.89935517311</v>
      </c>
      <c r="BD124" s="13">
        <f>bdrate(E124:E127,F124:F127,AU124:AU127,AV124:AV127)</f>
        <v>0.53893788739313142</v>
      </c>
      <c r="BE124" s="12">
        <f>bdrate(E124:E127,H124:H127,AU124:AU127,AX124:AX127)</f>
        <v>-0.59338047883436051</v>
      </c>
      <c r="BF124" s="12">
        <f>bdrate(E124:E127,I124:I127,AU124:AU127,AY124:AY127)</f>
        <v>0.60661233305210138</v>
      </c>
      <c r="BG124" s="14">
        <f>bdrate(E124:E127,K124:K127,AU124:AU127,BA124:BA127)</f>
        <v>-0.5377634989667599</v>
      </c>
      <c r="BH124" s="12">
        <f>bdrate(E126:E129,F126:F129,AU126:AU129,AV126:AV129)</f>
        <v>0.51411731033455599</v>
      </c>
      <c r="BI124" s="12">
        <f>bdrate(E126:E129,H126:H129,AU126:AU129,AX126:AX129)</f>
        <v>-0.61158441707574274</v>
      </c>
      <c r="BJ124" s="12">
        <f>bdrate(E126:E129,I126:I129,AU126:AU129,AY126:AY129)</f>
        <v>0.60743106856551643</v>
      </c>
      <c r="BK124" s="14">
        <f>bdrate(E126:E129,K126:K129,AU126:AU129,BA126:BA129)</f>
        <v>-0.59153865991117538</v>
      </c>
    </row>
    <row r="125" spans="1:63">
      <c r="A125" s="49"/>
      <c r="B125" s="7" t="s">
        <v>18</v>
      </c>
      <c r="C125" s="17">
        <v>1</v>
      </c>
      <c r="D125" s="7">
        <v>23</v>
      </c>
      <c r="E125" s="1">
        <v>0.93727492559523795</v>
      </c>
      <c r="F125" s="1">
        <v>41.1405444643934</v>
      </c>
      <c r="G125" s="1">
        <v>0.99144525481507095</v>
      </c>
      <c r="H125" s="1">
        <v>20.677929219998301</v>
      </c>
      <c r="I125" s="1">
        <v>44.358781845759196</v>
      </c>
      <c r="J125" s="1">
        <v>0.993518701210928</v>
      </c>
      <c r="K125" s="8">
        <v>21.883379570295201</v>
      </c>
      <c r="L125" s="7">
        <v>21</v>
      </c>
      <c r="M125" s="1">
        <v>0.90931149022108804</v>
      </c>
      <c r="N125" s="1">
        <v>41.5861883487893</v>
      </c>
      <c r="O125" s="1">
        <v>0.992555619767853</v>
      </c>
      <c r="P125" s="1">
        <v>21.2817145277584</v>
      </c>
      <c r="Q125" s="1">
        <v>44.800164328032601</v>
      </c>
      <c r="R125" s="1">
        <v>0.99434001703066</v>
      </c>
      <c r="S125" s="8">
        <v>22.4718487558433</v>
      </c>
      <c r="T125" s="7"/>
      <c r="U125" s="1"/>
      <c r="V125" s="1"/>
      <c r="W125" s="8"/>
      <c r="X125" s="7"/>
      <c r="Y125" s="1"/>
      <c r="Z125" s="1"/>
      <c r="AA125" s="8"/>
      <c r="AB125" s="7">
        <v>128</v>
      </c>
      <c r="AC125" s="1">
        <v>0.95439227253401304</v>
      </c>
      <c r="AD125" s="1">
        <v>42.071757170038602</v>
      </c>
      <c r="AE125" s="1">
        <v>0.99407571637481595</v>
      </c>
      <c r="AF125" s="1">
        <v>22.273641577971102</v>
      </c>
      <c r="AG125" s="1">
        <v>45.154900670304897</v>
      </c>
      <c r="AH125" s="1">
        <v>0.99499086883695098</v>
      </c>
      <c r="AI125" s="1">
        <v>23.002375962517299</v>
      </c>
      <c r="AJ125" s="1">
        <v>1235.84181380271</v>
      </c>
      <c r="AK125" s="1">
        <v>545.40170407295204</v>
      </c>
      <c r="AL125" s="7"/>
      <c r="AM125" s="1"/>
      <c r="AN125" s="1"/>
      <c r="AO125" s="8"/>
      <c r="AP125" s="1"/>
      <c r="AQ125" s="1"/>
      <c r="AR125" s="1"/>
      <c r="AS125" s="8"/>
      <c r="AT125" s="7">
        <v>3.2</v>
      </c>
      <c r="AU125" s="1">
        <v>1.0541759672619</v>
      </c>
      <c r="AV125" s="1">
        <v>40.196974656022199</v>
      </c>
      <c r="AW125" s="1">
        <v>0.99741119338508499</v>
      </c>
      <c r="AX125" s="1">
        <v>25.8690039035775</v>
      </c>
      <c r="AY125" s="1">
        <v>43.301918811282398</v>
      </c>
      <c r="AZ125" s="1">
        <v>0.99797050472293602</v>
      </c>
      <c r="BA125" s="1">
        <v>26.926119550130799</v>
      </c>
      <c r="BB125" s="1">
        <v>1286.7579474449101</v>
      </c>
      <c r="BC125" s="1">
        <v>509.06252908706603</v>
      </c>
      <c r="BD125" s="7"/>
      <c r="BE125" s="1"/>
      <c r="BF125" s="1"/>
      <c r="BG125" s="8"/>
      <c r="BH125" s="1"/>
      <c r="BI125" s="1"/>
      <c r="BJ125" s="1"/>
      <c r="BK125" s="8"/>
    </row>
    <row r="126" spans="1:63">
      <c r="A126" s="49"/>
      <c r="B126" s="7" t="s">
        <v>18</v>
      </c>
      <c r="C126" s="17">
        <v>0.5</v>
      </c>
      <c r="D126" s="7">
        <v>27</v>
      </c>
      <c r="E126" s="1">
        <v>0.43588435374149598</v>
      </c>
      <c r="F126" s="1">
        <v>38.509284616829802</v>
      </c>
      <c r="G126" s="1">
        <v>0.98289027831236797</v>
      </c>
      <c r="H126" s="1">
        <v>17.6675705477852</v>
      </c>
      <c r="I126" s="1">
        <v>41.810327648568197</v>
      </c>
      <c r="J126" s="1">
        <v>0.98565269013642898</v>
      </c>
      <c r="K126" s="8">
        <v>18.432295219913101</v>
      </c>
      <c r="L126" s="7">
        <v>25</v>
      </c>
      <c r="M126" s="1">
        <v>0.41192123724489799</v>
      </c>
      <c r="N126" s="1">
        <v>38.869193963541697</v>
      </c>
      <c r="O126" s="1">
        <v>0.98440059908208399</v>
      </c>
      <c r="P126" s="1">
        <v>18.068920800454901</v>
      </c>
      <c r="Q126" s="1">
        <v>42.201053831913804</v>
      </c>
      <c r="R126" s="1">
        <v>0.98679046927821701</v>
      </c>
      <c r="S126" s="8">
        <v>18.791126107397702</v>
      </c>
      <c r="T126" s="7"/>
      <c r="U126" s="1"/>
      <c r="V126" s="1"/>
      <c r="W126" s="8"/>
      <c r="X126" s="7"/>
      <c r="Y126" s="1"/>
      <c r="Z126" s="1"/>
      <c r="AA126" s="8"/>
      <c r="AB126" s="7">
        <v>64</v>
      </c>
      <c r="AC126" s="1">
        <v>0.54972018494897901</v>
      </c>
      <c r="AD126" s="1">
        <v>39.765397541743802</v>
      </c>
      <c r="AE126" s="1">
        <v>0.98863801812024099</v>
      </c>
      <c r="AF126" s="1">
        <v>19.445459076768699</v>
      </c>
      <c r="AG126" s="1">
        <v>42.978968353793697</v>
      </c>
      <c r="AH126" s="1">
        <v>0.98997473795088597</v>
      </c>
      <c r="AI126" s="1">
        <v>19.989042665884298</v>
      </c>
      <c r="AJ126" s="1">
        <v>1200.03783798217</v>
      </c>
      <c r="AK126" s="1">
        <v>441.28912639617897</v>
      </c>
      <c r="AL126" s="7"/>
      <c r="AM126" s="1"/>
      <c r="AN126" s="1"/>
      <c r="AO126" s="8"/>
      <c r="AP126" s="1"/>
      <c r="AQ126" s="1"/>
      <c r="AR126" s="1"/>
      <c r="AS126" s="8"/>
      <c r="AT126" s="7">
        <v>0.64</v>
      </c>
      <c r="AU126" s="1">
        <v>0.482292729591836</v>
      </c>
      <c r="AV126" s="1">
        <v>36.914267497080999</v>
      </c>
      <c r="AW126" s="1">
        <v>0.99347070674467397</v>
      </c>
      <c r="AX126" s="1">
        <v>21.851338251450098</v>
      </c>
      <c r="AY126" s="1">
        <v>40.054147927037398</v>
      </c>
      <c r="AZ126" s="1">
        <v>0.99450860735163804</v>
      </c>
      <c r="BA126" s="1">
        <v>22.603175020345098</v>
      </c>
      <c r="BB126" s="1">
        <v>731.01846194267205</v>
      </c>
      <c r="BC126" s="1">
        <v>385.86001729965199</v>
      </c>
      <c r="BD126" s="7"/>
      <c r="BE126" s="1"/>
      <c r="BF126" s="1"/>
      <c r="BG126" s="8"/>
      <c r="BH126" s="1"/>
      <c r="BI126" s="1"/>
      <c r="BJ126" s="1"/>
      <c r="BK126" s="8"/>
    </row>
    <row r="127" spans="1:63">
      <c r="A127" s="49"/>
      <c r="B127" s="7" t="s">
        <v>18</v>
      </c>
      <c r="C127" s="17">
        <v>0.25</v>
      </c>
      <c r="D127" s="7">
        <v>31</v>
      </c>
      <c r="E127" s="1">
        <v>0.24947704081632599</v>
      </c>
      <c r="F127" s="1">
        <v>36.970354773823601</v>
      </c>
      <c r="G127" s="1">
        <v>0.97689130660443302</v>
      </c>
      <c r="H127" s="1">
        <v>16.362246095679399</v>
      </c>
      <c r="I127" s="1">
        <v>40.224900270291101</v>
      </c>
      <c r="J127" s="1">
        <v>0.98037211649275302</v>
      </c>
      <c r="K127" s="8">
        <v>17.071265282492099</v>
      </c>
      <c r="L127" s="7">
        <v>28</v>
      </c>
      <c r="M127" s="1">
        <v>0.24689439838435301</v>
      </c>
      <c r="N127" s="1">
        <v>37.671276428741301</v>
      </c>
      <c r="O127" s="1">
        <v>0.97969302917530598</v>
      </c>
      <c r="P127" s="1">
        <v>16.9235485513952</v>
      </c>
      <c r="Q127" s="1">
        <v>41.008475636717002</v>
      </c>
      <c r="R127" s="1">
        <v>0.98249472752551703</v>
      </c>
      <c r="S127" s="8">
        <v>17.568311249307499</v>
      </c>
      <c r="T127" s="7"/>
      <c r="U127" s="1"/>
      <c r="V127" s="1"/>
      <c r="W127" s="8"/>
      <c r="X127" s="7"/>
      <c r="Y127" s="1"/>
      <c r="Z127" s="1"/>
      <c r="AA127" s="8"/>
      <c r="AB127" s="7">
        <v>16</v>
      </c>
      <c r="AC127" s="1">
        <v>0.201483577806122</v>
      </c>
      <c r="AD127" s="1">
        <v>37.124885709172297</v>
      </c>
      <c r="AE127" s="1">
        <v>0.97815990129505204</v>
      </c>
      <c r="AF127" s="1">
        <v>16.607454031963599</v>
      </c>
      <c r="AG127" s="1">
        <v>40.3140438985643</v>
      </c>
      <c r="AH127" s="1">
        <v>0.98041588885393305</v>
      </c>
      <c r="AI127" s="1">
        <v>17.080961347680599</v>
      </c>
      <c r="AJ127" s="1">
        <v>588.60794973373402</v>
      </c>
      <c r="AK127" s="1">
        <v>374.76174998283301</v>
      </c>
      <c r="AL127" s="7"/>
      <c r="AM127" s="1"/>
      <c r="AN127" s="1"/>
      <c r="AO127" s="8"/>
      <c r="AP127" s="1"/>
      <c r="AQ127" s="1"/>
      <c r="AR127" s="1"/>
      <c r="AS127" s="8"/>
      <c r="AT127" s="7">
        <v>0.32</v>
      </c>
      <c r="AU127" s="1">
        <v>0.32791108630952298</v>
      </c>
      <c r="AV127" s="1">
        <v>35.822965737389303</v>
      </c>
      <c r="AW127" s="1">
        <v>0.98993733448491505</v>
      </c>
      <c r="AX127" s="1">
        <v>19.972869631014099</v>
      </c>
      <c r="AY127" s="1">
        <v>38.900780384281497</v>
      </c>
      <c r="AZ127" s="1">
        <v>0.99135495375398597</v>
      </c>
      <c r="BA127" s="1">
        <v>20.632326791587399</v>
      </c>
      <c r="BB127" s="1">
        <v>566.61060595512299</v>
      </c>
      <c r="BC127" s="1">
        <v>381.91793489456097</v>
      </c>
      <c r="BD127" s="7"/>
      <c r="BE127" s="1"/>
      <c r="BF127" s="1"/>
      <c r="BG127" s="8"/>
      <c r="BH127" s="1"/>
      <c r="BI127" s="1"/>
      <c r="BJ127" s="1"/>
      <c r="BK127" s="8"/>
    </row>
    <row r="128" spans="1:63">
      <c r="A128" s="49"/>
      <c r="B128" s="7" t="s">
        <v>18</v>
      </c>
      <c r="C128" s="17">
        <v>0.12</v>
      </c>
      <c r="D128" s="7">
        <v>37</v>
      </c>
      <c r="E128" s="1">
        <v>0.11671184098639401</v>
      </c>
      <c r="F128" s="1">
        <v>34.592780723057203</v>
      </c>
      <c r="G128" s="1">
        <v>0.966344583902216</v>
      </c>
      <c r="H128" s="1">
        <v>14.729450356865099</v>
      </c>
      <c r="I128" s="1">
        <v>37.776773020880199</v>
      </c>
      <c r="J128" s="1">
        <v>0.97124707709178604</v>
      </c>
      <c r="K128" s="8">
        <v>15.4131800007401</v>
      </c>
      <c r="L128" s="7">
        <v>34</v>
      </c>
      <c r="M128" s="1">
        <v>0.11398968962585</v>
      </c>
      <c r="N128" s="1">
        <v>35.678632136597002</v>
      </c>
      <c r="O128" s="1">
        <v>0.97078722766273096</v>
      </c>
      <c r="P128" s="1">
        <v>15.3442722585271</v>
      </c>
      <c r="Q128" s="1">
        <v>38.967554464660097</v>
      </c>
      <c r="R128" s="1">
        <v>0.97462842289179197</v>
      </c>
      <c r="S128" s="8">
        <v>15.956525360063299</v>
      </c>
      <c r="T128" s="7"/>
      <c r="U128" s="1"/>
      <c r="V128" s="1"/>
      <c r="W128" s="8"/>
      <c r="X128" s="7"/>
      <c r="Y128" s="1"/>
      <c r="Z128" s="1"/>
      <c r="AA128" s="8"/>
      <c r="AB128" s="7">
        <v>8</v>
      </c>
      <c r="AC128" s="1">
        <v>0.136475605867346</v>
      </c>
      <c r="AD128" s="1">
        <v>36.123078505736103</v>
      </c>
      <c r="AE128" s="1">
        <v>0.97372321580615295</v>
      </c>
      <c r="AF128" s="1">
        <v>15.804277856999001</v>
      </c>
      <c r="AG128" s="1">
        <v>39.252901515140699</v>
      </c>
      <c r="AH128" s="1">
        <v>0.97655667079933695</v>
      </c>
      <c r="AI128" s="1">
        <v>16.299807138651701</v>
      </c>
      <c r="AJ128" s="1">
        <v>383.081282615661</v>
      </c>
      <c r="AK128" s="1">
        <v>241.39756870269699</v>
      </c>
      <c r="AL128" s="7"/>
      <c r="AM128" s="1"/>
      <c r="AN128" s="1"/>
      <c r="AO128" s="8"/>
      <c r="AP128" s="1"/>
      <c r="AQ128" s="1"/>
      <c r="AR128" s="1"/>
      <c r="AS128" s="8"/>
      <c r="AT128" s="7">
        <v>0.08</v>
      </c>
      <c r="AU128" s="1">
        <v>9.56863839285714E-2</v>
      </c>
      <c r="AV128" s="1">
        <v>33.201083757239097</v>
      </c>
      <c r="AW128" s="1">
        <v>0.97667401106148</v>
      </c>
      <c r="AX128" s="1">
        <v>16.321599346580999</v>
      </c>
      <c r="AY128" s="1">
        <v>36.153156811038997</v>
      </c>
      <c r="AZ128" s="1">
        <v>0.97960345081698197</v>
      </c>
      <c r="BA128" s="1">
        <v>16.904433030419298</v>
      </c>
      <c r="BB128" s="1">
        <v>354.88584470748901</v>
      </c>
      <c r="BC128" s="1">
        <v>237.816675186157</v>
      </c>
      <c r="BD128" s="7"/>
      <c r="BE128" s="1"/>
      <c r="BF128" s="1"/>
      <c r="BG128" s="8"/>
      <c r="BH128" s="1"/>
      <c r="BI128" s="1"/>
      <c r="BJ128" s="1"/>
      <c r="BK128" s="8"/>
    </row>
    <row r="129" spans="1:63">
      <c r="A129" s="49"/>
      <c r="B129" s="7" t="s">
        <v>18</v>
      </c>
      <c r="C129" s="17">
        <v>0.06</v>
      </c>
      <c r="D129" s="7">
        <v>43</v>
      </c>
      <c r="E129" s="1">
        <v>5.3598001700680201E-2</v>
      </c>
      <c r="F129" s="1">
        <v>31.8156840147164</v>
      </c>
      <c r="G129" s="1">
        <v>0.94849768555359204</v>
      </c>
      <c r="H129" s="1">
        <v>12.881732538963201</v>
      </c>
      <c r="I129" s="1">
        <v>34.951513882906497</v>
      </c>
      <c r="J129" s="1">
        <v>0.95572681682717397</v>
      </c>
      <c r="K129" s="8">
        <v>13.5385925180261</v>
      </c>
      <c r="L129" s="7">
        <v>40</v>
      </c>
      <c r="M129" s="1">
        <v>5.33755846088435E-2</v>
      </c>
      <c r="N129" s="1">
        <v>33.170030142393102</v>
      </c>
      <c r="O129" s="1">
        <v>0.95711244452380295</v>
      </c>
      <c r="P129" s="1">
        <v>13.676687071639099</v>
      </c>
      <c r="Q129" s="1">
        <v>36.396991604097998</v>
      </c>
      <c r="R129" s="1">
        <v>0.96260955029116801</v>
      </c>
      <c r="S129" s="8">
        <v>14.272393113932599</v>
      </c>
      <c r="T129" s="7"/>
      <c r="U129" s="1"/>
      <c r="V129" s="1"/>
      <c r="W129" s="8"/>
      <c r="X129" s="7"/>
      <c r="Y129" s="1"/>
      <c r="Z129" s="1"/>
      <c r="AA129" s="8"/>
      <c r="AB129" s="7">
        <v>2</v>
      </c>
      <c r="AC129" s="1">
        <v>6.4228050595238007E-2</v>
      </c>
      <c r="AD129" s="1">
        <v>33.703396230398802</v>
      </c>
      <c r="AE129" s="1">
        <v>0.96277869829233997</v>
      </c>
      <c r="AF129" s="1">
        <v>14.292084427429099</v>
      </c>
      <c r="AG129" s="1">
        <v>36.7058952867146</v>
      </c>
      <c r="AH129" s="1">
        <v>0.96685606384437806</v>
      </c>
      <c r="AI129" s="1">
        <v>14.7959591628012</v>
      </c>
      <c r="AJ129" s="1">
        <v>810.47813415527298</v>
      </c>
      <c r="AK129" s="1">
        <v>475.86605405807398</v>
      </c>
      <c r="AL129" s="7"/>
      <c r="AM129" s="1"/>
      <c r="AN129" s="1"/>
      <c r="AO129" s="8"/>
      <c r="AP129" s="1"/>
      <c r="AQ129" s="1"/>
      <c r="AR129" s="1"/>
      <c r="AS129" s="8"/>
      <c r="AT129" s="7">
        <v>0.04</v>
      </c>
      <c r="AU129" s="1">
        <v>6.3945312500000004E-2</v>
      </c>
      <c r="AV129" s="1">
        <v>31.8696827886485</v>
      </c>
      <c r="AW129" s="1">
        <v>0.97033646566717602</v>
      </c>
      <c r="AX129" s="1">
        <v>15.277771051688299</v>
      </c>
      <c r="AY129" s="1">
        <v>34.746379364089002</v>
      </c>
      <c r="AZ129" s="1">
        <v>0.97420321775039997</v>
      </c>
      <c r="BA129" s="1">
        <v>15.884344621916</v>
      </c>
      <c r="BB129" s="1">
        <v>688.52889013290405</v>
      </c>
      <c r="BC129" s="1">
        <v>408.66877079009998</v>
      </c>
      <c r="BD129" s="7"/>
      <c r="BE129" s="1"/>
      <c r="BF129" s="1"/>
      <c r="BG129" s="8"/>
      <c r="BH129" s="1"/>
      <c r="BI129" s="1"/>
      <c r="BJ129" s="1"/>
      <c r="BK129" s="8"/>
    </row>
    <row r="130" spans="1:63">
      <c r="A130" s="49"/>
      <c r="B130" s="7" t="s">
        <v>40</v>
      </c>
      <c r="C130" s="17">
        <v>1.5</v>
      </c>
      <c r="D130" s="7">
        <v>22</v>
      </c>
      <c r="E130" s="1">
        <v>1.3515773282804899</v>
      </c>
      <c r="F130" s="1">
        <v>42.471471190222601</v>
      </c>
      <c r="G130" s="1">
        <v>0.99398756776973696</v>
      </c>
      <c r="H130" s="1">
        <v>22.2094980578464</v>
      </c>
      <c r="I130" s="1">
        <v>45.580296846190599</v>
      </c>
      <c r="J130" s="1">
        <v>0.99541953524048499</v>
      </c>
      <c r="K130" s="8">
        <v>23.390904538187701</v>
      </c>
      <c r="L130" s="7">
        <v>19</v>
      </c>
      <c r="M130" s="1">
        <v>1.4288158375654001</v>
      </c>
      <c r="N130" s="1">
        <v>43.4114159247885</v>
      </c>
      <c r="O130" s="1">
        <v>0.99538331560417703</v>
      </c>
      <c r="P130" s="1">
        <v>23.356698135228701</v>
      </c>
      <c r="Q130" s="1">
        <v>46.481995654833803</v>
      </c>
      <c r="R130" s="1">
        <v>0.99642554729407695</v>
      </c>
      <c r="S130" s="8">
        <v>24.4679044477014</v>
      </c>
      <c r="T130" s="13">
        <f>bdrate(E130:E133,F130:F133,M130:M133,N130:N133)</f>
        <v>-0.11829574530652665</v>
      </c>
      <c r="U130" s="12">
        <f>bdrate(E130:E133,H130:H133,M130:M133,P130:P133)</f>
        <v>-0.12285211323451695</v>
      </c>
      <c r="V130" s="12">
        <f>bdrate(E130:E133,I130:I133,M130:M133,Q130:Q133)</f>
        <v>-0.13154973258188929</v>
      </c>
      <c r="W130" s="14">
        <f>bdrate(E130:E133,K130:K133,M130:M133,S130:S133)</f>
        <v>-9.7524792302940533E-2</v>
      </c>
      <c r="X130" s="13">
        <f>bdrate(E132:E135,F132:F135,M132:M135,N132:N135)</f>
        <v>-0.16805616902834508</v>
      </c>
      <c r="Y130" s="12">
        <f>bdrate(E132:E135,H132:H135,M132:M135,P132:P135)</f>
        <v>-0.15270130225133116</v>
      </c>
      <c r="Z130" s="12">
        <f>bdrate(E132:E135,I132:I135,M132:M135,Q132:Q135)</f>
        <v>-0.22458912217138172</v>
      </c>
      <c r="AA130" s="14">
        <f>bdrate(E132:E135,K132:K135,M132:M135,S132:S135)</f>
        <v>-0.13214720600463192</v>
      </c>
      <c r="AB130" s="7">
        <v>256</v>
      </c>
      <c r="AC130" s="1">
        <v>1.6532815385503199</v>
      </c>
      <c r="AD130" s="1">
        <v>44.9588533813466</v>
      </c>
      <c r="AE130" s="1">
        <v>0.99699710277091402</v>
      </c>
      <c r="AF130" s="1">
        <v>25.2245953080626</v>
      </c>
      <c r="AG130" s="1">
        <v>47.975526019772502</v>
      </c>
      <c r="AH130" s="1">
        <v>0.99740338470133205</v>
      </c>
      <c r="AI130" s="1">
        <v>25.855923884690799</v>
      </c>
      <c r="AJ130" s="1">
        <v>596.66419553756702</v>
      </c>
      <c r="AK130" s="1">
        <v>347.97032809257502</v>
      </c>
      <c r="AL130" s="13">
        <f>bdrate(E130:E133,F130:F133,AC130:AC133,AD130:AD133)</f>
        <v>-0.12414633798381935</v>
      </c>
      <c r="AM130" s="12">
        <f>bdrate(E130:E133,H130:H133,AC130:AC133,AF130:AF133)</f>
        <v>-0.15125878605290766</v>
      </c>
      <c r="AN130" s="12">
        <f>bdrate(E130:E133,I130:I133,AC130:AC133,AG130:AG133)</f>
        <v>-0.18996945638837537</v>
      </c>
      <c r="AO130" s="14">
        <f>bdrate(E130:E133,K130:K133,AC130:AC133,AI130:AI133)</f>
        <v>-7.8518852546139661E-2</v>
      </c>
      <c r="AP130" s="12">
        <f>bdrate(E132:E135,F132:F135,AC132:AC135,AD132:AD135)</f>
        <v>-0.11999825776594897</v>
      </c>
      <c r="AQ130" s="12">
        <f>bdrate(E132:E135,H132:H135,AC132:AC135,AF132:AF135)</f>
        <v>-0.12462934162746553</v>
      </c>
      <c r="AR130" s="12">
        <f>bdrate(E132:E135,I132:I135,AC132:AC135,AG132:AG135)</f>
        <v>-0.19925120830647325</v>
      </c>
      <c r="AS130" s="14">
        <f>bdrate(E132:E135,K132:K135,AC132:AC135,AI132:AI135)</f>
        <v>-6.7074751851594394E-2</v>
      </c>
      <c r="AT130" s="7">
        <v>6.4</v>
      </c>
      <c r="AU130" s="1">
        <v>1.72092735264696</v>
      </c>
      <c r="AV130" s="1">
        <v>43.441441370630898</v>
      </c>
      <c r="AW130" s="1">
        <v>0.99846063001462404</v>
      </c>
      <c r="AX130" s="1">
        <v>28.1265698556461</v>
      </c>
      <c r="AY130" s="1">
        <v>46.775795038189003</v>
      </c>
      <c r="AZ130" s="1">
        <v>0.99871266241350598</v>
      </c>
      <c r="BA130" s="1">
        <v>28.9030755043363</v>
      </c>
      <c r="BB130" s="1">
        <v>516.24760413169804</v>
      </c>
      <c r="BC130" s="1">
        <v>241.781715154647</v>
      </c>
      <c r="BD130" s="13">
        <f>bdrate(E130:E133,F130:F133,AU130:AU133,AV130:AV133)</f>
        <v>0.30726030854368402</v>
      </c>
      <c r="BE130" s="12">
        <f>bdrate(E130:E133,H130:H133,AU130:AU133,AX130:AX133)</f>
        <v>-0.50256394735588628</v>
      </c>
      <c r="BF130" s="12">
        <f>bdrate(E130:E133,I130:I133,AU130:AU133,AY130:AY133)</f>
        <v>0.20060026874930825</v>
      </c>
      <c r="BG130" s="14">
        <f>bdrate(E130:E133,K130:K133,AU130:AU133,BA130:BA133)</f>
        <v>-0.45025499033297167</v>
      </c>
      <c r="BH130" s="12">
        <f>bdrate(E132:E135,F132:F135,AU132:AU135,AV132:AV135)</f>
        <v>0.5334321431863982</v>
      </c>
      <c r="BI130" s="12">
        <f>bdrate(E132:E135,H132:H135,AU132:AU135,AX132:AX135)</f>
        <v>-0.42101745571191018</v>
      </c>
      <c r="BJ130" s="12">
        <f>bdrate(E132:E135,I132:I135,AU132:AU135,AY132:AY135)</f>
        <v>0.67252063583834887</v>
      </c>
      <c r="BK130" s="14">
        <f>bdrate(E132:E135,K132:K135,AU132:AU135,BA132:BA135)</f>
        <v>-0.39638610973688937</v>
      </c>
    </row>
    <row r="131" spans="1:63">
      <c r="A131" s="49"/>
      <c r="B131" s="7" t="s">
        <v>18</v>
      </c>
      <c r="C131" s="17">
        <v>1</v>
      </c>
      <c r="D131" s="7">
        <v>25</v>
      </c>
      <c r="E131" s="1">
        <v>0.85900148763722095</v>
      </c>
      <c r="F131" s="1">
        <v>39.990731754168998</v>
      </c>
      <c r="G131" s="1">
        <v>0.98966342426403597</v>
      </c>
      <c r="H131" s="1">
        <v>19.856233089476401</v>
      </c>
      <c r="I131" s="1">
        <v>43.326767092940699</v>
      </c>
      <c r="J131" s="1">
        <v>0.99116137450219199</v>
      </c>
      <c r="K131" s="8">
        <v>20.536152672415</v>
      </c>
      <c r="L131" s="7">
        <v>22</v>
      </c>
      <c r="M131" s="1">
        <v>0.97924000654047305</v>
      </c>
      <c r="N131" s="1">
        <v>41.178244904246398</v>
      </c>
      <c r="O131" s="1">
        <v>0.99220117011466702</v>
      </c>
      <c r="P131" s="1">
        <v>21.079705527536198</v>
      </c>
      <c r="Q131" s="1">
        <v>44.4239722779853</v>
      </c>
      <c r="R131" s="1">
        <v>0.99334703572584304</v>
      </c>
      <c r="S131" s="8">
        <v>21.769848086715601</v>
      </c>
      <c r="T131" s="7"/>
      <c r="U131" s="1"/>
      <c r="V131" s="1"/>
      <c r="W131" s="8"/>
      <c r="X131" s="7"/>
      <c r="Y131" s="1"/>
      <c r="Z131" s="1"/>
      <c r="AA131" s="8"/>
      <c r="AB131" s="7">
        <v>128</v>
      </c>
      <c r="AC131" s="1">
        <v>1.18467982135528</v>
      </c>
      <c r="AD131" s="1">
        <v>42.401201452270598</v>
      </c>
      <c r="AE131" s="1">
        <v>0.994525487322376</v>
      </c>
      <c r="AF131" s="1">
        <v>22.6165453417522</v>
      </c>
      <c r="AG131" s="1">
        <v>45.712120974722097</v>
      </c>
      <c r="AH131" s="1">
        <v>0.99497743628235302</v>
      </c>
      <c r="AI131" s="1">
        <v>22.990745449636201</v>
      </c>
      <c r="AJ131" s="1">
        <v>856.81900882720902</v>
      </c>
      <c r="AK131" s="1">
        <v>371.90612554550103</v>
      </c>
      <c r="AL131" s="7"/>
      <c r="AM131" s="1"/>
      <c r="AN131" s="1"/>
      <c r="AO131" s="8"/>
      <c r="AP131" s="1"/>
      <c r="AQ131" s="1"/>
      <c r="AR131" s="1"/>
      <c r="AS131" s="8"/>
      <c r="AT131" s="7">
        <v>1.28</v>
      </c>
      <c r="AU131" s="1">
        <v>0.77979402316097202</v>
      </c>
      <c r="AV131" s="1">
        <v>38.423097530899199</v>
      </c>
      <c r="AW131" s="1">
        <v>0.99482093274201799</v>
      </c>
      <c r="AX131" s="1">
        <v>22.8574844897811</v>
      </c>
      <c r="AY131" s="1">
        <v>42.334588047655402</v>
      </c>
      <c r="AZ131" s="1">
        <v>0.99520603886845804</v>
      </c>
      <c r="BA131" s="1">
        <v>23.193054914591201</v>
      </c>
      <c r="BB131" s="1">
        <v>912.09336924552895</v>
      </c>
      <c r="BC131" s="1">
        <v>363.03239345550497</v>
      </c>
      <c r="BD131" s="7"/>
      <c r="BE131" s="1"/>
      <c r="BF131" s="1"/>
      <c r="BG131" s="8"/>
      <c r="BH131" s="1"/>
      <c r="BI131" s="1"/>
      <c r="BJ131" s="1"/>
      <c r="BK131" s="8"/>
    </row>
    <row r="132" spans="1:63">
      <c r="A132" s="49"/>
      <c r="B132" s="7" t="s">
        <v>18</v>
      </c>
      <c r="C132" s="17">
        <v>0.5</v>
      </c>
      <c r="D132" s="7">
        <v>28</v>
      </c>
      <c r="E132" s="1">
        <v>0.45607863316918001</v>
      </c>
      <c r="F132" s="1">
        <v>37.576534088867398</v>
      </c>
      <c r="G132" s="1">
        <v>0.98131842316182605</v>
      </c>
      <c r="H132" s="1">
        <v>17.285864694755301</v>
      </c>
      <c r="I132" s="1">
        <v>41.199907520977902</v>
      </c>
      <c r="J132" s="1">
        <v>0.98286034066599004</v>
      </c>
      <c r="K132" s="8">
        <v>17.6599781431655</v>
      </c>
      <c r="L132" s="7">
        <v>26</v>
      </c>
      <c r="M132" s="1">
        <v>0.482444117420744</v>
      </c>
      <c r="N132" s="1">
        <v>38.187010703738103</v>
      </c>
      <c r="O132" s="1">
        <v>0.98406053364273705</v>
      </c>
      <c r="P132" s="1">
        <v>17.975262225870601</v>
      </c>
      <c r="Q132" s="1">
        <v>41.782905632315902</v>
      </c>
      <c r="R132" s="1">
        <v>0.98528646704435396</v>
      </c>
      <c r="S132" s="8">
        <v>18.322830336683399</v>
      </c>
      <c r="T132" s="7"/>
      <c r="U132" s="1"/>
      <c r="V132" s="1"/>
      <c r="W132" s="8"/>
      <c r="X132" s="7"/>
      <c r="Y132" s="1"/>
      <c r="Z132" s="1"/>
      <c r="AA132" s="8"/>
      <c r="AB132" s="7">
        <v>32</v>
      </c>
      <c r="AC132" s="1">
        <v>0.40591375872063201</v>
      </c>
      <c r="AD132" s="1">
        <v>37.633528389179801</v>
      </c>
      <c r="AE132" s="1">
        <v>0.98186696276516805</v>
      </c>
      <c r="AF132" s="1">
        <v>17.415294466572501</v>
      </c>
      <c r="AG132" s="1">
        <v>41.501921541664998</v>
      </c>
      <c r="AH132" s="1">
        <v>0.98241822920433497</v>
      </c>
      <c r="AI132" s="1">
        <v>17.549373859143302</v>
      </c>
      <c r="AJ132" s="1">
        <v>321.11845684051502</v>
      </c>
      <c r="AK132" s="1">
        <v>179.55154180526699</v>
      </c>
      <c r="AL132" s="7"/>
      <c r="AM132" s="1"/>
      <c r="AN132" s="1"/>
      <c r="AO132" s="8"/>
      <c r="AP132" s="1"/>
      <c r="AQ132" s="1"/>
      <c r="AR132" s="1"/>
      <c r="AS132" s="8"/>
      <c r="AT132" s="7">
        <v>0.64</v>
      </c>
      <c r="AU132" s="1">
        <v>0.52033999243356899</v>
      </c>
      <c r="AV132" s="1">
        <v>36.9245061996277</v>
      </c>
      <c r="AW132" s="1">
        <v>0.99179589795948897</v>
      </c>
      <c r="AX132" s="1">
        <v>20.8596894662703</v>
      </c>
      <c r="AY132" s="1">
        <v>40.916104261959397</v>
      </c>
      <c r="AZ132" s="1">
        <v>0.99225796621080498</v>
      </c>
      <c r="BA132" s="1">
        <v>21.111449375858101</v>
      </c>
      <c r="BB132" s="1">
        <v>619.686295270919</v>
      </c>
      <c r="BC132" s="1">
        <v>276.16178393363901</v>
      </c>
      <c r="BD132" s="7"/>
      <c r="BE132" s="1"/>
      <c r="BF132" s="1"/>
      <c r="BG132" s="8"/>
      <c r="BH132" s="1"/>
      <c r="BI132" s="1"/>
      <c r="BJ132" s="1"/>
      <c r="BK132" s="8"/>
    </row>
    <row r="133" spans="1:63">
      <c r="A133" s="49"/>
      <c r="B133" s="7" t="s">
        <v>18</v>
      </c>
      <c r="C133" s="17">
        <v>0.25</v>
      </c>
      <c r="D133" s="7">
        <v>31</v>
      </c>
      <c r="E133" s="1">
        <v>0.20655995113881101</v>
      </c>
      <c r="F133" s="1">
        <v>35.800532392846399</v>
      </c>
      <c r="G133" s="1">
        <v>0.96957940694990596</v>
      </c>
      <c r="H133" s="1">
        <v>15.1683232362053</v>
      </c>
      <c r="I133" s="1">
        <v>39.602565874000703</v>
      </c>
      <c r="J133" s="1">
        <v>0.97128465499630301</v>
      </c>
      <c r="K133" s="8">
        <v>15.4188596147225</v>
      </c>
      <c r="L133" s="7">
        <v>29</v>
      </c>
      <c r="M133" s="1">
        <v>0.212959356083923</v>
      </c>
      <c r="N133" s="1">
        <v>36.153256663581701</v>
      </c>
      <c r="O133" s="1">
        <v>0.97223092922685095</v>
      </c>
      <c r="P133" s="1">
        <v>15.5643865265326</v>
      </c>
      <c r="Q133" s="1">
        <v>40.024099294540797</v>
      </c>
      <c r="R133" s="1">
        <v>0.97353751496186502</v>
      </c>
      <c r="S133" s="8">
        <v>15.773693745221699</v>
      </c>
      <c r="T133" s="7"/>
      <c r="U133" s="1"/>
      <c r="V133" s="1"/>
      <c r="W133" s="8"/>
      <c r="X133" s="7"/>
      <c r="Y133" s="1"/>
      <c r="Z133" s="1"/>
      <c r="AA133" s="8"/>
      <c r="AB133" s="7">
        <v>16</v>
      </c>
      <c r="AC133" s="1">
        <v>0.17882064673745701</v>
      </c>
      <c r="AD133" s="1">
        <v>35.768549057308398</v>
      </c>
      <c r="AE133" s="1">
        <v>0.96925890339003296</v>
      </c>
      <c r="AF133" s="1">
        <v>15.1228064421549</v>
      </c>
      <c r="AG133" s="1">
        <v>39.800507543765598</v>
      </c>
      <c r="AH133" s="1">
        <v>0.96993441955579895</v>
      </c>
      <c r="AI133" s="1">
        <v>15.219304072756501</v>
      </c>
      <c r="AJ133" s="1">
        <v>513.07438015937805</v>
      </c>
      <c r="AK133" s="1">
        <v>267.02923369407603</v>
      </c>
      <c r="AL133" s="7"/>
      <c r="AM133" s="1"/>
      <c r="AN133" s="1"/>
      <c r="AO133" s="8"/>
      <c r="AP133" s="1"/>
      <c r="AQ133" s="1"/>
      <c r="AR133" s="1"/>
      <c r="AS133" s="8"/>
      <c r="AT133" s="7">
        <v>0.16</v>
      </c>
      <c r="AU133" s="1">
        <v>0.25220420385759701</v>
      </c>
      <c r="AV133" s="1">
        <v>35.4358571201304</v>
      </c>
      <c r="AW133" s="1">
        <v>0.98222173284400105</v>
      </c>
      <c r="AX133" s="1">
        <v>17.5011057189577</v>
      </c>
      <c r="AY133" s="1">
        <v>39.081594557447801</v>
      </c>
      <c r="AZ133" s="1">
        <v>0.98292603083014896</v>
      </c>
      <c r="BA133" s="1">
        <v>17.676655071111298</v>
      </c>
      <c r="BB133" s="1">
        <v>527.44961690902699</v>
      </c>
      <c r="BC133" s="1">
        <v>303.05165791511502</v>
      </c>
      <c r="BD133" s="7"/>
      <c r="BE133" s="1"/>
      <c r="BF133" s="1"/>
      <c r="BG133" s="8"/>
      <c r="BH133" s="1"/>
      <c r="BI133" s="1"/>
      <c r="BJ133" s="1"/>
      <c r="BK133" s="8"/>
    </row>
    <row r="134" spans="1:63">
      <c r="A134" s="49"/>
      <c r="B134" s="7" t="s">
        <v>18</v>
      </c>
      <c r="C134" s="17">
        <v>0.12</v>
      </c>
      <c r="D134" s="7">
        <v>34</v>
      </c>
      <c r="E134" s="1">
        <v>0.115673412331999</v>
      </c>
      <c r="F134" s="1">
        <v>34.827218737889098</v>
      </c>
      <c r="G134" s="1">
        <v>0.959202727061645</v>
      </c>
      <c r="H134" s="1">
        <v>13.8936886601323</v>
      </c>
      <c r="I134" s="1">
        <v>38.625030238647703</v>
      </c>
      <c r="J134" s="1">
        <v>0.96131378131135303</v>
      </c>
      <c r="K134" s="8">
        <v>14.124437174979199</v>
      </c>
      <c r="L134" s="7">
        <v>32</v>
      </c>
      <c r="M134" s="1">
        <v>0.110931969452139</v>
      </c>
      <c r="N134" s="1">
        <v>35.106606714299097</v>
      </c>
      <c r="O134" s="1">
        <v>0.96213858352526505</v>
      </c>
      <c r="P134" s="1">
        <v>14.2180314220388</v>
      </c>
      <c r="Q134" s="1">
        <v>39.0546231459344</v>
      </c>
      <c r="R134" s="1">
        <v>0.96370242732447098</v>
      </c>
      <c r="S134" s="8">
        <v>14.401224165305701</v>
      </c>
      <c r="T134" s="7"/>
      <c r="U134" s="1"/>
      <c r="V134" s="1"/>
      <c r="W134" s="8"/>
      <c r="X134" s="7"/>
      <c r="Y134" s="1"/>
      <c r="Z134" s="1"/>
      <c r="AA134" s="8"/>
      <c r="AB134" s="7">
        <v>8</v>
      </c>
      <c r="AC134" s="1">
        <v>0.101780115035395</v>
      </c>
      <c r="AD134" s="1">
        <v>34.821949236631703</v>
      </c>
      <c r="AE134" s="1">
        <v>0.95933996410598399</v>
      </c>
      <c r="AF134" s="1">
        <v>13.908322423097299</v>
      </c>
      <c r="AG134" s="1">
        <v>38.744964946668901</v>
      </c>
      <c r="AH134" s="1">
        <v>0.96026863960458597</v>
      </c>
      <c r="AI134" s="1">
        <v>14.0086656451658</v>
      </c>
      <c r="AJ134" s="1">
        <v>253.45631146430901</v>
      </c>
      <c r="AK134" s="1">
        <v>159.263708114624</v>
      </c>
      <c r="AL134" s="7"/>
      <c r="AM134" s="1"/>
      <c r="AN134" s="1"/>
      <c r="AO134" s="8"/>
      <c r="AP134" s="1"/>
      <c r="AQ134" s="1"/>
      <c r="AR134" s="1"/>
      <c r="AS134" s="8"/>
      <c r="AT134" s="7">
        <v>0.08</v>
      </c>
      <c r="AU134" s="1">
        <v>0.130897247229916</v>
      </c>
      <c r="AV134" s="1">
        <v>34.240808577104602</v>
      </c>
      <c r="AW134" s="1">
        <v>0.97060130175620096</v>
      </c>
      <c r="AX134" s="1">
        <v>15.3167189945353</v>
      </c>
      <c r="AY134" s="1">
        <v>37.4112749911151</v>
      </c>
      <c r="AZ134" s="1">
        <v>0.97155898812362995</v>
      </c>
      <c r="BA134" s="1">
        <v>15.4605495630703</v>
      </c>
      <c r="BB134" s="1">
        <v>236.51053380966101</v>
      </c>
      <c r="BC134" s="1">
        <v>158.61000275611801</v>
      </c>
      <c r="BD134" s="7"/>
      <c r="BE134" s="1"/>
      <c r="BF134" s="1"/>
      <c r="BG134" s="8"/>
      <c r="BH134" s="1"/>
      <c r="BI134" s="1"/>
      <c r="BJ134" s="1"/>
      <c r="BK134" s="8"/>
    </row>
    <row r="135" spans="1:63">
      <c r="A135" s="49"/>
      <c r="B135" s="7" t="s">
        <v>18</v>
      </c>
      <c r="C135" s="17">
        <v>0.06</v>
      </c>
      <c r="D135" s="7">
        <v>38</v>
      </c>
      <c r="E135" s="1">
        <v>5.6132656201908201E-2</v>
      </c>
      <c r="F135" s="1">
        <v>33.638864072527603</v>
      </c>
      <c r="G135" s="1">
        <v>0.94237786520204403</v>
      </c>
      <c r="H135" s="1">
        <v>12.394106559168</v>
      </c>
      <c r="I135" s="1">
        <v>37.367808249371599</v>
      </c>
      <c r="J135" s="1">
        <v>0.94502680678148099</v>
      </c>
      <c r="K135" s="8">
        <v>12.598490355119001</v>
      </c>
      <c r="L135" s="7">
        <v>36</v>
      </c>
      <c r="M135" s="1">
        <v>5.3376199086898501E-2</v>
      </c>
      <c r="N135" s="1">
        <v>34.009483556108698</v>
      </c>
      <c r="O135" s="1">
        <v>0.94684131714261699</v>
      </c>
      <c r="P135" s="1">
        <v>12.7442578835491</v>
      </c>
      <c r="Q135" s="1">
        <v>37.982603293785502</v>
      </c>
      <c r="R135" s="1">
        <v>0.94879369199147101</v>
      </c>
      <c r="S135" s="8">
        <v>12.906765358103</v>
      </c>
      <c r="T135" s="7"/>
      <c r="U135" s="1"/>
      <c r="V135" s="1"/>
      <c r="W135" s="8"/>
      <c r="X135" s="7"/>
      <c r="Y135" s="1"/>
      <c r="Z135" s="1"/>
      <c r="AA135" s="8"/>
      <c r="AB135" s="7">
        <v>4</v>
      </c>
      <c r="AC135" s="1">
        <v>6.2485973248178901E-2</v>
      </c>
      <c r="AD135" s="1">
        <v>34.006471739157199</v>
      </c>
      <c r="AE135" s="1">
        <v>0.94829061686306504</v>
      </c>
      <c r="AF135" s="1">
        <v>12.8643064307928</v>
      </c>
      <c r="AG135" s="1">
        <v>37.763217411894203</v>
      </c>
      <c r="AH135" s="1">
        <v>0.94956788846767803</v>
      </c>
      <c r="AI135" s="1">
        <v>12.9729284806854</v>
      </c>
      <c r="AJ135" s="1">
        <v>330.57858228683398</v>
      </c>
      <c r="AK135" s="1">
        <v>239.644306659698</v>
      </c>
      <c r="AL135" s="7"/>
      <c r="AM135" s="1"/>
      <c r="AN135" s="1"/>
      <c r="AO135" s="8"/>
      <c r="AP135" s="1"/>
      <c r="AQ135" s="1"/>
      <c r="AR135" s="1"/>
      <c r="AS135" s="8"/>
      <c r="AT135" s="7">
        <v>0.04</v>
      </c>
      <c r="AU135" s="1">
        <v>7.3696954832255995E-2</v>
      </c>
      <c r="AV135" s="1">
        <v>33.230668009358702</v>
      </c>
      <c r="AW135" s="1">
        <v>0.95989802130587498</v>
      </c>
      <c r="AX135" s="1">
        <v>13.9683419808458</v>
      </c>
      <c r="AY135" s="1">
        <v>36.275807543529297</v>
      </c>
      <c r="AZ135" s="1">
        <v>0.96134984534579404</v>
      </c>
      <c r="BA135" s="1">
        <v>14.128487639621101</v>
      </c>
      <c r="BB135" s="1">
        <v>524.46454262733403</v>
      </c>
      <c r="BC135" s="1">
        <v>310.49388384819002</v>
      </c>
      <c r="BD135" s="7"/>
      <c r="BE135" s="1"/>
      <c r="BF135" s="1"/>
      <c r="BG135" s="8"/>
      <c r="BH135" s="1"/>
      <c r="BI135" s="1"/>
      <c r="BJ135" s="1"/>
      <c r="BK135" s="8"/>
    </row>
    <row r="136" spans="1:63">
      <c r="A136" s="49"/>
      <c r="B136" s="7" t="s">
        <v>41</v>
      </c>
      <c r="C136" s="17">
        <v>1.5</v>
      </c>
      <c r="D136" s="7">
        <v>20</v>
      </c>
      <c r="E136" s="1">
        <v>1.3976108099489699</v>
      </c>
      <c r="F136" s="1">
        <v>43.236249254219203</v>
      </c>
      <c r="G136" s="1">
        <v>0.99339637771112999</v>
      </c>
      <c r="H136" s="1">
        <v>21.802177752867099</v>
      </c>
      <c r="I136" s="1">
        <v>46.266404146923399</v>
      </c>
      <c r="J136" s="1">
        <v>0.99617407987833695</v>
      </c>
      <c r="K136" s="8">
        <v>24.1726410150244</v>
      </c>
      <c r="L136" s="7">
        <v>18</v>
      </c>
      <c r="M136" s="1">
        <v>1.3572661564625801</v>
      </c>
      <c r="N136" s="1">
        <v>43.6484069003372</v>
      </c>
      <c r="O136" s="1">
        <v>0.99421920445476197</v>
      </c>
      <c r="P136" s="1">
        <v>22.380123904493399</v>
      </c>
      <c r="Q136" s="1">
        <v>46.699524041250797</v>
      </c>
      <c r="R136" s="1">
        <v>0.99642618368084002</v>
      </c>
      <c r="S136" s="8">
        <v>24.4686777237469</v>
      </c>
      <c r="T136" s="13">
        <f>bdrate(E136:E139,F136:F139,M136:M139,N136:N139)</f>
        <v>-0.12946303739641363</v>
      </c>
      <c r="U136" s="12">
        <f>bdrate(E136:E139,H136:H139,M136:M139,P136:P139)</f>
        <v>-0.14913309347697767</v>
      </c>
      <c r="V136" s="12">
        <f>bdrate(E136:E139,I136:I139,M136:M139,Q136:Q139)</f>
        <v>-0.13532809981163452</v>
      </c>
      <c r="W136" s="14">
        <f>bdrate(E136:E139,K136:K139,M136:M139,S136:S139)</f>
        <v>-0.11831632060562636</v>
      </c>
      <c r="X136" s="13">
        <f>bdrate(E138:E141,F138:F141,M138:M141,N138:N141)</f>
        <v>-0.20529137127155472</v>
      </c>
      <c r="Y136" s="12">
        <f>bdrate(E138:E141,H138:H141,M138:M141,P138:P141)</f>
        <v>-0.2314847542937013</v>
      </c>
      <c r="Z136" s="12">
        <f>bdrate(E138:E141,I138:I141,M138:M141,Q138:Q141)</f>
        <v>-0.21487562256693193</v>
      </c>
      <c r="AA136" s="14">
        <f>bdrate(E138:E141,K138:K141,M138:M141,S138:S141)</f>
        <v>-0.18994430323063749</v>
      </c>
      <c r="AB136" s="7">
        <v>256</v>
      </c>
      <c r="AC136" s="1">
        <v>1.3208447597789099</v>
      </c>
      <c r="AD136" s="1">
        <v>44.198168800237703</v>
      </c>
      <c r="AE136" s="1">
        <v>0.99512884817310798</v>
      </c>
      <c r="AF136" s="1">
        <v>23.123683338744002</v>
      </c>
      <c r="AG136" s="1">
        <v>46.933846412024799</v>
      </c>
      <c r="AH136" s="1">
        <v>0.99660529868575298</v>
      </c>
      <c r="AI136" s="1">
        <v>24.6919843148094</v>
      </c>
      <c r="AJ136" s="1">
        <v>845.84360694885197</v>
      </c>
      <c r="AK136" s="1">
        <v>519.09023141860905</v>
      </c>
      <c r="AL136" s="13">
        <f>bdrate(E136:E139,F136:F139,AC136:AC139,AD136:AD139)</f>
        <v>-0.21305218391857328</v>
      </c>
      <c r="AM136" s="12">
        <f>bdrate(E136:E139,H136:H139,AC136:AC139,AF136:AF139)</f>
        <v>-0.23990053226168229</v>
      </c>
      <c r="AN136" s="12">
        <f>bdrate(E136:E139,I136:I139,AC136:AC139,AG136:AG139)</f>
        <v>-0.17049020091742051</v>
      </c>
      <c r="AO136" s="14">
        <f>bdrate(E136:E139,K136:K139,AC136:AC139,AI136:AI139)</f>
        <v>-0.13865042713247955</v>
      </c>
      <c r="AP136" s="12">
        <f>bdrate(E138:E141,F138:F141,AC138:AC141,AD138:AD141)</f>
        <v>-0.26478445884300683</v>
      </c>
      <c r="AQ136" s="12">
        <f>bdrate(E138:E141,H138:H141,AC138:AC141,AF138:AF141)</f>
        <v>-0.29075777692461213</v>
      </c>
      <c r="AR136" s="12">
        <f>bdrate(E138:E141,I138:I141,AC138:AC141,AG138:AG141)</f>
        <v>-0.2220832056846026</v>
      </c>
      <c r="AS136" s="14">
        <f>bdrate(E138:E141,K138:K141,AC138:AC141,AI138:AI141)</f>
        <v>-0.20536679729546681</v>
      </c>
      <c r="AT136" s="7">
        <v>6.4</v>
      </c>
      <c r="AU136" s="1">
        <v>1.73483843537414</v>
      </c>
      <c r="AV136" s="1">
        <v>44.328326473584198</v>
      </c>
      <c r="AW136" s="1">
        <v>0.99807882825128902</v>
      </c>
      <c r="AX136" s="1">
        <v>27.164338083902599</v>
      </c>
      <c r="AY136" s="1">
        <v>47.138243723199203</v>
      </c>
      <c r="AZ136" s="1">
        <v>0.99861323897606302</v>
      </c>
      <c r="BA136" s="1">
        <v>28.579983730489602</v>
      </c>
      <c r="BB136" s="1">
        <v>768.04738235473599</v>
      </c>
      <c r="BC136" s="1">
        <v>366.623615741729</v>
      </c>
      <c r="BD136" s="13">
        <f>bdrate(E136:E139,F136:F139,AU136:AU139,AV136:AV139)</f>
        <v>0.154185158652137</v>
      </c>
      <c r="BE136" s="12">
        <f>bdrate(E136:E139,H136:H139,AU136:AU139,AX136:AX139)</f>
        <v>-0.52461268154799146</v>
      </c>
      <c r="BF136" s="12">
        <f>bdrate(E136:E139,I136:I139,AU136:AU139,AY136:AY139)</f>
        <v>0.17248427119974563</v>
      </c>
      <c r="BG136" s="14">
        <f>bdrate(E136:E139,K136:K139,AU136:AU139,BA136:BA139)</f>
        <v>-0.43757316567902804</v>
      </c>
      <c r="BH136" s="12">
        <f>bdrate(E138:E141,F138:F141,AU138:AU141,AV138:AV141)</f>
        <v>0.19860166515636113</v>
      </c>
      <c r="BI136" s="12">
        <f>bdrate(E138:E141,H138:H141,AU138:AU141,AX138:AX141)</f>
        <v>-0.47417415748074254</v>
      </c>
      <c r="BJ136" s="12">
        <f>bdrate(E138:E141,I138:I141,AU138:AU141,AY138:AY141)</f>
        <v>0.28137234175290637</v>
      </c>
      <c r="BK136" s="14">
        <f>bdrate(E138:E141,K138:K141,AU138:AU141,BA138:BA141)</f>
        <v>-0.41195107704662481</v>
      </c>
    </row>
    <row r="137" spans="1:63">
      <c r="A137" s="49"/>
      <c r="B137" s="7" t="s">
        <v>18</v>
      </c>
      <c r="C137" s="17">
        <v>1</v>
      </c>
      <c r="D137" s="7">
        <v>23</v>
      </c>
      <c r="E137" s="1">
        <v>0.82179209183673396</v>
      </c>
      <c r="F137" s="1">
        <v>40.999196747687101</v>
      </c>
      <c r="G137" s="1">
        <v>0.98874593881520201</v>
      </c>
      <c r="H137" s="1">
        <v>19.486907280528602</v>
      </c>
      <c r="I137" s="1">
        <v>43.994234778061198</v>
      </c>
      <c r="J137" s="1">
        <v>0.99238371455621199</v>
      </c>
      <c r="K137" s="8">
        <v>21.182567877933899</v>
      </c>
      <c r="L137" s="7">
        <v>20</v>
      </c>
      <c r="M137" s="1">
        <v>0.98644132653061201</v>
      </c>
      <c r="N137" s="1">
        <v>42.191810362335097</v>
      </c>
      <c r="O137" s="1">
        <v>0.99179110102359302</v>
      </c>
      <c r="P137" s="1">
        <v>20.857150889873701</v>
      </c>
      <c r="Q137" s="1">
        <v>45.211576123330403</v>
      </c>
      <c r="R137" s="1">
        <v>0.99460591794610897</v>
      </c>
      <c r="S137" s="8">
        <v>22.680824514165501</v>
      </c>
      <c r="T137" s="7"/>
      <c r="U137" s="1"/>
      <c r="V137" s="1"/>
      <c r="W137" s="8"/>
      <c r="X137" s="7"/>
      <c r="Y137" s="1"/>
      <c r="Z137" s="1"/>
      <c r="AA137" s="8"/>
      <c r="AB137" s="7">
        <v>128</v>
      </c>
      <c r="AC137" s="1">
        <v>0.81512941113945503</v>
      </c>
      <c r="AD137" s="1">
        <v>41.786580670945</v>
      </c>
      <c r="AE137" s="1">
        <v>0.99114936966052003</v>
      </c>
      <c r="AF137" s="1">
        <v>20.530257978661101</v>
      </c>
      <c r="AG137" s="1">
        <v>44.585758511353603</v>
      </c>
      <c r="AH137" s="1">
        <v>0.99334181781041198</v>
      </c>
      <c r="AI137" s="1">
        <v>21.766443253028001</v>
      </c>
      <c r="AJ137" s="1">
        <v>1370.8187630176501</v>
      </c>
      <c r="AK137" s="1">
        <v>635.51862096786499</v>
      </c>
      <c r="AL137" s="7"/>
      <c r="AM137" s="1"/>
      <c r="AN137" s="1"/>
      <c r="AO137" s="8"/>
      <c r="AP137" s="1"/>
      <c r="AQ137" s="1"/>
      <c r="AR137" s="1"/>
      <c r="AS137" s="8"/>
      <c r="AT137" s="7">
        <v>3.2</v>
      </c>
      <c r="AU137" s="1">
        <v>1.2266361075680201</v>
      </c>
      <c r="AV137" s="1">
        <v>42.2448454238842</v>
      </c>
      <c r="AW137" s="1">
        <v>0.99685541124812405</v>
      </c>
      <c r="AX137" s="1">
        <v>25.0243614337273</v>
      </c>
      <c r="AY137" s="1">
        <v>45.183078232651397</v>
      </c>
      <c r="AZ137" s="1">
        <v>0.99758670608286104</v>
      </c>
      <c r="BA137" s="1">
        <v>26.173897817720899</v>
      </c>
      <c r="BB137" s="1">
        <v>1145.5626349449101</v>
      </c>
      <c r="BC137" s="1">
        <v>542.33173274993896</v>
      </c>
      <c r="BD137" s="7"/>
      <c r="BE137" s="1"/>
      <c r="BF137" s="1"/>
      <c r="BG137" s="8"/>
      <c r="BH137" s="1"/>
      <c r="BI137" s="1"/>
      <c r="BJ137" s="1"/>
      <c r="BK137" s="8"/>
    </row>
    <row r="138" spans="1:63">
      <c r="A138" s="49"/>
      <c r="B138" s="7" t="s">
        <v>18</v>
      </c>
      <c r="C138" s="17">
        <v>0.5</v>
      </c>
      <c r="D138" s="7">
        <v>26</v>
      </c>
      <c r="E138" s="1">
        <v>0.39376275510204001</v>
      </c>
      <c r="F138" s="1">
        <v>38.943094557995799</v>
      </c>
      <c r="G138" s="1">
        <v>0.98043419056211001</v>
      </c>
      <c r="H138" s="1">
        <v>17.085021806210801</v>
      </c>
      <c r="I138" s="1">
        <v>41.969440595052397</v>
      </c>
      <c r="J138" s="1">
        <v>0.98506210847410702</v>
      </c>
      <c r="K138" s="8">
        <v>18.2571069859106</v>
      </c>
      <c r="L138" s="7">
        <v>24</v>
      </c>
      <c r="M138" s="1">
        <v>0.429684045493197</v>
      </c>
      <c r="N138" s="1">
        <v>39.4796723716955</v>
      </c>
      <c r="O138" s="1">
        <v>0.98341650322897101</v>
      </c>
      <c r="P138" s="1">
        <v>17.803238894526299</v>
      </c>
      <c r="Q138" s="1">
        <v>42.5171380858825</v>
      </c>
      <c r="R138" s="1">
        <v>0.98746527748994894</v>
      </c>
      <c r="S138" s="8">
        <v>19.018852758810802</v>
      </c>
      <c r="T138" s="7"/>
      <c r="U138" s="1"/>
      <c r="V138" s="1"/>
      <c r="W138" s="8"/>
      <c r="X138" s="7"/>
      <c r="Y138" s="1"/>
      <c r="Z138" s="1"/>
      <c r="AA138" s="8"/>
      <c r="AB138" s="7">
        <v>64</v>
      </c>
      <c r="AC138" s="1">
        <v>0.42216012967687</v>
      </c>
      <c r="AD138" s="1">
        <v>39.6725770440951</v>
      </c>
      <c r="AE138" s="1">
        <v>0.98428925040984705</v>
      </c>
      <c r="AF138" s="1">
        <v>18.038030934386601</v>
      </c>
      <c r="AG138" s="1">
        <v>42.559905139580898</v>
      </c>
      <c r="AH138" s="1">
        <v>0.98736475844221205</v>
      </c>
      <c r="AI138" s="1">
        <v>18.984164509176701</v>
      </c>
      <c r="AJ138" s="1">
        <v>822.97599697113003</v>
      </c>
      <c r="AK138" s="1">
        <v>371.14779424667302</v>
      </c>
      <c r="AL138" s="7"/>
      <c r="AM138" s="1"/>
      <c r="AN138" s="1"/>
      <c r="AO138" s="8"/>
      <c r="AP138" s="1"/>
      <c r="AQ138" s="1"/>
      <c r="AR138" s="1"/>
      <c r="AS138" s="8"/>
      <c r="AT138" s="7">
        <v>0.64</v>
      </c>
      <c r="AU138" s="1">
        <v>0.52131829294217602</v>
      </c>
      <c r="AV138" s="1">
        <v>39.105802236401999</v>
      </c>
      <c r="AW138" s="1">
        <v>0.99149554335308199</v>
      </c>
      <c r="AX138" s="1">
        <v>20.703534284104201</v>
      </c>
      <c r="AY138" s="1">
        <v>42.079640424083003</v>
      </c>
      <c r="AZ138" s="1">
        <v>0.99328434470925397</v>
      </c>
      <c r="BA138" s="1">
        <v>21.729116039528801</v>
      </c>
      <c r="BB138" s="1">
        <v>908.42408967018105</v>
      </c>
      <c r="BC138" s="1">
        <v>410.19489479064902</v>
      </c>
      <c r="BD138" s="7"/>
      <c r="BE138" s="1"/>
      <c r="BF138" s="1"/>
      <c r="BG138" s="8"/>
      <c r="BH138" s="1"/>
      <c r="BI138" s="1"/>
      <c r="BJ138" s="1"/>
      <c r="BK138" s="8"/>
    </row>
    <row r="139" spans="1:63">
      <c r="A139" s="49"/>
      <c r="B139" s="7" t="s">
        <v>18</v>
      </c>
      <c r="C139" s="17">
        <v>0.25</v>
      </c>
      <c r="D139" s="7">
        <v>28</v>
      </c>
      <c r="E139" s="1">
        <v>0.22829241071428499</v>
      </c>
      <c r="F139" s="1">
        <v>37.9652320202811</v>
      </c>
      <c r="G139" s="1">
        <v>0.97430987067691999</v>
      </c>
      <c r="H139" s="1">
        <v>15.9023370950716</v>
      </c>
      <c r="I139" s="1">
        <v>41.002681795350597</v>
      </c>
      <c r="J139" s="1">
        <v>0.97966183950526498</v>
      </c>
      <c r="K139" s="8">
        <v>16.9168832983576</v>
      </c>
      <c r="L139" s="7">
        <v>26</v>
      </c>
      <c r="M139" s="1">
        <v>0.23808088860544199</v>
      </c>
      <c r="N139" s="1">
        <v>38.308664086249003</v>
      </c>
      <c r="O139" s="1">
        <v>0.97697207547194198</v>
      </c>
      <c r="P139" s="1">
        <v>16.377452025755101</v>
      </c>
      <c r="Q139" s="1">
        <v>41.364178642600201</v>
      </c>
      <c r="R139" s="1">
        <v>0.98170252311481998</v>
      </c>
      <c r="S139" s="8">
        <v>17.376087928045902</v>
      </c>
      <c r="T139" s="7"/>
      <c r="U139" s="1"/>
      <c r="V139" s="1"/>
      <c r="W139" s="8"/>
      <c r="X139" s="7"/>
      <c r="Y139" s="1"/>
      <c r="Z139" s="1"/>
      <c r="AA139" s="8"/>
      <c r="AB139" s="7">
        <v>32</v>
      </c>
      <c r="AC139" s="1">
        <v>0.170951052295918</v>
      </c>
      <c r="AD139" s="1">
        <v>38.008458699362698</v>
      </c>
      <c r="AE139" s="1">
        <v>0.97477421777786899</v>
      </c>
      <c r="AF139" s="1">
        <v>15.981553579161</v>
      </c>
      <c r="AG139" s="1">
        <v>40.957615331706798</v>
      </c>
      <c r="AH139" s="1">
        <v>0.97927197953388401</v>
      </c>
      <c r="AI139" s="1">
        <v>16.834421712149801</v>
      </c>
      <c r="AJ139" s="1">
        <v>536.83702850341797</v>
      </c>
      <c r="AK139" s="1">
        <v>347.43392658233603</v>
      </c>
      <c r="AL139" s="7"/>
      <c r="AM139" s="1"/>
      <c r="AN139" s="1"/>
      <c r="AO139" s="8"/>
      <c r="AP139" s="1"/>
      <c r="AQ139" s="1"/>
      <c r="AR139" s="1"/>
      <c r="AS139" s="8"/>
      <c r="AT139" s="7">
        <v>0.16</v>
      </c>
      <c r="AU139" s="1">
        <v>0.17250026573129201</v>
      </c>
      <c r="AV139" s="1">
        <v>37.171957969720403</v>
      </c>
      <c r="AW139" s="1">
        <v>0.97861145430921903</v>
      </c>
      <c r="AX139" s="1">
        <v>16.698187441774699</v>
      </c>
      <c r="AY139" s="1">
        <v>40.095790170213199</v>
      </c>
      <c r="AZ139" s="1">
        <v>0.982350883660011</v>
      </c>
      <c r="BA139" s="1">
        <v>17.532770340877001</v>
      </c>
      <c r="BB139" s="1">
        <v>868.518798828125</v>
      </c>
      <c r="BC139" s="1">
        <v>519.64896202087402</v>
      </c>
      <c r="BD139" s="7"/>
      <c r="BE139" s="1"/>
      <c r="BF139" s="1"/>
      <c r="BG139" s="8"/>
      <c r="BH139" s="1"/>
      <c r="BI139" s="1"/>
      <c r="BJ139" s="1"/>
      <c r="BK139" s="8"/>
    </row>
    <row r="140" spans="1:63">
      <c r="A140" s="49"/>
      <c r="B140" s="7" t="s">
        <v>18</v>
      </c>
      <c r="C140" s="17">
        <v>0.12</v>
      </c>
      <c r="D140" s="7">
        <v>33</v>
      </c>
      <c r="E140" s="1">
        <v>0.106301551870748</v>
      </c>
      <c r="F140" s="1">
        <v>36.776797280983203</v>
      </c>
      <c r="G140" s="1">
        <v>0.96533656546390501</v>
      </c>
      <c r="H140" s="1">
        <v>14.6012840855298</v>
      </c>
      <c r="I140" s="1">
        <v>39.799573297962702</v>
      </c>
      <c r="J140" s="1">
        <v>0.97406516807645604</v>
      </c>
      <c r="K140" s="8">
        <v>15.8611656220342</v>
      </c>
      <c r="L140" s="7">
        <v>30</v>
      </c>
      <c r="M140" s="1">
        <v>0.105858312074829</v>
      </c>
      <c r="N140" s="1">
        <v>37.208499067929402</v>
      </c>
      <c r="O140" s="1">
        <v>0.96921994028950398</v>
      </c>
      <c r="P140" s="1">
        <v>15.1173054201222</v>
      </c>
      <c r="Q140" s="1">
        <v>40.2530765533646</v>
      </c>
      <c r="R140" s="1">
        <v>0.97580022301263503</v>
      </c>
      <c r="S140" s="8">
        <v>16.1618863623458</v>
      </c>
      <c r="T140" s="7"/>
      <c r="U140" s="1"/>
      <c r="V140" s="1"/>
      <c r="W140" s="8"/>
      <c r="X140" s="7"/>
      <c r="Y140" s="1"/>
      <c r="Z140" s="1"/>
      <c r="AA140" s="8"/>
      <c r="AB140" s="7">
        <v>16</v>
      </c>
      <c r="AC140" s="1">
        <v>0.105360597363945</v>
      </c>
      <c r="AD140" s="1">
        <v>37.2740300270303</v>
      </c>
      <c r="AE140" s="1">
        <v>0.96969028225518705</v>
      </c>
      <c r="AF140" s="1">
        <v>15.1841810792274</v>
      </c>
      <c r="AG140" s="1">
        <v>40.203019207083997</v>
      </c>
      <c r="AH140" s="1">
        <v>0.97602929573348995</v>
      </c>
      <c r="AI140" s="1">
        <v>16.203192060762401</v>
      </c>
      <c r="AJ140" s="1">
        <v>634.28546333312897</v>
      </c>
      <c r="AK140" s="1">
        <v>388.93825936317398</v>
      </c>
      <c r="AL140" s="7"/>
      <c r="AM140" s="1"/>
      <c r="AN140" s="1"/>
      <c r="AO140" s="8"/>
      <c r="AP140" s="1"/>
      <c r="AQ140" s="1"/>
      <c r="AR140" s="1"/>
      <c r="AS140" s="8"/>
      <c r="AT140" s="7">
        <v>0.08</v>
      </c>
      <c r="AU140" s="1">
        <v>8.5351031037414898E-2</v>
      </c>
      <c r="AV140" s="1">
        <v>36.1764906363669</v>
      </c>
      <c r="AW140" s="1">
        <v>0.97043961709271198</v>
      </c>
      <c r="AX140" s="1">
        <v>15.2928994465322</v>
      </c>
      <c r="AY140" s="1">
        <v>39.0480223058671</v>
      </c>
      <c r="AZ140" s="1">
        <v>0.97601127219606798</v>
      </c>
      <c r="BA140" s="1">
        <v>16.1999278339452</v>
      </c>
      <c r="BB140" s="1">
        <v>349.74441432952801</v>
      </c>
      <c r="BC140" s="1">
        <v>237.637830257415</v>
      </c>
      <c r="BD140" s="7"/>
      <c r="BE140" s="1"/>
      <c r="BF140" s="1"/>
      <c r="BG140" s="8"/>
      <c r="BH140" s="1"/>
      <c r="BI140" s="1"/>
      <c r="BJ140" s="1"/>
      <c r="BK140" s="8"/>
    </row>
    <row r="141" spans="1:63">
      <c r="A141" s="49"/>
      <c r="B141" s="7" t="s">
        <v>18</v>
      </c>
      <c r="C141" s="17">
        <v>0.06</v>
      </c>
      <c r="D141" s="7">
        <v>38</v>
      </c>
      <c r="E141" s="1">
        <v>5.2850499574829901E-2</v>
      </c>
      <c r="F141" s="1">
        <v>35.440745565563297</v>
      </c>
      <c r="G141" s="1">
        <v>0.95373041031837003</v>
      </c>
      <c r="H141" s="1">
        <v>13.347043518032001</v>
      </c>
      <c r="I141" s="1">
        <v>38.485944001377597</v>
      </c>
      <c r="J141" s="1">
        <v>0.96617968515932295</v>
      </c>
      <c r="K141" s="8">
        <v>14.7082235377754</v>
      </c>
      <c r="L141" s="7">
        <v>34</v>
      </c>
      <c r="M141" s="1">
        <v>5.9243463010204001E-2</v>
      </c>
      <c r="N141" s="1">
        <v>36.320097942346003</v>
      </c>
      <c r="O141" s="1">
        <v>0.96233719505692294</v>
      </c>
      <c r="P141" s="1">
        <v>14.2408733896785</v>
      </c>
      <c r="Q141" s="1">
        <v>39.370727524759602</v>
      </c>
      <c r="R141" s="1">
        <v>0.97119160839302199</v>
      </c>
      <c r="S141" s="8">
        <v>15.4048098801299</v>
      </c>
      <c r="T141" s="7"/>
      <c r="U141" s="1"/>
      <c r="V141" s="1"/>
      <c r="W141" s="8"/>
      <c r="X141" s="7"/>
      <c r="Y141" s="1"/>
      <c r="Z141" s="1"/>
      <c r="AA141" s="8"/>
      <c r="AB141" s="7">
        <v>4</v>
      </c>
      <c r="AC141" s="1">
        <v>5.0338275935374099E-2</v>
      </c>
      <c r="AD141" s="1">
        <v>35.922275853878602</v>
      </c>
      <c r="AE141" s="1">
        <v>0.95986643916467096</v>
      </c>
      <c r="AF141" s="1">
        <v>13.964923059395201</v>
      </c>
      <c r="AG141" s="1">
        <v>38.848738190074002</v>
      </c>
      <c r="AH141" s="1">
        <v>0.96902684214965795</v>
      </c>
      <c r="AI141" s="1">
        <v>15.090145141439001</v>
      </c>
      <c r="AJ141" s="1">
        <v>493.30443525314303</v>
      </c>
      <c r="AK141" s="1">
        <v>349.585481882095</v>
      </c>
      <c r="AL141" s="7"/>
      <c r="AM141" s="1"/>
      <c r="AN141" s="1"/>
      <c r="AO141" s="8"/>
      <c r="AP141" s="1"/>
      <c r="AQ141" s="1"/>
      <c r="AR141" s="1"/>
      <c r="AS141" s="8"/>
      <c r="AT141" s="7">
        <v>0.04</v>
      </c>
      <c r="AU141" s="1">
        <v>5.1509088010203999E-2</v>
      </c>
      <c r="AV141" s="1">
        <v>35.122864265440199</v>
      </c>
      <c r="AW141" s="1">
        <v>0.96378453326466895</v>
      </c>
      <c r="AX141" s="1">
        <v>14.4110591335509</v>
      </c>
      <c r="AY141" s="1">
        <v>37.941249482147498</v>
      </c>
      <c r="AZ141" s="1">
        <v>0.97161387993321602</v>
      </c>
      <c r="BA141" s="1">
        <v>15.468939645977599</v>
      </c>
      <c r="BB141" s="1">
        <v>806.57968139648403</v>
      </c>
      <c r="BC141" s="1">
        <v>498.25833821296601</v>
      </c>
      <c r="BD141" s="7"/>
      <c r="BE141" s="1"/>
      <c r="BF141" s="1"/>
      <c r="BG141" s="8"/>
      <c r="BH141" s="1"/>
      <c r="BI141" s="1"/>
      <c r="BJ141" s="1"/>
      <c r="BK141" s="8"/>
    </row>
    <row r="142" spans="1:63">
      <c r="A142" s="49"/>
      <c r="B142" s="7" t="s">
        <v>42</v>
      </c>
      <c r="C142" s="17">
        <v>1.5</v>
      </c>
      <c r="D142" s="7">
        <v>12</v>
      </c>
      <c r="E142" s="1">
        <v>1.47588301251353</v>
      </c>
      <c r="F142" s="1">
        <v>49.1035635501512</v>
      </c>
      <c r="G142" s="1">
        <v>0.99738970483176803</v>
      </c>
      <c r="H142" s="1">
        <v>25.8331038052137</v>
      </c>
      <c r="I142" s="1">
        <v>52.466985486153703</v>
      </c>
      <c r="J142" s="1">
        <v>0.99887886895812805</v>
      </c>
      <c r="K142" s="8">
        <v>29.503436225204599</v>
      </c>
      <c r="L142" s="7">
        <v>10</v>
      </c>
      <c r="M142" s="1">
        <v>1.33321043946047</v>
      </c>
      <c r="N142" s="1">
        <v>48.732113993314499</v>
      </c>
      <c r="O142" s="1">
        <v>0.99745053145349405</v>
      </c>
      <c r="P142" s="1">
        <v>25.935503416739301</v>
      </c>
      <c r="Q142" s="1">
        <v>52.106083247483497</v>
      </c>
      <c r="R142" s="1">
        <v>0.998783396955092</v>
      </c>
      <c r="S142" s="8">
        <v>29.148511009218801</v>
      </c>
      <c r="T142" s="13">
        <f>bdrate(E142:E145,F142:F145,M142:M145,N142:N145)</f>
        <v>-5.8589770170859423E-2</v>
      </c>
      <c r="U142" s="12">
        <f>bdrate(E142:E145,H142:H145,M142:M145,P142:P145)</f>
        <v>-0.16925066200366423</v>
      </c>
      <c r="V142" s="12">
        <f>bdrate(E142:E145,I142:I145,M142:M145,Q142:Q145)</f>
        <v>-6.5618356907322539E-2</v>
      </c>
      <c r="W142" s="14">
        <f>bdrate(E142:E145,K142:K145,M142:M145,S142:S145)</f>
        <v>-0.10596934063998908</v>
      </c>
      <c r="X142" s="13">
        <f>bdrate(E144:E147,F144:F147,M144:M147,N144:N147)</f>
        <v>-0.21240008541832422</v>
      </c>
      <c r="Y142" s="12">
        <f>bdrate(E144:E147,H144:H147,M144:M147,P144:P147)</f>
        <v>-0.28290699455665513</v>
      </c>
      <c r="Z142" s="12">
        <f>bdrate(E144:E147,I144:I147,M144:M147,Q144:Q147)</f>
        <v>-0.2116421182065843</v>
      </c>
      <c r="AA142" s="14">
        <f>bdrate(E144:E147,K144:K147,M144:M147,S144:S147)</f>
        <v>-0.224677727120149</v>
      </c>
      <c r="AB142" s="7">
        <v>256</v>
      </c>
      <c r="AC142" s="1">
        <v>0.353271528401709</v>
      </c>
      <c r="AD142" s="1">
        <v>46.413171238527099</v>
      </c>
      <c r="AE142" s="1">
        <v>0.99564877804648699</v>
      </c>
      <c r="AF142" s="1">
        <v>23.613887630121699</v>
      </c>
      <c r="AG142" s="1">
        <v>49.208446080632903</v>
      </c>
      <c r="AH142" s="1">
        <v>0.99642521588196298</v>
      </c>
      <c r="AI142" s="1">
        <v>24.4675018020599</v>
      </c>
      <c r="AJ142" s="1">
        <v>839.35943889617897</v>
      </c>
      <c r="AK142" s="1">
        <v>518.83203721046402</v>
      </c>
      <c r="AL142" s="13">
        <f>bdrate(E142:E145,F142:F145,AC142:AC145,AD142:AD145)</f>
        <v>-0.40822477061679974</v>
      </c>
      <c r="AM142" s="12">
        <f>bdrate(E142:E145,H142:H145,AC142:AC145,AF142:AF145)</f>
        <v>-0.48963037639611706</v>
      </c>
      <c r="AN142" s="12">
        <f>bdrate(E142:E145,I142:I145,AC142:AC145,AG142:AG145)</f>
        <v>-0.36806018274709995</v>
      </c>
      <c r="AO142" s="14">
        <f>bdrate(E142:E145,K142:K145,AC142:AC145,AI142:AI145)</f>
        <v>-0.27329389323652131</v>
      </c>
      <c r="AP142" s="12">
        <f>bdrate(E144:E147,F144:F147,AC144:AC147,AD144:AD147)</f>
        <v>-0.34238961194850026</v>
      </c>
      <c r="AQ142" s="12">
        <f>bdrate(E144:E147,H144:H147,AC144:AC147,AF144:AF147)</f>
        <v>-0.51533815176753495</v>
      </c>
      <c r="AR142" s="12">
        <f>bdrate(E144:E147,I144:I147,AC144:AC147,AG144:AG147)</f>
        <v>-0.27805050123230179</v>
      </c>
      <c r="AS142" s="14">
        <f>bdrate(E144:E147,K144:K147,AC144:AC147,AI144:AI147)</f>
        <v>-0.31828838647656421</v>
      </c>
      <c r="AT142" s="7">
        <v>6.4</v>
      </c>
      <c r="AU142" s="1">
        <v>0.80537911824714803</v>
      </c>
      <c r="AV142" s="1">
        <v>47.473667677215403</v>
      </c>
      <c r="AW142" s="1">
        <v>0.99868710647291903</v>
      </c>
      <c r="AX142" s="1">
        <v>28.817704928565998</v>
      </c>
      <c r="AY142" s="1">
        <v>50.1775419605396</v>
      </c>
      <c r="AZ142" s="1">
        <v>0.99906643985640498</v>
      </c>
      <c r="BA142" s="1">
        <v>30.298576978651798</v>
      </c>
      <c r="BB142" s="1">
        <v>711.488208293914</v>
      </c>
      <c r="BC142" s="1">
        <v>370.303617715835</v>
      </c>
      <c r="BD142" s="13">
        <f>bdrate(E142:E145,F142:F145,AU142:AU145,AV142:AV145)</f>
        <v>0.16693690152233231</v>
      </c>
      <c r="BE142" s="12">
        <f>bdrate(E142:E145,H142:H145,AU142:AU145,AX142:AX145)</f>
        <v>-0.65718739388023106</v>
      </c>
      <c r="BF142" s="12">
        <f>bdrate(E142:E145,I142:I145,AU142:AU145,AY142:AY145)</f>
        <v>0.29112661406983054</v>
      </c>
      <c r="BG142" s="14">
        <f>bdrate(E142:E145,K142:K145,AU142:AU145,BA142:BA145)</f>
        <v>-0.49425137049631929</v>
      </c>
      <c r="BH142" s="12">
        <f>bdrate(E144:E147,F144:F147,AU144:AU147,AV144:AV147)</f>
        <v>0.17408845727839228</v>
      </c>
      <c r="BI142" s="12">
        <f>bdrate(E144:E147,H144:H147,AU144:AU147,AX144:AX147)</f>
        <v>-0.66579360974231394</v>
      </c>
      <c r="BJ142" s="12">
        <f>bdrate(E144:E147,I144:I147,AU144:AU147,AY144:AY147)</f>
        <v>0.31443584575853967</v>
      </c>
      <c r="BK142" s="14">
        <f>bdrate(E144:E147,K144:K147,AU144:AU147,BA144:BA147)</f>
        <v>-0.54895807275000164</v>
      </c>
    </row>
    <row r="143" spans="1:63">
      <c r="A143" s="49"/>
      <c r="B143" s="7" t="s">
        <v>18</v>
      </c>
      <c r="C143" s="17">
        <v>1</v>
      </c>
      <c r="D143" s="7">
        <v>15</v>
      </c>
      <c r="E143" s="1">
        <v>0.96431963413959698</v>
      </c>
      <c r="F143" s="1">
        <v>47.895461884025998</v>
      </c>
      <c r="G143" s="1">
        <v>0.99666034753863197</v>
      </c>
      <c r="H143" s="1">
        <v>24.762987253931001</v>
      </c>
      <c r="I143" s="1">
        <v>51.0297349279939</v>
      </c>
      <c r="J143" s="1">
        <v>0.99826502089918301</v>
      </c>
      <c r="K143" s="8">
        <v>27.607057522591301</v>
      </c>
      <c r="L143" s="7">
        <v>13</v>
      </c>
      <c r="M143" s="1">
        <v>0.88104086835741902</v>
      </c>
      <c r="N143" s="1">
        <v>47.704190846440298</v>
      </c>
      <c r="O143" s="1">
        <v>0.996781693048989</v>
      </c>
      <c r="P143" s="1">
        <v>24.9237253675266</v>
      </c>
      <c r="Q143" s="1">
        <v>50.871403177829499</v>
      </c>
      <c r="R143" s="1">
        <v>0.99824157127749302</v>
      </c>
      <c r="S143" s="8">
        <v>27.548752310146298</v>
      </c>
      <c r="T143" s="7"/>
      <c r="U143" s="1"/>
      <c r="V143" s="1"/>
      <c r="W143" s="8"/>
      <c r="X143" s="7"/>
      <c r="Y143" s="1"/>
      <c r="Z143" s="1"/>
      <c r="AA143" s="8"/>
      <c r="AB143" s="7">
        <v>128</v>
      </c>
      <c r="AC143" s="1">
        <v>0.186145479095084</v>
      </c>
      <c r="AD143" s="1">
        <v>45.060767731092298</v>
      </c>
      <c r="AE143" s="1">
        <v>0.99370753870144302</v>
      </c>
      <c r="AF143" s="1">
        <v>22.011794468761298</v>
      </c>
      <c r="AG143" s="1">
        <v>47.913432021221901</v>
      </c>
      <c r="AH143" s="1">
        <v>0.99465531190255596</v>
      </c>
      <c r="AI143" s="1">
        <v>22.720776340495402</v>
      </c>
      <c r="AJ143" s="1">
        <v>1383.9280009269701</v>
      </c>
      <c r="AK143" s="1">
        <v>658.97901248931805</v>
      </c>
      <c r="AL143" s="7"/>
      <c r="AM143" s="1"/>
      <c r="AN143" s="1"/>
      <c r="AO143" s="8"/>
      <c r="AP143" s="1"/>
      <c r="AQ143" s="1"/>
      <c r="AR143" s="1"/>
      <c r="AS143" s="8"/>
      <c r="AT143" s="7">
        <v>3.2</v>
      </c>
      <c r="AU143" s="1">
        <v>0.59831015581607205</v>
      </c>
      <c r="AV143" s="1">
        <v>46.133840543881199</v>
      </c>
      <c r="AW143" s="1">
        <v>0.99811621479457902</v>
      </c>
      <c r="AX143" s="1">
        <v>27.2496861821968</v>
      </c>
      <c r="AY143" s="1">
        <v>48.882765524619501</v>
      </c>
      <c r="AZ143" s="1">
        <v>0.99859878277590097</v>
      </c>
      <c r="BA143" s="1">
        <v>28.534945328695098</v>
      </c>
      <c r="BB143" s="1">
        <v>1093.6214299201899</v>
      </c>
      <c r="BC143" s="1">
        <v>551.28243684768597</v>
      </c>
      <c r="BD143" s="7"/>
      <c r="BE143" s="1"/>
      <c r="BF143" s="1"/>
      <c r="BG143" s="8"/>
      <c r="BH143" s="1"/>
      <c r="BI143" s="1"/>
      <c r="BJ143" s="1"/>
      <c r="BK143" s="8"/>
    </row>
    <row r="144" spans="1:63">
      <c r="A144" s="49"/>
      <c r="B144" s="7" t="s">
        <v>18</v>
      </c>
      <c r="C144" s="17">
        <v>0.5</v>
      </c>
      <c r="D144" s="7">
        <v>19</v>
      </c>
      <c r="E144" s="1">
        <v>0.480027207634808</v>
      </c>
      <c r="F144" s="1">
        <v>45.976934088439798</v>
      </c>
      <c r="G144" s="1">
        <v>0.99461503109841598</v>
      </c>
      <c r="H144" s="1">
        <v>22.688168004272001</v>
      </c>
      <c r="I144" s="1">
        <v>48.9686793775819</v>
      </c>
      <c r="J144" s="1">
        <v>0.99643646524695395</v>
      </c>
      <c r="K144" s="8">
        <v>24.481190014292601</v>
      </c>
      <c r="L144" s="7">
        <v>17</v>
      </c>
      <c r="M144" s="1">
        <v>0.43759302197903399</v>
      </c>
      <c r="N144" s="1">
        <v>45.9547121564515</v>
      </c>
      <c r="O144" s="1">
        <v>0.99496445771397102</v>
      </c>
      <c r="P144" s="1">
        <v>22.979537526876701</v>
      </c>
      <c r="Q144" s="1">
        <v>48.951269998188899</v>
      </c>
      <c r="R144" s="1">
        <v>0.99657367594656199</v>
      </c>
      <c r="S144" s="8">
        <v>24.651715649068699</v>
      </c>
      <c r="T144" s="7"/>
      <c r="U144" s="1"/>
      <c r="V144" s="1"/>
      <c r="W144" s="8"/>
      <c r="X144" s="7"/>
      <c r="Y144" s="1"/>
      <c r="Z144" s="1"/>
      <c r="AA144" s="8"/>
      <c r="AB144" s="7">
        <v>64</v>
      </c>
      <c r="AC144" s="1">
        <v>0.12615189629253201</v>
      </c>
      <c r="AD144" s="1">
        <v>44.283459114585597</v>
      </c>
      <c r="AE144" s="1">
        <v>0.99266276404822595</v>
      </c>
      <c r="AF144" s="1">
        <v>21.344675146030902</v>
      </c>
      <c r="AG144" s="1">
        <v>47.081676900232097</v>
      </c>
      <c r="AH144" s="1">
        <v>0.99381971518355505</v>
      </c>
      <c r="AI144" s="1">
        <v>22.089915101280098</v>
      </c>
      <c r="AJ144" s="1">
        <v>926.93021416664101</v>
      </c>
      <c r="AK144" s="1">
        <v>386.146552562713</v>
      </c>
      <c r="AL144" s="7"/>
      <c r="AM144" s="1"/>
      <c r="AN144" s="1"/>
      <c r="AO144" s="8"/>
      <c r="AP144" s="1"/>
      <c r="AQ144" s="1"/>
      <c r="AR144" s="1"/>
      <c r="AS144" s="8"/>
      <c r="AT144" s="7">
        <v>1.28</v>
      </c>
      <c r="AU144" s="1">
        <v>0.34355249318272901</v>
      </c>
      <c r="AV144" s="1">
        <v>44.727103765289499</v>
      </c>
      <c r="AW144" s="1">
        <v>0.99672521864178698</v>
      </c>
      <c r="AX144" s="1">
        <v>24.848176905092501</v>
      </c>
      <c r="AY144" s="1">
        <v>47.460355155850699</v>
      </c>
      <c r="AZ144" s="1">
        <v>0.99739951361934198</v>
      </c>
      <c r="BA144" s="1">
        <v>25.8494541638287</v>
      </c>
      <c r="BB144" s="1">
        <v>1116.49086284637</v>
      </c>
      <c r="BC144" s="1">
        <v>509.358784437179</v>
      </c>
      <c r="BD144" s="7"/>
      <c r="BE144" s="1"/>
      <c r="BF144" s="1"/>
      <c r="BG144" s="8"/>
      <c r="BH144" s="1"/>
      <c r="BI144" s="1"/>
      <c r="BJ144" s="1"/>
      <c r="BK144" s="8"/>
    </row>
    <row r="145" spans="1:63">
      <c r="A145" s="49"/>
      <c r="B145" s="7" t="s">
        <v>18</v>
      </c>
      <c r="C145" s="17">
        <v>0.25</v>
      </c>
      <c r="D145" s="7">
        <v>23</v>
      </c>
      <c r="E145" s="1">
        <v>0.220509811873525</v>
      </c>
      <c r="F145" s="1">
        <v>44.3296001430231</v>
      </c>
      <c r="G145" s="1">
        <v>0.99198090653402304</v>
      </c>
      <c r="H145" s="1">
        <v>20.958747246057001</v>
      </c>
      <c r="I145" s="1">
        <v>47.310469565373097</v>
      </c>
      <c r="J145" s="1">
        <v>0.99405814703674</v>
      </c>
      <c r="K145" s="8">
        <v>22.260780994248599</v>
      </c>
      <c r="L145" s="7">
        <v>20</v>
      </c>
      <c r="M145" s="1">
        <v>0.22493318981466201</v>
      </c>
      <c r="N145" s="1">
        <v>44.6836931905368</v>
      </c>
      <c r="O145" s="1">
        <v>0.99299683782131098</v>
      </c>
      <c r="P145" s="1">
        <v>21.547058161774999</v>
      </c>
      <c r="Q145" s="1">
        <v>47.663327345790101</v>
      </c>
      <c r="R145" s="1">
        <v>0.99479212464081901</v>
      </c>
      <c r="S145" s="8">
        <v>22.833394183469199</v>
      </c>
      <c r="T145" s="7"/>
      <c r="U145" s="1"/>
      <c r="V145" s="1"/>
      <c r="W145" s="8"/>
      <c r="X145" s="7"/>
      <c r="Y145" s="1"/>
      <c r="Z145" s="1"/>
      <c r="AA145" s="8"/>
      <c r="AB145" s="7">
        <v>32</v>
      </c>
      <c r="AC145" s="1">
        <v>9.0025372241533397E-2</v>
      </c>
      <c r="AD145" s="1">
        <v>43.493385024891097</v>
      </c>
      <c r="AE145" s="1">
        <v>0.99171537570965296</v>
      </c>
      <c r="AF145" s="1">
        <v>20.817271821546001</v>
      </c>
      <c r="AG145" s="1">
        <v>46.2345157454263</v>
      </c>
      <c r="AH145" s="1">
        <v>0.99307699362653801</v>
      </c>
      <c r="AI145" s="1">
        <v>21.5970526856795</v>
      </c>
      <c r="AJ145" s="1">
        <v>540.53549027442898</v>
      </c>
      <c r="AK145" s="1">
        <v>355.46543025970402</v>
      </c>
      <c r="AL145" s="7"/>
      <c r="AM145" s="1"/>
      <c r="AN145" s="1"/>
      <c r="AO145" s="8"/>
      <c r="AP145" s="1"/>
      <c r="AQ145" s="1"/>
      <c r="AR145" s="1"/>
      <c r="AS145" s="8"/>
      <c r="AT145" s="7">
        <v>0.64</v>
      </c>
      <c r="AU145" s="1">
        <v>0.18958490457157101</v>
      </c>
      <c r="AV145" s="1">
        <v>43.524698689375199</v>
      </c>
      <c r="AW145" s="1">
        <v>0.99500744783237405</v>
      </c>
      <c r="AX145" s="1">
        <v>23.016773884515501</v>
      </c>
      <c r="AY145" s="1">
        <v>46.254299638072901</v>
      </c>
      <c r="AZ145" s="1">
        <v>0.99588426398248198</v>
      </c>
      <c r="BA145" s="1">
        <v>23.8555248857724</v>
      </c>
      <c r="BB145" s="1">
        <v>895.65497851371697</v>
      </c>
      <c r="BC145" s="1">
        <v>429.90294933319001</v>
      </c>
      <c r="BD145" s="7"/>
      <c r="BE145" s="1"/>
      <c r="BF145" s="1"/>
      <c r="BG145" s="8"/>
      <c r="BH145" s="1"/>
      <c r="BI145" s="1"/>
      <c r="BJ145" s="1"/>
      <c r="BK145" s="8"/>
    </row>
    <row r="146" spans="1:63">
      <c r="A146" s="49"/>
      <c r="B146" s="7" t="s">
        <v>18</v>
      </c>
      <c r="C146" s="17">
        <v>0.12</v>
      </c>
      <c r="D146" s="7">
        <v>29</v>
      </c>
      <c r="E146" s="1">
        <v>0.107350202387507</v>
      </c>
      <c r="F146" s="1">
        <v>42.818116156455503</v>
      </c>
      <c r="G146" s="1">
        <v>0.98967475725718601</v>
      </c>
      <c r="H146" s="1">
        <v>19.860997294415</v>
      </c>
      <c r="I146" s="1">
        <v>45.766621877878599</v>
      </c>
      <c r="J146" s="1">
        <v>0.99243785864527001</v>
      </c>
      <c r="K146" s="8">
        <v>21.213552088823199</v>
      </c>
      <c r="L146" s="7">
        <v>24</v>
      </c>
      <c r="M146" s="1">
        <v>0.11646011145405601</v>
      </c>
      <c r="N146" s="1">
        <v>43.673256984132301</v>
      </c>
      <c r="O146" s="1">
        <v>0.99123377303303195</v>
      </c>
      <c r="P146" s="1">
        <v>20.5718728918905</v>
      </c>
      <c r="Q146" s="1">
        <v>46.639269864534398</v>
      </c>
      <c r="R146" s="1">
        <v>0.99329623147803403</v>
      </c>
      <c r="S146" s="8">
        <v>21.736809901070099</v>
      </c>
      <c r="T146" s="7"/>
      <c r="U146" s="1"/>
      <c r="V146" s="1"/>
      <c r="W146" s="8"/>
      <c r="X146" s="7"/>
      <c r="Y146" s="1"/>
      <c r="Z146" s="1"/>
      <c r="AA146" s="8"/>
      <c r="AB146" s="7">
        <v>16</v>
      </c>
      <c r="AC146" s="1">
        <v>6.2285553531368797E-2</v>
      </c>
      <c r="AD146" s="1">
        <v>42.467414570013801</v>
      </c>
      <c r="AE146" s="1">
        <v>0.99032778820900702</v>
      </c>
      <c r="AF146" s="1">
        <v>20.1447420236107</v>
      </c>
      <c r="AG146" s="1">
        <v>45.145219355518698</v>
      </c>
      <c r="AH146" s="1">
        <v>0.99196482032919098</v>
      </c>
      <c r="AI146" s="1">
        <v>20.950044077409299</v>
      </c>
      <c r="AJ146" s="1">
        <v>492.52260208129798</v>
      </c>
      <c r="AK146" s="1">
        <v>285.75834345817498</v>
      </c>
      <c r="AL146" s="7"/>
      <c r="AM146" s="1"/>
      <c r="AN146" s="1"/>
      <c r="AO146" s="8"/>
      <c r="AP146" s="1"/>
      <c r="AQ146" s="1"/>
      <c r="AR146" s="1"/>
      <c r="AS146" s="8"/>
      <c r="AT146" s="7">
        <v>0.32</v>
      </c>
      <c r="AU146" s="1">
        <v>9.3014899279120503E-2</v>
      </c>
      <c r="AV146" s="1">
        <v>42.282291765946503</v>
      </c>
      <c r="AW146" s="1">
        <v>0.99284567340095398</v>
      </c>
      <c r="AX146" s="1">
        <v>21.454312379463701</v>
      </c>
      <c r="AY146" s="1">
        <v>44.944101058389698</v>
      </c>
      <c r="AZ146" s="1">
        <v>0.99401108064544397</v>
      </c>
      <c r="BA146" s="1">
        <v>22.2265153498846</v>
      </c>
      <c r="BB146" s="1">
        <v>731.44034910202004</v>
      </c>
      <c r="BC146" s="1">
        <v>402.56691169738701</v>
      </c>
      <c r="BD146" s="7"/>
      <c r="BE146" s="1"/>
      <c r="BF146" s="1"/>
      <c r="BG146" s="8"/>
      <c r="BH146" s="1"/>
      <c r="BI146" s="1"/>
      <c r="BJ146" s="1"/>
      <c r="BK146" s="8"/>
    </row>
    <row r="147" spans="1:63" ht="15" thickBot="1">
      <c r="A147" s="50"/>
      <c r="B147" s="9" t="s">
        <v>18</v>
      </c>
      <c r="C147" s="18">
        <v>0.06</v>
      </c>
      <c r="D147" s="9">
        <v>34</v>
      </c>
      <c r="E147" s="10">
        <v>5.82674582100721E-2</v>
      </c>
      <c r="F147" s="10">
        <v>41.138608874614697</v>
      </c>
      <c r="G147" s="10">
        <v>0.98632392709097705</v>
      </c>
      <c r="H147" s="10">
        <v>18.640385925857402</v>
      </c>
      <c r="I147" s="10">
        <v>44.051642135654397</v>
      </c>
      <c r="J147" s="10">
        <v>0.99016338886242194</v>
      </c>
      <c r="K147" s="11">
        <v>20.071544968677799</v>
      </c>
      <c r="L147" s="9">
        <v>30</v>
      </c>
      <c r="M147" s="10">
        <v>5.6514083237088703E-2</v>
      </c>
      <c r="N147" s="10">
        <v>42.170207886061199</v>
      </c>
      <c r="O147" s="10">
        <v>0.98906638623085397</v>
      </c>
      <c r="P147" s="10">
        <v>19.6123627166372</v>
      </c>
      <c r="Q147" s="10">
        <v>45.080642122810602</v>
      </c>
      <c r="R147" s="10">
        <v>0.99158272828198502</v>
      </c>
      <c r="S147" s="11">
        <v>20.748286531342401</v>
      </c>
      <c r="T147" s="9"/>
      <c r="U147" s="10"/>
      <c r="V147" s="10"/>
      <c r="W147" s="11"/>
      <c r="X147" s="9"/>
      <c r="Y147" s="10"/>
      <c r="Z147" s="10"/>
      <c r="AA147" s="11"/>
      <c r="AB147" s="9">
        <v>8</v>
      </c>
      <c r="AC147" s="10">
        <v>4.8750129238936901E-2</v>
      </c>
      <c r="AD147" s="10">
        <v>41.345143169252701</v>
      </c>
      <c r="AE147" s="10">
        <v>0.98843048636487696</v>
      </c>
      <c r="AF147" s="10">
        <v>19.3668489774854</v>
      </c>
      <c r="AG147" s="10">
        <v>43.976924957418198</v>
      </c>
      <c r="AH147" s="10">
        <v>0.99030068654373804</v>
      </c>
      <c r="AI147" s="10">
        <v>20.132590051883099</v>
      </c>
      <c r="AJ147" s="10">
        <v>365.90592575073202</v>
      </c>
      <c r="AK147" s="10">
        <v>242.198185205459</v>
      </c>
      <c r="AL147" s="9"/>
      <c r="AM147" s="10"/>
      <c r="AN147" s="10"/>
      <c r="AO147" s="11"/>
      <c r="AP147" s="10"/>
      <c r="AQ147" s="10"/>
      <c r="AR147" s="10"/>
      <c r="AS147" s="11"/>
      <c r="AT147" s="9">
        <v>0.16</v>
      </c>
      <c r="AU147" s="10">
        <v>5.7528492009360201E-2</v>
      </c>
      <c r="AV147" s="10">
        <v>40.723372484133698</v>
      </c>
      <c r="AW147" s="10">
        <v>0.99095041642618598</v>
      </c>
      <c r="AX147" s="10">
        <v>20.433714048562202</v>
      </c>
      <c r="AY147" s="10">
        <v>43.298485592368102</v>
      </c>
      <c r="AZ147" s="10">
        <v>0.99249078837691096</v>
      </c>
      <c r="BA147" s="10">
        <v>21.244056563000999</v>
      </c>
      <c r="BB147" s="10">
        <v>732.90336728095997</v>
      </c>
      <c r="BC147" s="10">
        <v>468.28124499320899</v>
      </c>
      <c r="BD147" s="9"/>
      <c r="BE147" s="10"/>
      <c r="BF147" s="10"/>
      <c r="BG147" s="11"/>
      <c r="BH147" s="10"/>
      <c r="BI147" s="10"/>
      <c r="BJ147" s="10"/>
      <c r="BK147" s="11"/>
    </row>
    <row r="148" spans="1:63">
      <c r="A148" s="48" t="s">
        <v>43</v>
      </c>
      <c r="B148" s="15" t="s">
        <v>44</v>
      </c>
      <c r="C148" s="16">
        <v>1.5</v>
      </c>
      <c r="D148" s="15">
        <v>19</v>
      </c>
      <c r="E148" s="19">
        <v>1.49485073913597</v>
      </c>
      <c r="F148" s="19">
        <v>43.9402012731288</v>
      </c>
      <c r="G148" s="19">
        <v>0.99429933844275198</v>
      </c>
      <c r="H148" s="19">
        <v>22.440747418730901</v>
      </c>
      <c r="I148" s="19">
        <v>47.127285638859703</v>
      </c>
      <c r="J148" s="19">
        <v>0.996820890941575</v>
      </c>
      <c r="K148" s="20">
        <v>24.976945734820799</v>
      </c>
      <c r="L148" s="15">
        <v>17</v>
      </c>
      <c r="M148" s="19">
        <v>1.41516264177392</v>
      </c>
      <c r="N148" s="19">
        <v>44.029621179886199</v>
      </c>
      <c r="O148" s="19">
        <v>0.99431976632809604</v>
      </c>
      <c r="P148" s="19">
        <v>22.456337980335402</v>
      </c>
      <c r="Q148" s="19">
        <v>47.321058719530797</v>
      </c>
      <c r="R148" s="19">
        <v>0.99689414292675305</v>
      </c>
      <c r="S148" s="20">
        <v>25.078185337100201</v>
      </c>
      <c r="T148" s="21">
        <f>bdrate(E148:E151,F148:F151,M148:M151,N148:N151)</f>
        <v>-0.10406675889283223</v>
      </c>
      <c r="U148" s="22">
        <f>bdrate(E148:E151,H148:H151,M148:M151,P148:P151)</f>
        <v>-0.1076360521527957</v>
      </c>
      <c r="V148" s="22">
        <f>bdrate(E148:E151,I148:I151,M148:M151,Q148:Q151)</f>
        <v>-0.11121286344260384</v>
      </c>
      <c r="W148" s="23">
        <f>bdrate(E148:E151,K148:K151,M148:M151,S148:S151)</f>
        <v>-9.0773026959793834E-2</v>
      </c>
      <c r="X148" s="21">
        <f>bdrate(E150:E153,F150:F153,M150:M153,N150:N153)</f>
        <v>-0.15092522612487091</v>
      </c>
      <c r="Y148" s="22">
        <f>bdrate(E150:E153,H150:H153,M150:M153,P150:P153)</f>
        <v>-0.18367943696411315</v>
      </c>
      <c r="Z148" s="22">
        <f>bdrate(E150:E153,I150:I153,M150:M153,Q150:Q153)</f>
        <v>-0.16579061833948461</v>
      </c>
      <c r="AA148" s="23">
        <f>bdrate(E150:E153,K150:K153,M150:M153,S150:S153)</f>
        <v>-0.1487987864107907</v>
      </c>
      <c r="AB148" s="15">
        <v>256</v>
      </c>
      <c r="AC148" s="19">
        <v>1.24419563208869</v>
      </c>
      <c r="AD148" s="19">
        <v>44.018527060395897</v>
      </c>
      <c r="AE148" s="19">
        <v>0.99482417779770005</v>
      </c>
      <c r="AF148" s="19">
        <v>22.8602065078728</v>
      </c>
      <c r="AG148" s="19">
        <v>46.838877495043299</v>
      </c>
      <c r="AH148" s="19">
        <v>0.99648326655448904</v>
      </c>
      <c r="AI148" s="19">
        <v>24.5386054824003</v>
      </c>
      <c r="AJ148" s="19">
        <v>292.20636224746698</v>
      </c>
      <c r="AK148" s="19">
        <v>161.44915509223901</v>
      </c>
      <c r="AL148" s="21">
        <f>bdrate(E148:E151,F148:F151,AC148:AC151,AD148:AD151)</f>
        <v>-0.17117985260923252</v>
      </c>
      <c r="AM148" s="22">
        <f>bdrate(E148:E151,H148:H151,AC148:AC151,AF148:AF151)</f>
        <v>-0.23771252871427695</v>
      </c>
      <c r="AN148" s="22">
        <f>bdrate(E148:E151,I148:I151,AC148:AC151,AG148:AG151)</f>
        <v>-0.11289623069793253</v>
      </c>
      <c r="AO148" s="23">
        <f>bdrate(E148:E151,K148:K151,AC148:AC151,AI148:AI151)</f>
        <v>-8.7417806803376852E-2</v>
      </c>
      <c r="AP148" s="22">
        <f>bdrate(E150:E153,F150:F153,AC150:AC153,AD150:AD153)</f>
        <v>-0.25807197126297043</v>
      </c>
      <c r="AQ148" s="22">
        <f>bdrate(E150:E153,H150:H153,AC150:AC153,AF150:AF153)</f>
        <v>-0.33389170678477575</v>
      </c>
      <c r="AR148" s="22">
        <f>bdrate(E150:E153,I150:I153,AC150:AC153,AG150:AG153)</f>
        <v>-0.19944576138245562</v>
      </c>
      <c r="AS148" s="23">
        <f>bdrate(E150:E153,K150:K153,AC150:AC153,AI150:AI153)</f>
        <v>-0.1847239154942506</v>
      </c>
      <c r="AT148" s="15">
        <v>6.4</v>
      </c>
      <c r="AU148" s="19">
        <v>1.70112848328448</v>
      </c>
      <c r="AV148" s="19">
        <v>44.235032455222303</v>
      </c>
      <c r="AW148" s="19">
        <v>0.99767941881161304</v>
      </c>
      <c r="AX148" s="19">
        <v>26.344032326527199</v>
      </c>
      <c r="AY148" s="19">
        <v>47.021148891989299</v>
      </c>
      <c r="AZ148" s="19">
        <v>0.99855363014352005</v>
      </c>
      <c r="BA148" s="19">
        <v>28.397206378234099</v>
      </c>
      <c r="BB148" s="19">
        <v>317.83900642395002</v>
      </c>
      <c r="BC148" s="19">
        <v>149.862492084503</v>
      </c>
      <c r="BD148" s="21">
        <f>bdrate(E148:E151,F148:F151,AU148:AU151,AV148:AV151)</f>
        <v>0.17428444872675586</v>
      </c>
      <c r="BE148" s="22">
        <f>bdrate(E148:E151,H148:H151,AU148:AU151,AX148:AX151)</f>
        <v>-0.56306967400130947</v>
      </c>
      <c r="BF148" s="22">
        <f>bdrate(E148:E151,I148:I151,AU148:AU151,AY148:AY151)</f>
        <v>0.24716429207814028</v>
      </c>
      <c r="BG148" s="23">
        <f>bdrate(E148:E151,K148:K151,AU148:AU151,BA148:BA151)</f>
        <v>-0.45275793931561781</v>
      </c>
      <c r="BH148" s="22">
        <f>bdrate(E150:E153,F150:F153,AU150:AU153,AV150:AV153)</f>
        <v>0.45522155873080994</v>
      </c>
      <c r="BI148" s="22">
        <f>bdrate(E150:E153,H150:H153,AU150:AU153,AX150:AX153)</f>
        <v>-0.54110588477281929</v>
      </c>
      <c r="BJ148" s="22">
        <f>bdrate(E150:E153,I150:I153,AU150:AU153,AY150:AY153)</f>
        <v>0.63815890745551007</v>
      </c>
      <c r="BK148" s="23">
        <f>bdrate(E150:E153,K150:K153,AU150:AU153,BA150:BA153)</f>
        <v>-0.45340710977651499</v>
      </c>
    </row>
    <row r="149" spans="1:63">
      <c r="A149" s="49"/>
      <c r="B149" s="7" t="s">
        <v>18</v>
      </c>
      <c r="C149" s="17">
        <v>1</v>
      </c>
      <c r="D149" s="7">
        <v>22</v>
      </c>
      <c r="E149" s="1">
        <v>0.80877246081304899</v>
      </c>
      <c r="F149" s="1">
        <v>41.434846372768803</v>
      </c>
      <c r="G149" s="1">
        <v>0.98980883025653699</v>
      </c>
      <c r="H149" s="1">
        <v>19.917759647693099</v>
      </c>
      <c r="I149" s="1">
        <v>44.514204272384603</v>
      </c>
      <c r="J149" s="1">
        <v>0.99333220137935496</v>
      </c>
      <c r="K149" s="8">
        <v>21.760175251103199</v>
      </c>
      <c r="L149" s="7">
        <v>20</v>
      </c>
      <c r="M149" s="1">
        <v>0.83977289622360896</v>
      </c>
      <c r="N149" s="1">
        <v>41.916508598427598</v>
      </c>
      <c r="O149" s="1">
        <v>0.99087157707228501</v>
      </c>
      <c r="P149" s="1">
        <v>20.396042468854201</v>
      </c>
      <c r="Q149" s="1">
        <v>45.026731533688697</v>
      </c>
      <c r="R149" s="1">
        <v>0.99410620567225905</v>
      </c>
      <c r="S149" s="8">
        <v>22.296050235396599</v>
      </c>
      <c r="T149" s="7"/>
      <c r="U149" s="1"/>
      <c r="V149" s="1"/>
      <c r="W149" s="8"/>
      <c r="X149" s="7"/>
      <c r="Y149" s="1"/>
      <c r="Z149" s="1"/>
      <c r="AA149" s="8"/>
      <c r="AB149" s="7">
        <v>128</v>
      </c>
      <c r="AC149" s="1">
        <v>0.71486250053098799</v>
      </c>
      <c r="AD149" s="1">
        <v>41.5960947845387</v>
      </c>
      <c r="AE149" s="1">
        <v>0.99081893213410999</v>
      </c>
      <c r="AF149" s="1">
        <v>20.3710680231823</v>
      </c>
      <c r="AG149" s="1">
        <v>44.465882094582597</v>
      </c>
      <c r="AH149" s="1">
        <v>0.99300808067353297</v>
      </c>
      <c r="AI149" s="1">
        <v>21.554035912821998</v>
      </c>
      <c r="AJ149" s="1">
        <v>271.72033905982897</v>
      </c>
      <c r="AK149" s="1">
        <v>154.87055087089499</v>
      </c>
      <c r="AL149" s="7"/>
      <c r="AM149" s="1"/>
      <c r="AN149" s="1"/>
      <c r="AO149" s="8"/>
      <c r="AP149" s="1"/>
      <c r="AQ149" s="1"/>
      <c r="AR149" s="1"/>
      <c r="AS149" s="8"/>
      <c r="AT149" s="7">
        <v>3.2</v>
      </c>
      <c r="AU149" s="1">
        <v>1.13930416613567</v>
      </c>
      <c r="AV149" s="1">
        <v>42.185200048837402</v>
      </c>
      <c r="AW149" s="1">
        <v>0.99646368158785803</v>
      </c>
      <c r="AX149" s="1">
        <v>24.514486377737001</v>
      </c>
      <c r="AY149" s="1">
        <v>45.048548009892301</v>
      </c>
      <c r="AZ149" s="1">
        <v>0.99747837755930002</v>
      </c>
      <c r="BA149" s="1">
        <v>25.983199392521598</v>
      </c>
      <c r="BB149" s="1">
        <v>419.48566293716402</v>
      </c>
      <c r="BC149" s="1">
        <v>208.398507595062</v>
      </c>
      <c r="BD149" s="7"/>
      <c r="BE149" s="1"/>
      <c r="BF149" s="1"/>
      <c r="BG149" s="8"/>
      <c r="BH149" s="1"/>
      <c r="BI149" s="1"/>
      <c r="BJ149" s="1"/>
      <c r="BK149" s="8"/>
    </row>
    <row r="150" spans="1:63">
      <c r="A150" s="49"/>
      <c r="B150" s="7" t="s">
        <v>18</v>
      </c>
      <c r="C150" s="17">
        <v>0.5</v>
      </c>
      <c r="D150" s="7">
        <v>24</v>
      </c>
      <c r="E150" s="1">
        <v>0.44796843804426301</v>
      </c>
      <c r="F150" s="1">
        <v>39.946946853368203</v>
      </c>
      <c r="G150" s="1">
        <v>0.98490462478604202</v>
      </c>
      <c r="H150" s="1">
        <v>18.211560875878099</v>
      </c>
      <c r="I150" s="1">
        <v>42.999553242742302</v>
      </c>
      <c r="J150" s="1">
        <v>0.98911682981535498</v>
      </c>
      <c r="K150" s="8">
        <v>19.632445795318201</v>
      </c>
      <c r="L150" s="7">
        <v>23</v>
      </c>
      <c r="M150" s="1">
        <v>0.37422210186483101</v>
      </c>
      <c r="N150" s="1">
        <v>39.831744876383297</v>
      </c>
      <c r="O150" s="1">
        <v>0.98458954384358599</v>
      </c>
      <c r="P150" s="1">
        <v>18.121845057798701</v>
      </c>
      <c r="Q150" s="1">
        <v>42.898170935401303</v>
      </c>
      <c r="R150" s="1">
        <v>0.98862029695032605</v>
      </c>
      <c r="S150" s="8">
        <v>19.438690705921498</v>
      </c>
      <c r="T150" s="7"/>
      <c r="U150" s="1"/>
      <c r="V150" s="1"/>
      <c r="W150" s="8"/>
      <c r="X150" s="7"/>
      <c r="Y150" s="1"/>
      <c r="Z150" s="1"/>
      <c r="AA150" s="8"/>
      <c r="AB150" s="7">
        <v>64</v>
      </c>
      <c r="AC150" s="1">
        <v>0.271062322118856</v>
      </c>
      <c r="AD150" s="1">
        <v>39.443490966546797</v>
      </c>
      <c r="AE150" s="1">
        <v>0.98326432429438704</v>
      </c>
      <c r="AF150" s="1">
        <v>17.7635674824228</v>
      </c>
      <c r="AG150" s="1">
        <v>42.386106732437398</v>
      </c>
      <c r="AH150" s="1">
        <v>0.98640353669352199</v>
      </c>
      <c r="AI150" s="1">
        <v>18.665740450290802</v>
      </c>
      <c r="AJ150" s="1">
        <v>406.14415812492302</v>
      </c>
      <c r="AK150" s="1">
        <v>162.74490904807999</v>
      </c>
      <c r="AL150" s="7"/>
      <c r="AM150" s="1"/>
      <c r="AN150" s="1"/>
      <c r="AO150" s="8"/>
      <c r="AP150" s="1"/>
      <c r="AQ150" s="1"/>
      <c r="AR150" s="1"/>
      <c r="AS150" s="8"/>
      <c r="AT150" s="7">
        <v>0.64</v>
      </c>
      <c r="AU150" s="1">
        <v>0.435886458731574</v>
      </c>
      <c r="AV150" s="1">
        <v>39.439009703257298</v>
      </c>
      <c r="AW150" s="1">
        <v>0.99157332567233603</v>
      </c>
      <c r="AX150" s="1">
        <v>20.743437902761801</v>
      </c>
      <c r="AY150" s="1">
        <v>42.360548924867501</v>
      </c>
      <c r="AZ150" s="1">
        <v>0.99350645810546101</v>
      </c>
      <c r="BA150" s="1">
        <v>21.8751835317412</v>
      </c>
      <c r="BB150" s="1">
        <v>415.19187021255402</v>
      </c>
      <c r="BC150" s="1">
        <v>196.066808223724</v>
      </c>
      <c r="BD150" s="7"/>
      <c r="BE150" s="1"/>
      <c r="BF150" s="1"/>
      <c r="BG150" s="8"/>
      <c r="BH150" s="1"/>
      <c r="BI150" s="1"/>
      <c r="BJ150" s="1"/>
      <c r="BK150" s="8"/>
    </row>
    <row r="151" spans="1:63">
      <c r="A151" s="49"/>
      <c r="B151" s="7" t="s">
        <v>18</v>
      </c>
      <c r="C151" s="17">
        <v>0.25</v>
      </c>
      <c r="D151" s="7">
        <v>26</v>
      </c>
      <c r="E151" s="1">
        <v>0.214476870141455</v>
      </c>
      <c r="F151" s="1">
        <v>38.865751914282498</v>
      </c>
      <c r="G151" s="1">
        <v>0.97943832375804796</v>
      </c>
      <c r="H151" s="1">
        <v>16.869414834046101</v>
      </c>
      <c r="I151" s="1">
        <v>41.907157252449501</v>
      </c>
      <c r="J151" s="1">
        <v>0.98410665444580203</v>
      </c>
      <c r="K151" s="8">
        <v>17.987846740454501</v>
      </c>
      <c r="L151" s="7">
        <v>25</v>
      </c>
      <c r="M151" s="1">
        <v>0.16468475213457301</v>
      </c>
      <c r="N151" s="1">
        <v>38.743605930165103</v>
      </c>
      <c r="O151" s="1">
        <v>0.97894577095717406</v>
      </c>
      <c r="P151" s="1">
        <v>16.7666065681207</v>
      </c>
      <c r="Q151" s="1">
        <v>41.800112174145902</v>
      </c>
      <c r="R151" s="1">
        <v>0.98344404913200101</v>
      </c>
      <c r="S151" s="8">
        <v>17.810458710963999</v>
      </c>
      <c r="T151" s="7"/>
      <c r="U151" s="1"/>
      <c r="V151" s="1"/>
      <c r="W151" s="8"/>
      <c r="X151" s="7"/>
      <c r="Y151" s="1"/>
      <c r="Z151" s="1"/>
      <c r="AA151" s="8"/>
      <c r="AB151" s="7">
        <v>32</v>
      </c>
      <c r="AC151" s="1">
        <v>9.8833551038613396E-2</v>
      </c>
      <c r="AD151" s="1">
        <v>38.434595564203903</v>
      </c>
      <c r="AE151" s="1">
        <v>0.977327028965434</v>
      </c>
      <c r="AF151" s="1">
        <v>16.444915668000899</v>
      </c>
      <c r="AG151" s="1">
        <v>41.381149443441601</v>
      </c>
      <c r="AH151" s="1">
        <v>0.98110875491175198</v>
      </c>
      <c r="AI151" s="1">
        <v>17.2373941756065</v>
      </c>
      <c r="AJ151" s="1">
        <v>233.99016380309999</v>
      </c>
      <c r="AK151" s="1">
        <v>150.966495990753</v>
      </c>
      <c r="AL151" s="7"/>
      <c r="AM151" s="1"/>
      <c r="AN151" s="1"/>
      <c r="AO151" s="8"/>
      <c r="AP151" s="1"/>
      <c r="AQ151" s="1"/>
      <c r="AR151" s="1"/>
      <c r="AS151" s="8"/>
      <c r="AT151" s="7">
        <v>0.32</v>
      </c>
      <c r="AU151" s="1">
        <v>0.27895546599549698</v>
      </c>
      <c r="AV151" s="1">
        <v>38.723483738659901</v>
      </c>
      <c r="AW151" s="1">
        <v>0.987461500112917</v>
      </c>
      <c r="AX151" s="1">
        <v>19.017544196243499</v>
      </c>
      <c r="AY151" s="1">
        <v>41.616952124536802</v>
      </c>
      <c r="AZ151" s="1">
        <v>0.99007093785550604</v>
      </c>
      <c r="BA151" s="1">
        <v>20.0309177111255</v>
      </c>
      <c r="BB151" s="1">
        <v>324.16121077537503</v>
      </c>
      <c r="BC151" s="1">
        <v>195.13688969612099</v>
      </c>
      <c r="BD151" s="7"/>
      <c r="BE151" s="1"/>
      <c r="BF151" s="1"/>
      <c r="BG151" s="8"/>
      <c r="BH151" s="1"/>
      <c r="BI151" s="1"/>
      <c r="BJ151" s="1"/>
      <c r="BK151" s="8"/>
    </row>
    <row r="152" spans="1:63">
      <c r="A152" s="49"/>
      <c r="B152" s="7" t="s">
        <v>18</v>
      </c>
      <c r="C152" s="17">
        <v>0.12</v>
      </c>
      <c r="D152" s="7">
        <v>29</v>
      </c>
      <c r="E152" s="1">
        <v>0.10212634340087499</v>
      </c>
      <c r="F152" s="1">
        <v>38.181879031057399</v>
      </c>
      <c r="G152" s="1">
        <v>0.97483507026226901</v>
      </c>
      <c r="H152" s="1">
        <v>15.992042778461601</v>
      </c>
      <c r="I152" s="1">
        <v>41.185951000198301</v>
      </c>
      <c r="J152" s="1">
        <v>0.98017812932001402</v>
      </c>
      <c r="K152" s="8">
        <v>17.0285536157335</v>
      </c>
      <c r="L152" s="7">
        <v>26</v>
      </c>
      <c r="M152" s="1">
        <v>0.11778652138821601</v>
      </c>
      <c r="N152" s="1">
        <v>38.468533387405202</v>
      </c>
      <c r="O152" s="1">
        <v>0.97719625594008297</v>
      </c>
      <c r="P152" s="1">
        <v>16.4199384198775</v>
      </c>
      <c r="Q152" s="1">
        <v>41.508318441042697</v>
      </c>
      <c r="R152" s="1">
        <v>0.98184629615786101</v>
      </c>
      <c r="S152" s="8">
        <v>17.410347538732001</v>
      </c>
      <c r="T152" s="7"/>
      <c r="U152" s="1"/>
      <c r="V152" s="1"/>
      <c r="W152" s="8"/>
      <c r="X152" s="7"/>
      <c r="Y152" s="1"/>
      <c r="Z152" s="1"/>
      <c r="AA152" s="8"/>
      <c r="AB152" s="7">
        <v>16</v>
      </c>
      <c r="AC152" s="1">
        <v>5.9197915339195398E-2</v>
      </c>
      <c r="AD152" s="1">
        <v>37.934475580160701</v>
      </c>
      <c r="AE152" s="1">
        <v>0.97376308384973098</v>
      </c>
      <c r="AF152" s="1">
        <v>15.810872126511001</v>
      </c>
      <c r="AG152" s="1">
        <v>40.846981749016003</v>
      </c>
      <c r="AH152" s="1">
        <v>0.97843218079129102</v>
      </c>
      <c r="AI152" s="1">
        <v>16.661937655838202</v>
      </c>
      <c r="AJ152" s="1">
        <v>207.42128133773801</v>
      </c>
      <c r="AK152" s="1">
        <v>123.922428846359</v>
      </c>
      <c r="AL152" s="7"/>
      <c r="AM152" s="1"/>
      <c r="AN152" s="1"/>
      <c r="AO152" s="8"/>
      <c r="AP152" s="1"/>
      <c r="AQ152" s="1"/>
      <c r="AR152" s="1"/>
      <c r="AS152" s="8"/>
      <c r="AT152" s="7">
        <v>0.16</v>
      </c>
      <c r="AU152" s="1">
        <v>0.103904491100632</v>
      </c>
      <c r="AV152" s="1">
        <v>37.848744451376497</v>
      </c>
      <c r="AW152" s="1">
        <v>0.97992410868784696</v>
      </c>
      <c r="AX152" s="1">
        <v>16.9732516418843</v>
      </c>
      <c r="AY152" s="1">
        <v>40.7291293837132</v>
      </c>
      <c r="AZ152" s="1">
        <v>0.98337360922887795</v>
      </c>
      <c r="BA152" s="1">
        <v>17.792020164632898</v>
      </c>
      <c r="BB152" s="1">
        <v>319.83525514602599</v>
      </c>
      <c r="BC152" s="1">
        <v>198.573734998703</v>
      </c>
      <c r="BD152" s="7"/>
      <c r="BE152" s="1"/>
      <c r="BF152" s="1"/>
      <c r="BG152" s="8"/>
      <c r="BH152" s="1"/>
      <c r="BI152" s="1"/>
      <c r="BJ152" s="1"/>
      <c r="BK152" s="8"/>
    </row>
    <row r="153" spans="1:63">
      <c r="A153" s="49"/>
      <c r="B153" s="7" t="s">
        <v>18</v>
      </c>
      <c r="C153" s="17">
        <v>0.06</v>
      </c>
      <c r="D153" s="7">
        <v>33</v>
      </c>
      <c r="E153" s="1">
        <v>5.5401347648782899E-2</v>
      </c>
      <c r="F153" s="1">
        <v>37.605015170179499</v>
      </c>
      <c r="G153" s="1">
        <v>0.96976674270838303</v>
      </c>
      <c r="H153" s="1">
        <v>15.195150599817101</v>
      </c>
      <c r="I153" s="1">
        <v>40.575480541962598</v>
      </c>
      <c r="J153" s="1">
        <v>0.97672813264071301</v>
      </c>
      <c r="K153" s="8">
        <v>16.331687670658301</v>
      </c>
      <c r="L153" s="7">
        <v>30</v>
      </c>
      <c r="M153" s="1">
        <v>5.3216993755575301E-2</v>
      </c>
      <c r="N153" s="1">
        <v>37.8747090950949</v>
      </c>
      <c r="O153" s="1">
        <v>0.97284624793068197</v>
      </c>
      <c r="P153" s="1">
        <v>15.661701516952499</v>
      </c>
      <c r="Q153" s="1">
        <v>40.878506456558704</v>
      </c>
      <c r="R153" s="1">
        <v>0.97841781662704996</v>
      </c>
      <c r="S153" s="8">
        <v>16.6590462180054</v>
      </c>
      <c r="T153" s="7"/>
      <c r="U153" s="1"/>
      <c r="V153" s="1"/>
      <c r="W153" s="8"/>
      <c r="X153" s="7"/>
      <c r="Y153" s="1"/>
      <c r="Z153" s="1"/>
      <c r="AA153" s="8"/>
      <c r="AB153" s="7">
        <v>8</v>
      </c>
      <c r="AC153" s="1">
        <v>4.0418179983857903E-2</v>
      </c>
      <c r="AD153" s="1">
        <v>37.550168347324799</v>
      </c>
      <c r="AE153" s="1">
        <v>0.97091069904268601</v>
      </c>
      <c r="AF153" s="1">
        <v>15.362667151238201</v>
      </c>
      <c r="AG153" s="1">
        <v>40.427432999361201</v>
      </c>
      <c r="AH153" s="1">
        <v>0.97616418112235803</v>
      </c>
      <c r="AI153" s="1">
        <v>16.227699233286099</v>
      </c>
      <c r="AJ153" s="1">
        <v>153.07362580299301</v>
      </c>
      <c r="AK153" s="1">
        <v>99.507538557052598</v>
      </c>
      <c r="AL153" s="7"/>
      <c r="AM153" s="1"/>
      <c r="AN153" s="1"/>
      <c r="AO153" s="8"/>
      <c r="AP153" s="1"/>
      <c r="AQ153" s="1"/>
      <c r="AR153" s="1"/>
      <c r="AS153" s="8"/>
      <c r="AT153" s="7">
        <v>0.08</v>
      </c>
      <c r="AU153" s="1">
        <v>4.92498460133384E-2</v>
      </c>
      <c r="AV153" s="1">
        <v>37.044689816299901</v>
      </c>
      <c r="AW153" s="1">
        <v>0.97452918301346403</v>
      </c>
      <c r="AX153" s="1">
        <v>15.939571246455699</v>
      </c>
      <c r="AY153" s="1">
        <v>39.786914234027698</v>
      </c>
      <c r="AZ153" s="1">
        <v>0.97919608668705405</v>
      </c>
      <c r="BA153" s="1">
        <v>16.818549645389801</v>
      </c>
      <c r="BB153" s="1">
        <v>144.05559587478601</v>
      </c>
      <c r="BC153" s="1">
        <v>98.335088968276906</v>
      </c>
      <c r="BD153" s="7"/>
      <c r="BE153" s="1"/>
      <c r="BF153" s="1"/>
      <c r="BG153" s="8"/>
      <c r="BH153" s="1"/>
      <c r="BI153" s="1"/>
      <c r="BJ153" s="1"/>
      <c r="BK153" s="8"/>
    </row>
    <row r="154" spans="1:63">
      <c r="A154" s="49"/>
      <c r="B154" s="7" t="s">
        <v>45</v>
      </c>
      <c r="C154" s="17">
        <v>1.5</v>
      </c>
      <c r="D154" s="7">
        <v>16</v>
      </c>
      <c r="E154" s="1">
        <v>1.4859940642682601</v>
      </c>
      <c r="F154" s="1">
        <v>47.615261359691303</v>
      </c>
      <c r="G154" s="1">
        <v>0.99777967204484697</v>
      </c>
      <c r="H154" s="1">
        <v>26.535828730296</v>
      </c>
      <c r="I154" s="1">
        <v>50.857554661279998</v>
      </c>
      <c r="J154" s="1">
        <v>0.99873395293075895</v>
      </c>
      <c r="K154" s="8">
        <v>28.975501477692099</v>
      </c>
      <c r="L154" s="7">
        <v>14</v>
      </c>
      <c r="M154" s="1">
        <v>1.40624547887731</v>
      </c>
      <c r="N154" s="1">
        <v>47.137128867613797</v>
      </c>
      <c r="O154" s="1">
        <v>0.99782787248889804</v>
      </c>
      <c r="P154" s="1">
        <v>26.6311468380596</v>
      </c>
      <c r="Q154" s="1">
        <v>50.575175026160302</v>
      </c>
      <c r="R154" s="1">
        <v>0.99874677629865605</v>
      </c>
      <c r="S154" s="8">
        <v>29.019714002048499</v>
      </c>
      <c r="T154" s="13">
        <f>bdrate(E154:E157,F154:F157,M154:M157,N154:N157)</f>
        <v>-0.10225194588183428</v>
      </c>
      <c r="U154" s="12">
        <f>bdrate(E154:E157,H154:H157,M154:M157,P154:P157)</f>
        <v>-0.14916989943350811</v>
      </c>
      <c r="V154" s="12">
        <f>bdrate(E154:E157,I154:I157,M154:M157,Q154:Q157)</f>
        <v>-0.1101765101376776</v>
      </c>
      <c r="W154" s="14">
        <f>bdrate(E154:E157,K154:K157,M154:M157,S154:S157)</f>
        <v>-0.1162608276046605</v>
      </c>
      <c r="X154" s="13">
        <f>bdrate(E156:E159,F156:F159,M156:M159,N156:N159)</f>
        <v>-0.22851954818889419</v>
      </c>
      <c r="Y154" s="12">
        <f>bdrate(E156:E159,H156:H159,M156:M159,P156:P159)</f>
        <v>-0.22721992670465074</v>
      </c>
      <c r="Z154" s="12">
        <f>bdrate(E156:E159,I156:I159,M156:M159,Q156:Q159)</f>
        <v>-0.23807295325726108</v>
      </c>
      <c r="AA154" s="14">
        <f>bdrate(E156:E159,K156:K159,M156:M159,S156:S159)</f>
        <v>-0.15229039900175656</v>
      </c>
      <c r="AB154" s="7">
        <v>256</v>
      </c>
      <c r="AC154" s="1">
        <v>0.78703452530221196</v>
      </c>
      <c r="AD154" s="1">
        <v>45.349937183027102</v>
      </c>
      <c r="AE154" s="1">
        <v>0.99647665073652203</v>
      </c>
      <c r="AF154" s="1">
        <v>24.5304430382905</v>
      </c>
      <c r="AG154" s="1">
        <v>48.225961546609803</v>
      </c>
      <c r="AH154" s="1">
        <v>0.99745235820371803</v>
      </c>
      <c r="AI154" s="1">
        <v>25.938616347489301</v>
      </c>
      <c r="AJ154" s="1">
        <v>401.96488666534401</v>
      </c>
      <c r="AK154" s="1">
        <v>209.47559356689399</v>
      </c>
      <c r="AL154" s="13">
        <f>bdrate(E154:E157,F154:F157,AC154:AC157,AD154:AD157)</f>
        <v>-0.19471609385200728</v>
      </c>
      <c r="AM154" s="12">
        <f>bdrate(E154:E157,H154:H157,AC154:AC157,AF154:AF157)</f>
        <v>-0.23609613993910405</v>
      </c>
      <c r="AN154" s="12">
        <f>bdrate(E154:E157,I154:I157,AC154:AC157,AG154:AG157)</f>
        <v>-0.1677671801441184</v>
      </c>
      <c r="AO154" s="14">
        <f>bdrate(E154:E157,K154:K157,AC154:AC157,AI154:AI157)</f>
        <v>-0.14726873657073158</v>
      </c>
      <c r="AP154" s="12">
        <f>bdrate(E156:E159,F156:F159,AC156:AC159,AD156:AD159)</f>
        <v>-0.19131278790955175</v>
      </c>
      <c r="AQ154" s="12">
        <f>bdrate(E156:E159,H156:H159,AC156:AC159,AF156:AF159)</f>
        <v>-0.2353543732163873</v>
      </c>
      <c r="AR154" s="12">
        <f>bdrate(E156:E159,I156:I159,AC156:AC159,AG156:AG159)</f>
        <v>-0.18289821094030212</v>
      </c>
      <c r="AS154" s="14">
        <f>bdrate(E156:E159,K156:K159,AC156:AC159,AI156:AI159)</f>
        <v>-0.14476077165249746</v>
      </c>
      <c r="AT154" s="7">
        <v>6.4</v>
      </c>
      <c r="AU154" s="1">
        <v>1.0267143092528199</v>
      </c>
      <c r="AV154" s="1">
        <v>44.362192523250201</v>
      </c>
      <c r="AW154" s="1">
        <v>0.99856507059079402</v>
      </c>
      <c r="AX154" s="1">
        <v>28.431694633527599</v>
      </c>
      <c r="AY154" s="1">
        <v>47.2832082198872</v>
      </c>
      <c r="AZ154" s="1">
        <v>0.99904318282634197</v>
      </c>
      <c r="BA154" s="1">
        <v>30.191710382490701</v>
      </c>
      <c r="BB154" s="1">
        <v>454.10003924369801</v>
      </c>
      <c r="BC154" s="1">
        <v>194.24528551101599</v>
      </c>
      <c r="BD154" s="13">
        <f>bdrate(E154:E157,F154:F157,AU154:AU157,AV154:AV157)</f>
        <v>0.45765681393183222</v>
      </c>
      <c r="BE154" s="12">
        <f>bdrate(E154:E157,H154:H157,AU154:AU157,AX154:AX157)</f>
        <v>-0.54825782620813723</v>
      </c>
      <c r="BF154" s="12">
        <f>bdrate(E154:E157,I154:I157,AU154:AU157,AY154:AY157)</f>
        <v>0.47231115660656586</v>
      </c>
      <c r="BG154" s="14">
        <f>bdrate(E154:E157,K154:K157,AU154:AU157,BA154:BA157)</f>
        <v>-0.48141385330668585</v>
      </c>
      <c r="BH154" s="12">
        <f>bdrate(E156:E159,F156:F159,AU156:AU159,AV156:AV159)</f>
        <v>0.27720496221197832</v>
      </c>
      <c r="BI154" s="12">
        <f>bdrate(E156:E159,H156:H159,AU156:AU159,AX156:AX159)</f>
        <v>-0.45750645791563394</v>
      </c>
      <c r="BJ154" s="12">
        <f>bdrate(E156:E159,I156:I159,AU156:AU159,AY156:AY159)</f>
        <v>0.29401630016729574</v>
      </c>
      <c r="BK154" s="14">
        <f>bdrate(E156:E159,K156:K159,AU156:AU159,BA156:BA159)</f>
        <v>-0.41062887831397776</v>
      </c>
    </row>
    <row r="155" spans="1:63">
      <c r="A155" s="49"/>
      <c r="B155" s="7" t="s">
        <v>18</v>
      </c>
      <c r="C155" s="17">
        <v>1</v>
      </c>
      <c r="D155" s="7">
        <v>19</v>
      </c>
      <c r="E155" s="1">
        <v>0.92610325440457797</v>
      </c>
      <c r="F155" s="1">
        <v>45.273965225126901</v>
      </c>
      <c r="G155" s="1">
        <v>0.996160664491472</v>
      </c>
      <c r="H155" s="1">
        <v>24.157439344740698</v>
      </c>
      <c r="I155" s="1">
        <v>48.387386697721801</v>
      </c>
      <c r="J155" s="1">
        <v>0.99756214805982102</v>
      </c>
      <c r="K155" s="8">
        <v>26.129926742370099</v>
      </c>
      <c r="L155" s="7">
        <v>17</v>
      </c>
      <c r="M155" s="1">
        <v>0.92432846257715995</v>
      </c>
      <c r="N155" s="1">
        <v>45.491766751859899</v>
      </c>
      <c r="O155" s="1">
        <v>0.99666425499647904</v>
      </c>
      <c r="P155" s="1">
        <v>24.7680715581511</v>
      </c>
      <c r="Q155" s="1">
        <v>48.710018076927902</v>
      </c>
      <c r="R155" s="1">
        <v>0.99785492542624199</v>
      </c>
      <c r="S155" s="8">
        <v>26.685576049206301</v>
      </c>
      <c r="T155" s="7"/>
      <c r="U155" s="1"/>
      <c r="V155" s="1"/>
      <c r="W155" s="8"/>
      <c r="X155" s="7"/>
      <c r="Y155" s="1"/>
      <c r="Z155" s="1"/>
      <c r="AA155" s="8"/>
      <c r="AB155" s="7">
        <v>128</v>
      </c>
      <c r="AC155" s="1">
        <v>0.49313593106995801</v>
      </c>
      <c r="AD155" s="1">
        <v>43.657164813256401</v>
      </c>
      <c r="AE155" s="1">
        <v>0.99478104736977302</v>
      </c>
      <c r="AF155" s="1">
        <v>22.824166449963201</v>
      </c>
      <c r="AG155" s="1">
        <v>46.5792559253753</v>
      </c>
      <c r="AH155" s="1">
        <v>0.99599229097711905</v>
      </c>
      <c r="AI155" s="1">
        <v>23.971038176659501</v>
      </c>
      <c r="AJ155" s="1">
        <v>358.012669563293</v>
      </c>
      <c r="AK155" s="1">
        <v>193.665441989898</v>
      </c>
      <c r="AL155" s="7"/>
      <c r="AM155" s="1"/>
      <c r="AN155" s="1"/>
      <c r="AO155" s="8"/>
      <c r="AP155" s="1"/>
      <c r="AQ155" s="1"/>
      <c r="AR155" s="1"/>
      <c r="AS155" s="8"/>
      <c r="AT155" s="7">
        <v>3.2</v>
      </c>
      <c r="AU155" s="1">
        <v>0.71612222302597695</v>
      </c>
      <c r="AV155" s="1">
        <v>42.837507083498799</v>
      </c>
      <c r="AW155" s="1">
        <v>0.99782389998369003</v>
      </c>
      <c r="AX155" s="1">
        <v>26.623211477912701</v>
      </c>
      <c r="AY155" s="1">
        <v>45.830490111796202</v>
      </c>
      <c r="AZ155" s="1">
        <v>0.99849288713310702</v>
      </c>
      <c r="BA155" s="1">
        <v>28.2185422238143</v>
      </c>
      <c r="BB155" s="1">
        <v>740.17969632148697</v>
      </c>
      <c r="BC155" s="1">
        <v>280.50541329383799</v>
      </c>
      <c r="BD155" s="7"/>
      <c r="BE155" s="1"/>
      <c r="BF155" s="1"/>
      <c r="BG155" s="8"/>
      <c r="BH155" s="1"/>
      <c r="BI155" s="1"/>
      <c r="BJ155" s="1"/>
      <c r="BK155" s="8"/>
    </row>
    <row r="156" spans="1:63">
      <c r="A156" s="49"/>
      <c r="B156" s="7" t="s">
        <v>18</v>
      </c>
      <c r="C156" s="17">
        <v>0.5</v>
      </c>
      <c r="D156" s="7">
        <v>24</v>
      </c>
      <c r="E156" s="1">
        <v>0.44282839425797299</v>
      </c>
      <c r="F156" s="1">
        <v>42.456056416124497</v>
      </c>
      <c r="G156" s="1">
        <v>0.992915591338971</v>
      </c>
      <c r="H156" s="1">
        <v>21.496963946713301</v>
      </c>
      <c r="I156" s="1">
        <v>45.503589390250198</v>
      </c>
      <c r="J156" s="1">
        <v>0.99478552118695796</v>
      </c>
      <c r="K156" s="8">
        <v>22.8278909278519</v>
      </c>
      <c r="L156" s="7">
        <v>22</v>
      </c>
      <c r="M156" s="1">
        <v>0.43080070087448502</v>
      </c>
      <c r="N156" s="1">
        <v>42.905596521750702</v>
      </c>
      <c r="O156" s="1">
        <v>0.99370487409139996</v>
      </c>
      <c r="P156" s="1">
        <v>22.0099557916006</v>
      </c>
      <c r="Q156" s="1">
        <v>45.958749514920498</v>
      </c>
      <c r="R156" s="1">
        <v>0.99532743358317699</v>
      </c>
      <c r="S156" s="8">
        <v>23.3044451675391</v>
      </c>
      <c r="T156" s="7"/>
      <c r="U156" s="1"/>
      <c r="V156" s="1"/>
      <c r="W156" s="8"/>
      <c r="X156" s="7"/>
      <c r="Y156" s="1"/>
      <c r="Z156" s="1"/>
      <c r="AA156" s="8"/>
      <c r="AB156" s="7">
        <v>64</v>
      </c>
      <c r="AC156" s="1">
        <v>0.32314925331147099</v>
      </c>
      <c r="AD156" s="1">
        <v>42.088042407674699</v>
      </c>
      <c r="AE156" s="1">
        <v>0.992564987722101</v>
      </c>
      <c r="AF156" s="1">
        <v>21.2871830996394</v>
      </c>
      <c r="AG156" s="1">
        <v>45.052757017903197</v>
      </c>
      <c r="AH156" s="1">
        <v>0.99402849384047498</v>
      </c>
      <c r="AI156" s="1">
        <v>22.239161153913098</v>
      </c>
      <c r="AJ156" s="1">
        <v>626.11440873146</v>
      </c>
      <c r="AK156" s="1">
        <v>230.64888238906801</v>
      </c>
      <c r="AL156" s="7"/>
      <c r="AM156" s="1"/>
      <c r="AN156" s="1"/>
      <c r="AO156" s="8"/>
      <c r="AP156" s="1"/>
      <c r="AQ156" s="1"/>
      <c r="AR156" s="1"/>
      <c r="AS156" s="8"/>
      <c r="AT156" s="7">
        <v>1.28</v>
      </c>
      <c r="AU156" s="1">
        <v>0.447965394322273</v>
      </c>
      <c r="AV156" s="1">
        <v>41.122477090767298</v>
      </c>
      <c r="AW156" s="1">
        <v>0.99645973574688596</v>
      </c>
      <c r="AX156" s="1">
        <v>24.509643200686</v>
      </c>
      <c r="AY156" s="1">
        <v>44.185773640557798</v>
      </c>
      <c r="AZ156" s="1">
        <v>0.99740098824819601</v>
      </c>
      <c r="BA156" s="1">
        <v>25.851917567699299</v>
      </c>
      <c r="BB156" s="1">
        <v>649.51255726814202</v>
      </c>
      <c r="BC156" s="1">
        <v>279.82531332969597</v>
      </c>
      <c r="BD156" s="7"/>
      <c r="BE156" s="1"/>
      <c r="BF156" s="1"/>
      <c r="BG156" s="8"/>
      <c r="BH156" s="1"/>
      <c r="BI156" s="1"/>
      <c r="BJ156" s="1"/>
      <c r="BK156" s="8"/>
    </row>
    <row r="157" spans="1:63">
      <c r="A157" s="49"/>
      <c r="B157" s="7" t="s">
        <v>18</v>
      </c>
      <c r="C157" s="17">
        <v>0.25</v>
      </c>
      <c r="D157" s="7">
        <v>29</v>
      </c>
      <c r="E157" s="1">
        <v>0.22522776411393999</v>
      </c>
      <c r="F157" s="1">
        <v>40.216707890750101</v>
      </c>
      <c r="G157" s="1">
        <v>0.98898424249597605</v>
      </c>
      <c r="H157" s="1">
        <v>19.579856330110601</v>
      </c>
      <c r="I157" s="1">
        <v>43.255659752902602</v>
      </c>
      <c r="J157" s="1">
        <v>0.99156026504807404</v>
      </c>
      <c r="K157" s="8">
        <v>20.736711920856902</v>
      </c>
      <c r="L157" s="7">
        <v>25</v>
      </c>
      <c r="M157" s="1">
        <v>0.22587177292309599</v>
      </c>
      <c r="N157" s="1">
        <v>40.974967479103199</v>
      </c>
      <c r="O157" s="1">
        <v>0.99038382163764604</v>
      </c>
      <c r="P157" s="1">
        <v>20.169974899058701</v>
      </c>
      <c r="Q157" s="1">
        <v>44.035652477175198</v>
      </c>
      <c r="R157" s="1">
        <v>0.99230299352763496</v>
      </c>
      <c r="S157" s="8">
        <v>21.136781482448502</v>
      </c>
      <c r="T157" s="7"/>
      <c r="U157" s="1"/>
      <c r="V157" s="1"/>
      <c r="W157" s="8"/>
      <c r="X157" s="7"/>
      <c r="Y157" s="1"/>
      <c r="Z157" s="1"/>
      <c r="AA157" s="8"/>
      <c r="AB157" s="7">
        <v>32</v>
      </c>
      <c r="AC157" s="1">
        <v>0.21464733233667599</v>
      </c>
      <c r="AD157" s="1">
        <v>40.862611244933703</v>
      </c>
      <c r="AE157" s="1">
        <v>0.99048385557548302</v>
      </c>
      <c r="AF157" s="1">
        <v>20.2153897538903</v>
      </c>
      <c r="AG157" s="1">
        <v>43.855834186662598</v>
      </c>
      <c r="AH157" s="1">
        <v>0.99220980670159198</v>
      </c>
      <c r="AI157" s="1">
        <v>21.084517660257401</v>
      </c>
      <c r="AJ157" s="1">
        <v>314.69471502303998</v>
      </c>
      <c r="AK157" s="1">
        <v>197.79111719131399</v>
      </c>
      <c r="AL157" s="7"/>
      <c r="AM157" s="1"/>
      <c r="AN157" s="1"/>
      <c r="AO157" s="8"/>
      <c r="AP157" s="1"/>
      <c r="AQ157" s="1"/>
      <c r="AR157" s="1"/>
      <c r="AS157" s="8"/>
      <c r="AT157" s="7">
        <v>0.64</v>
      </c>
      <c r="AU157" s="1">
        <v>0.29269597559799299</v>
      </c>
      <c r="AV157" s="1">
        <v>39.936739156987201</v>
      </c>
      <c r="AW157" s="1">
        <v>0.99473274380441601</v>
      </c>
      <c r="AX157" s="1">
        <v>22.784155573550301</v>
      </c>
      <c r="AY157" s="1">
        <v>42.9849622399041</v>
      </c>
      <c r="AZ157" s="1">
        <v>0.99597624791862105</v>
      </c>
      <c r="BA157" s="1">
        <v>23.953687856574401</v>
      </c>
      <c r="BB157" s="1">
        <v>577.47743988037098</v>
      </c>
      <c r="BC157" s="1">
        <v>265.06136178970303</v>
      </c>
      <c r="BD157" s="7"/>
      <c r="BE157" s="1"/>
      <c r="BF157" s="1"/>
      <c r="BG157" s="8"/>
      <c r="BH157" s="1"/>
      <c r="BI157" s="1"/>
      <c r="BJ157" s="1"/>
      <c r="BK157" s="8"/>
    </row>
    <row r="158" spans="1:63">
      <c r="A158" s="49"/>
      <c r="B158" s="7" t="s">
        <v>18</v>
      </c>
      <c r="C158" s="17">
        <v>0.12</v>
      </c>
      <c r="D158" s="7">
        <v>35</v>
      </c>
      <c r="E158" s="1">
        <v>0.10664926536779799</v>
      </c>
      <c r="F158" s="1">
        <v>37.547276719389302</v>
      </c>
      <c r="G158" s="1">
        <v>0.98277965044087801</v>
      </c>
      <c r="H158" s="1">
        <v>17.6395803696733</v>
      </c>
      <c r="I158" s="1">
        <v>40.573684127470003</v>
      </c>
      <c r="J158" s="1">
        <v>0.98650379627544904</v>
      </c>
      <c r="K158" s="8">
        <v>18.697883747149898</v>
      </c>
      <c r="L158" s="7">
        <v>31</v>
      </c>
      <c r="M158" s="1">
        <v>0.108531057098765</v>
      </c>
      <c r="N158" s="1">
        <v>38.652347792703303</v>
      </c>
      <c r="O158" s="1">
        <v>0.98584016547616704</v>
      </c>
      <c r="P158" s="1">
        <v>18.4894182191506</v>
      </c>
      <c r="Q158" s="1">
        <v>41.737018387861902</v>
      </c>
      <c r="R158" s="1">
        <v>0.98823764362555699</v>
      </c>
      <c r="S158" s="8">
        <v>19.295056665332702</v>
      </c>
      <c r="T158" s="7"/>
      <c r="U158" s="1"/>
      <c r="V158" s="1"/>
      <c r="W158" s="8"/>
      <c r="X158" s="7"/>
      <c r="Y158" s="1"/>
      <c r="Z158" s="1"/>
      <c r="AA158" s="8"/>
      <c r="AB158" s="7">
        <v>8</v>
      </c>
      <c r="AC158" s="1">
        <v>0.107495720003858</v>
      </c>
      <c r="AD158" s="1">
        <v>38.367842988770199</v>
      </c>
      <c r="AE158" s="1">
        <v>0.98567320674521497</v>
      </c>
      <c r="AF158" s="1">
        <v>18.4385100622513</v>
      </c>
      <c r="AG158" s="1">
        <v>41.3779510812588</v>
      </c>
      <c r="AH158" s="1">
        <v>0.98797393380655196</v>
      </c>
      <c r="AI158" s="1">
        <v>19.1987641005563</v>
      </c>
      <c r="AJ158" s="1">
        <v>203.170123338699</v>
      </c>
      <c r="AK158" s="1">
        <v>129.907159090042</v>
      </c>
      <c r="AL158" s="7"/>
      <c r="AM158" s="1"/>
      <c r="AN158" s="1"/>
      <c r="AO158" s="8"/>
      <c r="AP158" s="1"/>
      <c r="AQ158" s="1"/>
      <c r="AR158" s="1"/>
      <c r="AS158" s="8"/>
      <c r="AT158" s="7">
        <v>0.16</v>
      </c>
      <c r="AU158" s="1">
        <v>0.11804701565715001</v>
      </c>
      <c r="AV158" s="1">
        <v>37.299183774220701</v>
      </c>
      <c r="AW158" s="1">
        <v>0.98902396898339695</v>
      </c>
      <c r="AX158" s="1">
        <v>19.595546743850999</v>
      </c>
      <c r="AY158" s="1">
        <v>40.2576752315452</v>
      </c>
      <c r="AZ158" s="1">
        <v>0.99100131500511301</v>
      </c>
      <c r="BA158" s="1">
        <v>20.458209506929698</v>
      </c>
      <c r="BB158" s="1">
        <v>395.19911360740599</v>
      </c>
      <c r="BC158" s="1">
        <v>229.49459099769501</v>
      </c>
      <c r="BD158" s="7"/>
      <c r="BE158" s="1"/>
      <c r="BF158" s="1"/>
      <c r="BG158" s="8"/>
      <c r="BH158" s="1"/>
      <c r="BI158" s="1"/>
      <c r="BJ158" s="1"/>
      <c r="BK158" s="8"/>
    </row>
    <row r="159" spans="1:63">
      <c r="A159" s="49"/>
      <c r="B159" s="7" t="s">
        <v>18</v>
      </c>
      <c r="C159" s="17">
        <v>0.06</v>
      </c>
      <c r="D159" s="7">
        <v>40</v>
      </c>
      <c r="E159" s="1">
        <v>5.38294913837448E-2</v>
      </c>
      <c r="F159" s="1">
        <v>34.994718882534599</v>
      </c>
      <c r="G159" s="1">
        <v>0.97213202609012705</v>
      </c>
      <c r="H159" s="1">
        <v>15.548946047257999</v>
      </c>
      <c r="I159" s="1">
        <v>38.031678189078498</v>
      </c>
      <c r="J159" s="1">
        <v>0.97669224387051001</v>
      </c>
      <c r="K159" s="8">
        <v>16.324995346084499</v>
      </c>
      <c r="L159" s="7">
        <v>36</v>
      </c>
      <c r="M159" s="1">
        <v>5.6196550282921802E-2</v>
      </c>
      <c r="N159" s="1">
        <v>36.311227043549998</v>
      </c>
      <c r="O159" s="1">
        <v>0.97790444576096003</v>
      </c>
      <c r="P159" s="1">
        <v>16.5569510023712</v>
      </c>
      <c r="Q159" s="1">
        <v>39.440714568294702</v>
      </c>
      <c r="R159" s="1">
        <v>0.980779649990279</v>
      </c>
      <c r="S159" s="8">
        <v>17.162387079314598</v>
      </c>
      <c r="T159" s="7"/>
      <c r="U159" s="1"/>
      <c r="V159" s="1"/>
      <c r="W159" s="8"/>
      <c r="X159" s="7"/>
      <c r="Y159" s="1"/>
      <c r="Z159" s="1"/>
      <c r="AA159" s="8"/>
      <c r="AB159" s="7">
        <v>2</v>
      </c>
      <c r="AC159" s="1">
        <v>4.8550327128343597E-2</v>
      </c>
      <c r="AD159" s="1">
        <v>35.215014361988899</v>
      </c>
      <c r="AE159" s="1">
        <v>0.97421455762140596</v>
      </c>
      <c r="AF159" s="1">
        <v>15.8862541337752</v>
      </c>
      <c r="AG159" s="1">
        <v>38.193731453713603</v>
      </c>
      <c r="AH159" s="1">
        <v>0.97722753705544396</v>
      </c>
      <c r="AI159" s="1">
        <v>16.425899959380299</v>
      </c>
      <c r="AJ159" s="1">
        <v>449.06834650039599</v>
      </c>
      <c r="AK159" s="1">
        <v>261.39424419403002</v>
      </c>
      <c r="AL159" s="7"/>
      <c r="AM159" s="1"/>
      <c r="AN159" s="1"/>
      <c r="AO159" s="8"/>
      <c r="AP159" s="1"/>
      <c r="AQ159" s="1"/>
      <c r="AR159" s="1"/>
      <c r="AS159" s="8"/>
      <c r="AT159" s="7">
        <v>0.04</v>
      </c>
      <c r="AU159" s="1">
        <v>5.4597077546296197E-2</v>
      </c>
      <c r="AV159" s="1">
        <v>34.047233355704499</v>
      </c>
      <c r="AW159" s="1">
        <v>0.98004985564066804</v>
      </c>
      <c r="AX159" s="1">
        <v>17.000539574091</v>
      </c>
      <c r="AY159" s="1">
        <v>36.888474749890698</v>
      </c>
      <c r="AZ159" s="1">
        <v>0.98343336894231903</v>
      </c>
      <c r="BA159" s="1">
        <v>17.807657994754301</v>
      </c>
      <c r="BB159" s="1">
        <v>450.68241906166003</v>
      </c>
      <c r="BC159" s="1">
        <v>275.70728445053101</v>
      </c>
      <c r="BD159" s="7"/>
      <c r="BE159" s="1"/>
      <c r="BF159" s="1"/>
      <c r="BG159" s="8"/>
      <c r="BH159" s="1"/>
      <c r="BI159" s="1"/>
      <c r="BJ159" s="1"/>
      <c r="BK159" s="8"/>
    </row>
    <row r="160" spans="1:63">
      <c r="A160" s="49"/>
      <c r="B160" s="7" t="s">
        <v>46</v>
      </c>
      <c r="C160" s="17">
        <v>1.5</v>
      </c>
      <c r="D160" s="7">
        <v>23</v>
      </c>
      <c r="E160" s="1">
        <v>1.40532494249874</v>
      </c>
      <c r="F160" s="1">
        <v>41.6314257675281</v>
      </c>
      <c r="G160" s="1">
        <v>0.99547475134381902</v>
      </c>
      <c r="H160" s="1">
        <v>23.443575519195601</v>
      </c>
      <c r="I160" s="1">
        <v>44.729895984727598</v>
      </c>
      <c r="J160" s="1">
        <v>0.99698646726499096</v>
      </c>
      <c r="K160" s="8">
        <v>25.2092408657326</v>
      </c>
      <c r="L160" s="7">
        <v>20</v>
      </c>
      <c r="M160" s="1">
        <v>1.42022842553104</v>
      </c>
      <c r="N160" s="1">
        <v>42.272542456511403</v>
      </c>
      <c r="O160" s="1">
        <v>0.99602330884786605</v>
      </c>
      <c r="P160" s="1">
        <v>24.004781369829502</v>
      </c>
      <c r="Q160" s="1">
        <v>45.491109871204301</v>
      </c>
      <c r="R160" s="1">
        <v>0.99754618591770805</v>
      </c>
      <c r="S160" s="8">
        <v>26.101583454777199</v>
      </c>
      <c r="T160" s="13">
        <f>bdrate(E160:E163,F160:F163,M160:M163,N160:N163)</f>
        <v>-0.14683883621211569</v>
      </c>
      <c r="U160" s="12">
        <f>bdrate(E160:E163,H160:H163,M160:M163,P160:P163)</f>
        <v>-0.15415598742479675</v>
      </c>
      <c r="V160" s="12">
        <f>bdrate(E160:E163,I160:I163,M160:M163,Q160:Q163)</f>
        <v>-0.15089533364625518</v>
      </c>
      <c r="W160" s="14">
        <f>bdrate(E160:E163,K160:K163,M160:M163,S160:S163)</f>
        <v>-0.13044552100715534</v>
      </c>
      <c r="X160" s="13">
        <f>bdrate(E162:E165,F162:F165,M162:M165,N162:N165)</f>
        <v>-0.20774292495026014</v>
      </c>
      <c r="Y160" s="12">
        <f>bdrate(E162:E165,H162:H165,M162:M165,P162:P165)</f>
        <v>-0.20437800717303756</v>
      </c>
      <c r="Z160" s="12">
        <f>bdrate(E162:E165,I162:I165,M162:M165,Q162:Q165)</f>
        <v>-0.23314747392677493</v>
      </c>
      <c r="AA160" s="14">
        <f>bdrate(E162:E165,K162:K165,M162:M165,S162:S165)</f>
        <v>-0.16735679621220623</v>
      </c>
      <c r="AB160" s="7">
        <v>256</v>
      </c>
      <c r="AC160" s="1">
        <v>1.6594237847659401</v>
      </c>
      <c r="AD160" s="1">
        <v>44.179267325050901</v>
      </c>
      <c r="AE160" s="1">
        <v>0.997627915555233</v>
      </c>
      <c r="AF160" s="1">
        <v>26.248698544126601</v>
      </c>
      <c r="AG160" s="1">
        <v>47.0478633396121</v>
      </c>
      <c r="AH160" s="1">
        <v>0.99836220510159701</v>
      </c>
      <c r="AI160" s="1">
        <v>27.857404860122202</v>
      </c>
      <c r="AJ160" s="1">
        <v>268.108184337615</v>
      </c>
      <c r="AK160" s="1">
        <v>139.37848782539299</v>
      </c>
      <c r="AL160" s="13">
        <f>bdrate(E160:E163,F160:F163,AC160:AC163,AD160:AD163)</f>
        <v>-0.17932781737959935</v>
      </c>
      <c r="AM160" s="12">
        <f>bdrate(E160:E163,H160:H163,AC160:AC163,AF160:AF163)</f>
        <v>-0.24914827915780691</v>
      </c>
      <c r="AN160" s="12">
        <f>bdrate(E160:E163,I160:I163,AC160:AC163,AG160:AG163)</f>
        <v>-0.17374363214505295</v>
      </c>
      <c r="AO160" s="14">
        <f>bdrate(E160:E163,K160:K163,AC160:AC163,AI160:AI163)</f>
        <v>-0.19039777272943037</v>
      </c>
      <c r="AP160" s="12">
        <f>bdrate(E162:E165,F162:F165,AC162:AC165,AD162:AD165)</f>
        <v>-0.18744030721129068</v>
      </c>
      <c r="AQ160" s="12">
        <f>bdrate(E162:E165,H162:H165,AC162:AC165,AF162:AF165)</f>
        <v>-0.25135404734561773</v>
      </c>
      <c r="AR160" s="12">
        <f>bdrate(E162:E165,I162:I165,AC162:AC165,AG162:AG165)</f>
        <v>-0.21390895947754507</v>
      </c>
      <c r="AS160" s="14">
        <f>bdrate(E162:E165,K162:K165,AC162:AC165,AI162:AI165)</f>
        <v>-0.19995258116872894</v>
      </c>
      <c r="AT160" s="7">
        <v>6.4</v>
      </c>
      <c r="AU160" s="1">
        <v>1.4704762331457999</v>
      </c>
      <c r="AV160" s="1">
        <v>40.660520264614398</v>
      </c>
      <c r="AW160" s="1">
        <v>0.99854237975576599</v>
      </c>
      <c r="AX160" s="1">
        <v>28.363556086080202</v>
      </c>
      <c r="AY160" s="1">
        <v>43.767848145148001</v>
      </c>
      <c r="AZ160" s="1">
        <v>0.99896665249383199</v>
      </c>
      <c r="BA160" s="1">
        <v>29.857536042970299</v>
      </c>
      <c r="BB160" s="1">
        <v>327.88510394096301</v>
      </c>
      <c r="BC160" s="1">
        <v>128.91474366188001</v>
      </c>
      <c r="BD160" s="13">
        <f>bdrate(E160:E163,F160:F163,AU160:AU163,AV160:AV163)</f>
        <v>0.22046396404580215</v>
      </c>
      <c r="BE160" s="12">
        <f>bdrate(E160:E163,H160:H163,AU160:AU163,AX160:AX163)</f>
        <v>-0.5128575367222481</v>
      </c>
      <c r="BF160" s="12">
        <f>bdrate(E160:E163,I160:I163,AU160:AU163,AY160:AY163)</f>
        <v>0.17402868784141834</v>
      </c>
      <c r="BG160" s="14">
        <f>bdrate(E160:E163,K160:K163,AU160:AU163,BA160:BA163)</f>
        <v>-0.47153416147149296</v>
      </c>
      <c r="BH160" s="12">
        <f>bdrate(E162:E165,F162:F165,AU162:AU165,AV162:AV165)</f>
        <v>0.14805182909958114</v>
      </c>
      <c r="BI160" s="12">
        <f>bdrate(E162:E165,H162:H165,AU162:AU165,AX162:AX165)</f>
        <v>-0.49628424887239397</v>
      </c>
      <c r="BJ160" s="12">
        <f>bdrate(E162:E165,I162:I165,AU162:AU165,AY162:AY165)</f>
        <v>0.10107783459117026</v>
      </c>
      <c r="BK160" s="14">
        <f>bdrate(E162:E165,K162:K165,AU162:AU165,BA162:BA165)</f>
        <v>-0.4718465850383754</v>
      </c>
    </row>
    <row r="161" spans="1:63">
      <c r="A161" s="49"/>
      <c r="B161" s="7" t="s">
        <v>18</v>
      </c>
      <c r="C161" s="17">
        <v>1</v>
      </c>
      <c r="D161" s="7">
        <v>27</v>
      </c>
      <c r="E161" s="1">
        <v>0.92299079248982396</v>
      </c>
      <c r="F161" s="1">
        <v>38.8768725790178</v>
      </c>
      <c r="G161" s="1">
        <v>0.99189431592633404</v>
      </c>
      <c r="H161" s="1">
        <v>20.912103272829</v>
      </c>
      <c r="I161" s="1">
        <v>41.958027683859598</v>
      </c>
      <c r="J161" s="1">
        <v>0.99413627749803701</v>
      </c>
      <c r="K161" s="8">
        <v>22.3182659067222</v>
      </c>
      <c r="L161" s="7">
        <v>24</v>
      </c>
      <c r="M161" s="1">
        <v>0.94884749264522095</v>
      </c>
      <c r="N161" s="1">
        <v>39.845750542713603</v>
      </c>
      <c r="O161" s="1">
        <v>0.99343841434371905</v>
      </c>
      <c r="P161" s="1">
        <v>21.829911974294301</v>
      </c>
      <c r="Q161" s="1">
        <v>42.934995346239198</v>
      </c>
      <c r="R161" s="1">
        <v>0.99532955493469399</v>
      </c>
      <c r="S161" s="8">
        <v>23.306417318115301</v>
      </c>
      <c r="T161" s="7"/>
      <c r="U161" s="1"/>
      <c r="V161" s="1"/>
      <c r="W161" s="8"/>
      <c r="X161" s="7"/>
      <c r="Y161" s="1"/>
      <c r="Z161" s="1"/>
      <c r="AA161" s="8"/>
      <c r="AB161" s="7">
        <v>64</v>
      </c>
      <c r="AC161" s="1">
        <v>0.909514174056408</v>
      </c>
      <c r="AD161" s="1">
        <v>40.001243143878099</v>
      </c>
      <c r="AE161" s="1">
        <v>0.994247358351945</v>
      </c>
      <c r="AF161" s="1">
        <v>22.401326788373101</v>
      </c>
      <c r="AG161" s="1">
        <v>42.958625925984897</v>
      </c>
      <c r="AH161" s="1">
        <v>0.99553094035505596</v>
      </c>
      <c r="AI161" s="1">
        <v>23.497838491218801</v>
      </c>
      <c r="AJ161" s="1">
        <v>216.13108158111501</v>
      </c>
      <c r="AK161" s="1">
        <v>128.71460962295501</v>
      </c>
      <c r="AL161" s="7"/>
      <c r="AM161" s="1"/>
      <c r="AN161" s="1"/>
      <c r="AO161" s="8"/>
      <c r="AP161" s="1"/>
      <c r="AQ161" s="1"/>
      <c r="AR161" s="1"/>
      <c r="AS161" s="8"/>
      <c r="AT161" s="7">
        <v>3.2</v>
      </c>
      <c r="AU161" s="1">
        <v>1.09479698456201</v>
      </c>
      <c r="AV161" s="1">
        <v>38.667456101537397</v>
      </c>
      <c r="AW161" s="1">
        <v>0.99768485014494002</v>
      </c>
      <c r="AX161" s="1">
        <v>26.354208927154801</v>
      </c>
      <c r="AY161" s="1">
        <v>41.894875097772498</v>
      </c>
      <c r="AZ161" s="1">
        <v>0.99828704955164205</v>
      </c>
      <c r="BA161" s="1">
        <v>27.662551999745101</v>
      </c>
      <c r="BB161" s="1">
        <v>568.43137645721401</v>
      </c>
      <c r="BC161" s="1">
        <v>201.68263339996301</v>
      </c>
      <c r="BD161" s="7"/>
      <c r="BE161" s="1"/>
      <c r="BF161" s="1"/>
      <c r="BG161" s="8"/>
      <c r="BH161" s="1"/>
      <c r="BI161" s="1"/>
      <c r="BJ161" s="1"/>
      <c r="BK161" s="8"/>
    </row>
    <row r="162" spans="1:63">
      <c r="A162" s="49"/>
      <c r="B162" s="7" t="s">
        <v>18</v>
      </c>
      <c r="C162" s="17">
        <v>0.5</v>
      </c>
      <c r="D162" s="7">
        <v>32</v>
      </c>
      <c r="E162" s="1">
        <v>0.49480080041864299</v>
      </c>
      <c r="F162" s="1">
        <v>35.4651289813064</v>
      </c>
      <c r="G162" s="1">
        <v>0.98291247141166505</v>
      </c>
      <c r="H162" s="1">
        <v>17.673207458259999</v>
      </c>
      <c r="I162" s="1">
        <v>38.610561315824803</v>
      </c>
      <c r="J162" s="1">
        <v>0.98633214927523805</v>
      </c>
      <c r="K162" s="8">
        <v>18.642997730519699</v>
      </c>
      <c r="L162" s="7">
        <v>30</v>
      </c>
      <c r="M162" s="1">
        <v>0.46352900103246403</v>
      </c>
      <c r="N162" s="1">
        <v>35.995736892238298</v>
      </c>
      <c r="O162" s="1">
        <v>0.98501547336249695</v>
      </c>
      <c r="P162" s="1">
        <v>18.243569719020201</v>
      </c>
      <c r="Q162" s="1">
        <v>39.144907998439002</v>
      </c>
      <c r="R162" s="1">
        <v>0.98762007720622402</v>
      </c>
      <c r="S162" s="8">
        <v>19.072820637441598</v>
      </c>
      <c r="T162" s="7"/>
      <c r="U162" s="1"/>
      <c r="V162" s="1"/>
      <c r="W162" s="8"/>
      <c r="X162" s="7"/>
      <c r="Y162" s="1"/>
      <c r="Z162" s="1"/>
      <c r="AA162" s="8"/>
      <c r="AB162" s="7">
        <v>16</v>
      </c>
      <c r="AC162" s="1">
        <v>0.42931918188413498</v>
      </c>
      <c r="AD162" s="1">
        <v>35.749849138067802</v>
      </c>
      <c r="AE162" s="1">
        <v>0.98565669022537195</v>
      </c>
      <c r="AF162" s="1">
        <v>18.433506219597199</v>
      </c>
      <c r="AG162" s="1">
        <v>38.9122203192399</v>
      </c>
      <c r="AH162" s="1">
        <v>0.98771887079826903</v>
      </c>
      <c r="AI162" s="1">
        <v>19.107616996822799</v>
      </c>
      <c r="AJ162" s="1">
        <v>342.53908157348599</v>
      </c>
      <c r="AK162" s="1">
        <v>170.43992900848301</v>
      </c>
      <c r="AL162" s="7"/>
      <c r="AM162" s="1"/>
      <c r="AN162" s="1"/>
      <c r="AO162" s="8"/>
      <c r="AP162" s="1"/>
      <c r="AQ162" s="1"/>
      <c r="AR162" s="1"/>
      <c r="AS162" s="8"/>
      <c r="AT162" s="7">
        <v>0.64</v>
      </c>
      <c r="AU162" s="1">
        <v>0.50937243681458699</v>
      </c>
      <c r="AV162" s="1">
        <v>34.621510851119098</v>
      </c>
      <c r="AW162" s="1">
        <v>0.99314056011539198</v>
      </c>
      <c r="AX162" s="1">
        <v>21.637113456569999</v>
      </c>
      <c r="AY162" s="1">
        <v>38.028416770788397</v>
      </c>
      <c r="AZ162" s="1">
        <v>0.994476821851631</v>
      </c>
      <c r="BA162" s="1">
        <v>22.578109485189199</v>
      </c>
      <c r="BB162" s="1">
        <v>382.56963205337502</v>
      </c>
      <c r="BC162" s="1">
        <v>175.472548007965</v>
      </c>
      <c r="BD162" s="7"/>
      <c r="BE162" s="1"/>
      <c r="BF162" s="1"/>
      <c r="BG162" s="8"/>
      <c r="BH162" s="1"/>
      <c r="BI162" s="1"/>
      <c r="BJ162" s="1"/>
      <c r="BK162" s="8"/>
    </row>
    <row r="163" spans="1:63">
      <c r="A163" s="49"/>
      <c r="B163" s="7" t="s">
        <v>18</v>
      </c>
      <c r="C163" s="17">
        <v>0.25</v>
      </c>
      <c r="D163" s="7">
        <v>37</v>
      </c>
      <c r="E163" s="1">
        <v>0.23089691520264799</v>
      </c>
      <c r="F163" s="1">
        <v>32.313836133958702</v>
      </c>
      <c r="G163" s="1">
        <v>0.96515244380154896</v>
      </c>
      <c r="H163" s="1">
        <v>14.578276728526699</v>
      </c>
      <c r="I163" s="1">
        <v>35.546343049018098</v>
      </c>
      <c r="J163" s="1">
        <v>0.96993774791891496</v>
      </c>
      <c r="K163" s="8">
        <v>15.2197848782923</v>
      </c>
      <c r="L163" s="7">
        <v>35</v>
      </c>
      <c r="M163" s="1">
        <v>0.217326134336947</v>
      </c>
      <c r="N163" s="1">
        <v>32.891452297427001</v>
      </c>
      <c r="O163" s="1">
        <v>0.96958686327061405</v>
      </c>
      <c r="P163" s="1">
        <v>15.169387855773101</v>
      </c>
      <c r="Q163" s="1">
        <v>36.192045066888198</v>
      </c>
      <c r="R163" s="1">
        <v>0.97293416092298202</v>
      </c>
      <c r="S163" s="8">
        <v>15.675785046575299</v>
      </c>
      <c r="T163" s="7"/>
      <c r="U163" s="1"/>
      <c r="V163" s="1"/>
      <c r="W163" s="8"/>
      <c r="X163" s="7"/>
      <c r="Y163" s="1"/>
      <c r="Z163" s="1"/>
      <c r="AA163" s="8"/>
      <c r="AB163" s="7">
        <v>8</v>
      </c>
      <c r="AC163" s="1">
        <v>0.28556352276466901</v>
      </c>
      <c r="AD163" s="1">
        <v>33.916072390197002</v>
      </c>
      <c r="AE163" s="1">
        <v>0.97788742671683904</v>
      </c>
      <c r="AF163" s="1">
        <v>16.5536071478681</v>
      </c>
      <c r="AG163" s="1">
        <v>37.204738414730897</v>
      </c>
      <c r="AH163" s="1">
        <v>0.98037067756783103</v>
      </c>
      <c r="AI163" s="1">
        <v>17.070946911819</v>
      </c>
      <c r="AJ163" s="1">
        <v>136.41331958770701</v>
      </c>
      <c r="AK163" s="1">
        <v>85.754902839660602</v>
      </c>
      <c r="AL163" s="7"/>
      <c r="AM163" s="1"/>
      <c r="AN163" s="1"/>
      <c r="AO163" s="8"/>
      <c r="AP163" s="1"/>
      <c r="AQ163" s="1"/>
      <c r="AR163" s="1"/>
      <c r="AS163" s="8"/>
      <c r="AT163" s="7">
        <v>0.16</v>
      </c>
      <c r="AU163" s="1">
        <v>0.25848119224067301</v>
      </c>
      <c r="AV163" s="1">
        <v>32.279324518702502</v>
      </c>
      <c r="AW163" s="1">
        <v>0.98399883865049897</v>
      </c>
      <c r="AX163" s="1">
        <v>17.9584849550806</v>
      </c>
      <c r="AY163" s="1">
        <v>35.664708978732101</v>
      </c>
      <c r="AZ163" s="1">
        <v>0.98636546385000001</v>
      </c>
      <c r="BA163" s="1">
        <v>18.653596322674201</v>
      </c>
      <c r="BB163" s="1">
        <v>226.17174053192099</v>
      </c>
      <c r="BC163" s="1">
        <v>131.77274203300399</v>
      </c>
      <c r="BD163" s="7"/>
      <c r="BE163" s="1"/>
      <c r="BF163" s="1"/>
      <c r="BG163" s="8"/>
      <c r="BH163" s="1"/>
      <c r="BI163" s="1"/>
      <c r="BJ163" s="1"/>
      <c r="BK163" s="8"/>
    </row>
    <row r="164" spans="1:63">
      <c r="A164" s="49"/>
      <c r="B164" s="7" t="s">
        <v>18</v>
      </c>
      <c r="C164" s="17">
        <v>0.12</v>
      </c>
      <c r="D164" s="7">
        <v>42</v>
      </c>
      <c r="E164" s="1">
        <v>0.105161971248754</v>
      </c>
      <c r="F164" s="1">
        <v>29.8935119383673</v>
      </c>
      <c r="G164" s="1">
        <v>0.93530670956032402</v>
      </c>
      <c r="H164" s="1">
        <v>11.891407591477799</v>
      </c>
      <c r="I164" s="1">
        <v>33.149284485827003</v>
      </c>
      <c r="J164" s="1">
        <v>0.94146142040343805</v>
      </c>
      <c r="K164" s="8">
        <v>12.325578196688699</v>
      </c>
      <c r="L164" s="7">
        <v>39</v>
      </c>
      <c r="M164" s="1">
        <v>0.11246791286975399</v>
      </c>
      <c r="N164" s="1">
        <v>30.857565957698</v>
      </c>
      <c r="O164" s="1">
        <v>0.94936959631280604</v>
      </c>
      <c r="P164" s="1">
        <v>12.955886098752201</v>
      </c>
      <c r="Q164" s="1">
        <v>34.234815718082402</v>
      </c>
      <c r="R164" s="1">
        <v>0.95326716149636004</v>
      </c>
      <c r="S164" s="8">
        <v>13.3037783958281</v>
      </c>
      <c r="T164" s="7"/>
      <c r="U164" s="1"/>
      <c r="V164" s="1"/>
      <c r="W164" s="8"/>
      <c r="X164" s="7"/>
      <c r="Y164" s="1"/>
      <c r="Z164" s="1"/>
      <c r="AA164" s="8"/>
      <c r="AB164" s="7">
        <v>4</v>
      </c>
      <c r="AC164" s="1">
        <v>0.179983136191814</v>
      </c>
      <c r="AD164" s="1">
        <v>32.122354362340197</v>
      </c>
      <c r="AE164" s="1">
        <v>0.965859941691396</v>
      </c>
      <c r="AF164" s="1">
        <v>14.6673574147894</v>
      </c>
      <c r="AG164" s="1">
        <v>35.5018951417564</v>
      </c>
      <c r="AH164" s="1">
        <v>0.96884884620922396</v>
      </c>
      <c r="AI164" s="1">
        <v>15.0652586310794</v>
      </c>
      <c r="AJ164" s="1">
        <v>175.16326665878199</v>
      </c>
      <c r="AK164" s="1">
        <v>128.808528900146</v>
      </c>
      <c r="AL164" s="7"/>
      <c r="AM164" s="1"/>
      <c r="AN164" s="1"/>
      <c r="AO164" s="8"/>
      <c r="AP164" s="1"/>
      <c r="AQ164" s="1"/>
      <c r="AR164" s="1"/>
      <c r="AS164" s="8"/>
      <c r="AT164" s="7">
        <v>0.08</v>
      </c>
      <c r="AU164" s="1">
        <v>0.171377904880186</v>
      </c>
      <c r="AV164" s="1">
        <v>30.920995112566999</v>
      </c>
      <c r="AW164" s="1">
        <v>0.97502865912097803</v>
      </c>
      <c r="AX164" s="1">
        <v>16.0255813683467</v>
      </c>
      <c r="AY164" s="1">
        <v>34.260074955941</v>
      </c>
      <c r="AZ164" s="1">
        <v>0.97809665328203799</v>
      </c>
      <c r="BA164" s="1">
        <v>16.594895221417499</v>
      </c>
      <c r="BB164" s="1">
        <v>127.609865903854</v>
      </c>
      <c r="BC164" s="1">
        <v>84.173062086105304</v>
      </c>
      <c r="BD164" s="7"/>
      <c r="BE164" s="1"/>
      <c r="BF164" s="1"/>
      <c r="BG164" s="8"/>
      <c r="BH164" s="1"/>
      <c r="BI164" s="1"/>
      <c r="BJ164" s="1"/>
      <c r="BK164" s="8"/>
    </row>
    <row r="165" spans="1:63">
      <c r="A165" s="49"/>
      <c r="B165" s="7" t="s">
        <v>18</v>
      </c>
      <c r="C165" s="17">
        <v>0.06</v>
      </c>
      <c r="D165" s="7">
        <v>46</v>
      </c>
      <c r="E165" s="1">
        <v>5.8131633195180901E-2</v>
      </c>
      <c r="F165" s="1">
        <v>28.2130670171316</v>
      </c>
      <c r="G165" s="1">
        <v>0.89911273441486705</v>
      </c>
      <c r="H165" s="1">
        <v>9.9616364877927506</v>
      </c>
      <c r="I165" s="1">
        <v>31.5123605816521</v>
      </c>
      <c r="J165" s="1">
        <v>0.90547963924294705</v>
      </c>
      <c r="K165" s="8">
        <v>10.244746294592799</v>
      </c>
      <c r="L165" s="7">
        <v>44</v>
      </c>
      <c r="M165" s="1">
        <v>5.4590670116631303E-2</v>
      </c>
      <c r="N165" s="1">
        <v>28.791289271018499</v>
      </c>
      <c r="O165" s="1">
        <v>0.91084005577647598</v>
      </c>
      <c r="P165" s="1">
        <v>10.4983021187667</v>
      </c>
      <c r="Q165" s="1">
        <v>32.249465678127102</v>
      </c>
      <c r="R165" s="1">
        <v>0.91472081574402997</v>
      </c>
      <c r="S165" s="8">
        <v>10.6915696257202</v>
      </c>
      <c r="T165" s="7"/>
      <c r="U165" s="1"/>
      <c r="V165" s="1"/>
      <c r="W165" s="8"/>
      <c r="X165" s="7"/>
      <c r="Y165" s="1"/>
      <c r="Z165" s="1"/>
      <c r="AA165" s="8"/>
      <c r="AB165" s="7">
        <v>2</v>
      </c>
      <c r="AC165" s="1">
        <v>0.108330081470437</v>
      </c>
      <c r="AD165" s="1">
        <v>30.747426274885299</v>
      </c>
      <c r="AE165" s="1">
        <v>0.95111110149707301</v>
      </c>
      <c r="AF165" s="1">
        <v>13.107897475488</v>
      </c>
      <c r="AG165" s="1">
        <v>34.182226042164601</v>
      </c>
      <c r="AH165" s="1">
        <v>0.95418832602565695</v>
      </c>
      <c r="AI165" s="1">
        <v>13.390238386640499</v>
      </c>
      <c r="AJ165" s="1">
        <v>295.719318151474</v>
      </c>
      <c r="AK165" s="1">
        <v>175.08043456077499</v>
      </c>
      <c r="AL165" s="7"/>
      <c r="AM165" s="1"/>
      <c r="AN165" s="1"/>
      <c r="AO165" s="8"/>
      <c r="AP165" s="1"/>
      <c r="AQ165" s="1"/>
      <c r="AR165" s="1"/>
      <c r="AS165" s="8"/>
      <c r="AT165" s="7">
        <v>0.04</v>
      </c>
      <c r="AU165" s="1">
        <v>0.108652056238892</v>
      </c>
      <c r="AV165" s="1">
        <v>29.804753700756201</v>
      </c>
      <c r="AW165" s="1">
        <v>0.96383346955645799</v>
      </c>
      <c r="AX165" s="1">
        <v>14.416931523248699</v>
      </c>
      <c r="AY165" s="1">
        <v>33.143261724396197</v>
      </c>
      <c r="AZ165" s="1">
        <v>0.96755067277362095</v>
      </c>
      <c r="BA165" s="1">
        <v>14.887943030207801</v>
      </c>
      <c r="BB165" s="1">
        <v>297.20672249794001</v>
      </c>
      <c r="BC165" s="1">
        <v>177.19881248474101</v>
      </c>
      <c r="BD165" s="7"/>
      <c r="BE165" s="1"/>
      <c r="BF165" s="1"/>
      <c r="BG165" s="8"/>
      <c r="BH165" s="1"/>
      <c r="BI165" s="1"/>
      <c r="BJ165" s="1"/>
      <c r="BK165" s="8"/>
    </row>
    <row r="166" spans="1:63">
      <c r="A166" s="49"/>
      <c r="B166" s="7" t="s">
        <v>47</v>
      </c>
      <c r="C166" s="17">
        <v>1.5</v>
      </c>
      <c r="D166" s="7">
        <v>11</v>
      </c>
      <c r="E166" s="1">
        <v>1.3037081930935801</v>
      </c>
      <c r="F166" s="1">
        <v>49.6407369708649</v>
      </c>
      <c r="G166" s="1">
        <v>0.99855255606636695</v>
      </c>
      <c r="H166" s="1">
        <v>28.393982495595498</v>
      </c>
      <c r="I166" s="1">
        <v>53.444665529334003</v>
      </c>
      <c r="J166" s="1">
        <v>0.99937235474092201</v>
      </c>
      <c r="K166" s="8">
        <v>32.022857472729001</v>
      </c>
      <c r="L166" s="7">
        <v>10</v>
      </c>
      <c r="M166" s="1">
        <v>1.1743355830369999</v>
      </c>
      <c r="N166" s="1">
        <v>48.170623231386102</v>
      </c>
      <c r="O166" s="1">
        <v>0.99837931407976299</v>
      </c>
      <c r="P166" s="1">
        <v>27.903011408112899</v>
      </c>
      <c r="Q166" s="1">
        <v>52.361735725953203</v>
      </c>
      <c r="R166" s="1">
        <v>0.99920120955124103</v>
      </c>
      <c r="S166" s="8">
        <v>30.975671366858101</v>
      </c>
      <c r="T166" s="13">
        <f>bdrate(E166:E169,F166:F169,M166:M169,N166:N169)</f>
        <v>5.2296551018448101E-2</v>
      </c>
      <c r="U166" s="12">
        <f>bdrate(E166:E169,H166:H169,M166:M169,P166:P169)</f>
        <v>-0.13841914770874175</v>
      </c>
      <c r="V166" s="12">
        <f>bdrate(E166:E169,I166:I169,M166:M169,Q166:Q169)</f>
        <v>-5.1615107607270172E-2</v>
      </c>
      <c r="W166" s="14">
        <f>bdrate(E166:E169,K166:K169,M166:M169,S166:S169)</f>
        <v>-9.8369190624346903E-2</v>
      </c>
      <c r="X166" s="13">
        <f>bdrate(E168:E171,F168:F171,M168:M171,N168:N171)</f>
        <v>-0.21976114534824165</v>
      </c>
      <c r="Y166" s="12">
        <f>bdrate(E168:E171,H168:H171,M168:M171,P168:P171)</f>
        <v>-0.31682490919539463</v>
      </c>
      <c r="Z166" s="12">
        <f>bdrate(E168:E171,I168:I171,M168:M171,Q168:Q171)</f>
        <v>-0.23121448933067801</v>
      </c>
      <c r="AA166" s="14">
        <f>bdrate(E168:E171,K168:K171,M168:M171,S168:S171)</f>
        <v>-0.21340290979710463</v>
      </c>
      <c r="AB166" s="7">
        <v>256</v>
      </c>
      <c r="AC166" s="1">
        <v>0.361876687705808</v>
      </c>
      <c r="AD166" s="1">
        <v>47.498200998398097</v>
      </c>
      <c r="AE166" s="1">
        <v>0.99747972913100102</v>
      </c>
      <c r="AF166" s="1">
        <v>25.985527804131401</v>
      </c>
      <c r="AG166" s="1">
        <v>50.498946391022102</v>
      </c>
      <c r="AH166" s="1">
        <v>0.99824412951068497</v>
      </c>
      <c r="AI166" s="1">
        <v>27.5550752023534</v>
      </c>
      <c r="AJ166" s="1">
        <v>413.20623254776001</v>
      </c>
      <c r="AK166" s="1">
        <v>224.58293819427399</v>
      </c>
      <c r="AL166" s="13">
        <f>bdrate(E166:E169,F166:F169,AC166:AC169,AD166:AD169)</f>
        <v>-0.38844065938916772</v>
      </c>
      <c r="AM166" s="12">
        <f>bdrate(E166:E169,H166:H169,AC166:AC169,AF166:AF169)</f>
        <v>-0.47018965428701598</v>
      </c>
      <c r="AN166" s="12">
        <f>bdrate(E166:E169,I166:I169,AC166:AC169,AG166:AG169)</f>
        <v>-0.32849077467654275</v>
      </c>
      <c r="AO166" s="14">
        <f>bdrate(E166:E169,K166:K169,AC166:AC169,AI166:AI169)</f>
        <v>-0.35236607305894152</v>
      </c>
      <c r="AP166" s="12">
        <f>bdrate(E168:E171,F168:F171,AC168:AC171,AD168:AD171)</f>
        <v>-0.26816367226824445</v>
      </c>
      <c r="AQ166" s="12">
        <f>bdrate(E168:E171,H168:H171,AC168:AC171,AF168:AF171)</f>
        <v>-0.36151354828433502</v>
      </c>
      <c r="AR166" s="12">
        <f>bdrate(E168:E171,I168:I171,AC168:AC171,AG168:AG171)</f>
        <v>-0.22422446223035197</v>
      </c>
      <c r="AS166" s="14">
        <f>bdrate(E168:E171,K168:K171,AC168:AC171,AI168:AI171)</f>
        <v>-0.20720339065208404</v>
      </c>
      <c r="AT166" s="7">
        <v>6.4</v>
      </c>
      <c r="AU166" s="1">
        <v>0.62457792898495001</v>
      </c>
      <c r="AV166" s="1">
        <v>47.1612416974749</v>
      </c>
      <c r="AW166" s="1">
        <v>0.99877469226325399</v>
      </c>
      <c r="AX166" s="1">
        <v>29.117548242903499</v>
      </c>
      <c r="AY166" s="1">
        <v>50.082555796372901</v>
      </c>
      <c r="AZ166" s="1">
        <v>0.99928996232648803</v>
      </c>
      <c r="BA166" s="1">
        <v>31.4871860766937</v>
      </c>
      <c r="BB166" s="1">
        <v>474.30759692191998</v>
      </c>
      <c r="BC166" s="1">
        <v>206.86361813545199</v>
      </c>
      <c r="BD166" s="13">
        <f>bdrate(E166:E169,F166:F169,AU166:AU169,AV166:AV169)</f>
        <v>0.14610423461644073</v>
      </c>
      <c r="BE166" s="12">
        <f>bdrate(E166:E169,H166:H169,AU166:AU169,AX166:AX169)</f>
        <v>-0.6126579788857387</v>
      </c>
      <c r="BF166" s="12">
        <f>bdrate(E166:E169,I166:I169,AU166:AU169,AY166:AY169)</f>
        <v>0.29762765080160825</v>
      </c>
      <c r="BG166" s="14">
        <f>bdrate(E166:E169,K166:K169,AU166:AU169,BA166:BA169)</f>
        <v>-0.52366536862211865</v>
      </c>
      <c r="BH166" s="12">
        <f>bdrate(E168:E171,F168:F171,AU168:AU171,AV168:AV171)</f>
        <v>1.3114726851142677E-2</v>
      </c>
      <c r="BI166" s="12">
        <f>bdrate(E168:E171,H168:H171,AU168:AU171,AX168:AX171)</f>
        <v>-0.56288049842659493</v>
      </c>
      <c r="BJ166" s="12">
        <f>bdrate(E168:E171,I168:I171,AU168:AU171,AY168:AY171)</f>
        <v>6.698553557657716E-2</v>
      </c>
      <c r="BK166" s="14">
        <f>bdrate(E168:E171,K168:K171,AU168:AU171,BA168:BA171)</f>
        <v>-0.45876240695664527</v>
      </c>
    </row>
    <row r="167" spans="1:63">
      <c r="A167" s="49"/>
      <c r="B167" s="7" t="s">
        <v>18</v>
      </c>
      <c r="C167" s="17">
        <v>1</v>
      </c>
      <c r="D167" s="7">
        <v>13</v>
      </c>
      <c r="E167" s="1">
        <v>0.975467057478558</v>
      </c>
      <c r="F167" s="1">
        <v>48.821887271458799</v>
      </c>
      <c r="G167" s="1">
        <v>0.99813262553999205</v>
      </c>
      <c r="H167" s="1">
        <v>27.287685853136299</v>
      </c>
      <c r="I167" s="1">
        <v>52.408428934957797</v>
      </c>
      <c r="J167" s="1">
        <v>0.99903620110834501</v>
      </c>
      <c r="K167" s="8">
        <v>30.160135774627399</v>
      </c>
      <c r="L167" s="7">
        <v>12</v>
      </c>
      <c r="M167" s="1">
        <v>0.85989269935422596</v>
      </c>
      <c r="N167" s="1">
        <v>47.643151144852197</v>
      </c>
      <c r="O167" s="1">
        <v>0.99803343760062602</v>
      </c>
      <c r="P167" s="1">
        <v>27.062922687947999</v>
      </c>
      <c r="Q167" s="1">
        <v>51.602726750784498</v>
      </c>
      <c r="R167" s="1">
        <v>0.99890910707861502</v>
      </c>
      <c r="S167" s="8">
        <v>29.622178762988099</v>
      </c>
      <c r="T167" s="7"/>
      <c r="U167" s="1"/>
      <c r="V167" s="1"/>
      <c r="W167" s="8"/>
      <c r="X167" s="7"/>
      <c r="Y167" s="1"/>
      <c r="Z167" s="1"/>
      <c r="AA167" s="8"/>
      <c r="AB167" s="7">
        <v>128</v>
      </c>
      <c r="AC167" s="1">
        <v>0.25822181991272197</v>
      </c>
      <c r="AD167" s="1">
        <v>46.584060396101201</v>
      </c>
      <c r="AE167" s="1">
        <v>0.99705281002749702</v>
      </c>
      <c r="AF167" s="1">
        <v>25.305918691210401</v>
      </c>
      <c r="AG167" s="1">
        <v>49.555120097470898</v>
      </c>
      <c r="AH167" s="1">
        <v>0.997911846738747</v>
      </c>
      <c r="AI167" s="1">
        <v>26.802376291978099</v>
      </c>
      <c r="AJ167" s="1">
        <v>372.82511281967101</v>
      </c>
      <c r="AK167" s="1">
        <v>207.895992279052</v>
      </c>
      <c r="AL167" s="7"/>
      <c r="AM167" s="1"/>
      <c r="AN167" s="1"/>
      <c r="AO167" s="8"/>
      <c r="AP167" s="1"/>
      <c r="AQ167" s="1"/>
      <c r="AR167" s="1"/>
      <c r="AS167" s="8"/>
      <c r="AT167" s="7">
        <v>3.2</v>
      </c>
      <c r="AU167" s="1">
        <v>0.41686735247392798</v>
      </c>
      <c r="AV167" s="1">
        <v>45.878343022090199</v>
      </c>
      <c r="AW167" s="1">
        <v>0.99822754053853502</v>
      </c>
      <c r="AX167" s="1">
        <v>27.5142368893104</v>
      </c>
      <c r="AY167" s="1">
        <v>48.805306146170402</v>
      </c>
      <c r="AZ167" s="1">
        <v>0.99888093823618795</v>
      </c>
      <c r="BA167" s="1">
        <v>29.511459430138601</v>
      </c>
      <c r="BB167" s="1">
        <v>1151.6325261592799</v>
      </c>
      <c r="BC167" s="1">
        <v>408.35826587677002</v>
      </c>
      <c r="BD167" s="7"/>
      <c r="BE167" s="1"/>
      <c r="BF167" s="1"/>
      <c r="BG167" s="8"/>
      <c r="BH167" s="1"/>
      <c r="BI167" s="1"/>
      <c r="BJ167" s="1"/>
      <c r="BK167" s="8"/>
    </row>
    <row r="168" spans="1:63">
      <c r="A168" s="49"/>
      <c r="B168" s="7" t="s">
        <v>18</v>
      </c>
      <c r="C168" s="17">
        <v>0.5</v>
      </c>
      <c r="D168" s="7">
        <v>19</v>
      </c>
      <c r="E168" s="1">
        <v>0.47413473602023698</v>
      </c>
      <c r="F168" s="1">
        <v>46.828562783595501</v>
      </c>
      <c r="G168" s="1">
        <v>0.99692195516765902</v>
      </c>
      <c r="H168" s="1">
        <v>25.117250588722101</v>
      </c>
      <c r="I168" s="1">
        <v>50.170805311787703</v>
      </c>
      <c r="J168" s="1">
        <v>0.99808744868200505</v>
      </c>
      <c r="K168" s="8">
        <v>27.183869029336702</v>
      </c>
      <c r="L168" s="7">
        <v>15</v>
      </c>
      <c r="M168" s="1">
        <v>0.48599510952443498</v>
      </c>
      <c r="N168" s="1">
        <v>46.786950407502999</v>
      </c>
      <c r="O168" s="1">
        <v>0.997271771841438</v>
      </c>
      <c r="P168" s="1">
        <v>25.641193129521699</v>
      </c>
      <c r="Q168" s="1">
        <v>50.502585359789599</v>
      </c>
      <c r="R168" s="1">
        <v>0.99832417370087001</v>
      </c>
      <c r="S168" s="8">
        <v>27.757709983782402</v>
      </c>
      <c r="T168" s="7"/>
      <c r="U168" s="1"/>
      <c r="V168" s="1"/>
      <c r="W168" s="8"/>
      <c r="X168" s="7"/>
      <c r="Y168" s="1"/>
      <c r="Z168" s="1"/>
      <c r="AA168" s="8"/>
      <c r="AB168" s="7">
        <v>64</v>
      </c>
      <c r="AC168" s="1">
        <v>0.195411873362384</v>
      </c>
      <c r="AD168" s="1">
        <v>45.440299328006802</v>
      </c>
      <c r="AE168" s="1">
        <v>0.99643567416571299</v>
      </c>
      <c r="AF168" s="1">
        <v>24.4802260161478</v>
      </c>
      <c r="AG168" s="1">
        <v>48.386465064310102</v>
      </c>
      <c r="AH168" s="1">
        <v>0.99740581304086495</v>
      </c>
      <c r="AI168" s="1">
        <v>25.859987281769801</v>
      </c>
      <c r="AJ168" s="1">
        <v>335.44789791107098</v>
      </c>
      <c r="AK168" s="1">
        <v>199.02486729621799</v>
      </c>
      <c r="AL168" s="7"/>
      <c r="AM168" s="1"/>
      <c r="AN168" s="1"/>
      <c r="AO168" s="8"/>
      <c r="AP168" s="1"/>
      <c r="AQ168" s="1"/>
      <c r="AR168" s="1"/>
      <c r="AS168" s="8"/>
      <c r="AT168" s="7">
        <v>1.28</v>
      </c>
      <c r="AU168" s="1">
        <v>0.227930934483836</v>
      </c>
      <c r="AV168" s="1">
        <v>44.315723838640203</v>
      </c>
      <c r="AW168" s="1">
        <v>0.99737622988458996</v>
      </c>
      <c r="AX168" s="1">
        <v>25.8107421883252</v>
      </c>
      <c r="AY168" s="1">
        <v>47.240157796322002</v>
      </c>
      <c r="AZ168" s="1">
        <v>0.99817731505391905</v>
      </c>
      <c r="BA168" s="1">
        <v>27.392883933326299</v>
      </c>
      <c r="BB168" s="1">
        <v>1037.1298878192899</v>
      </c>
      <c r="BC168" s="1">
        <v>386.70415711402802</v>
      </c>
      <c r="BD168" s="7"/>
      <c r="BE168" s="1"/>
      <c r="BF168" s="1"/>
      <c r="BG168" s="8"/>
      <c r="BH168" s="1"/>
      <c r="BI168" s="1"/>
      <c r="BJ168" s="1"/>
      <c r="BK168" s="8"/>
    </row>
    <row r="169" spans="1:63">
      <c r="A169" s="49"/>
      <c r="B169" s="7" t="s">
        <v>18</v>
      </c>
      <c r="C169" s="17">
        <v>0.25</v>
      </c>
      <c r="D169" s="7">
        <v>25</v>
      </c>
      <c r="E169" s="1">
        <v>0.249982952845859</v>
      </c>
      <c r="F169" s="1">
        <v>44.613995609133198</v>
      </c>
      <c r="G169" s="1">
        <v>0.99546750633381698</v>
      </c>
      <c r="H169" s="1">
        <v>23.436627941257601</v>
      </c>
      <c r="I169" s="1">
        <v>47.8948623886699</v>
      </c>
      <c r="J169" s="1">
        <v>0.99719286830735498</v>
      </c>
      <c r="K169" s="8">
        <v>25.517372125713599</v>
      </c>
      <c r="L169" s="7">
        <v>22</v>
      </c>
      <c r="M169" s="1">
        <v>0.231054994449686</v>
      </c>
      <c r="N169" s="1">
        <v>45.135240658715901</v>
      </c>
      <c r="O169" s="1">
        <v>0.99626601073226895</v>
      </c>
      <c r="P169" s="1">
        <v>24.278269346387201</v>
      </c>
      <c r="Q169" s="1">
        <v>48.507649957899098</v>
      </c>
      <c r="R169" s="1">
        <v>0.99751174084904004</v>
      </c>
      <c r="S169" s="8">
        <v>26.041043900701801</v>
      </c>
      <c r="T169" s="7"/>
      <c r="U169" s="1"/>
      <c r="V169" s="1"/>
      <c r="W169" s="8"/>
      <c r="X169" s="7"/>
      <c r="Y169" s="1"/>
      <c r="Z169" s="1"/>
      <c r="AA169" s="8"/>
      <c r="AB169" s="7">
        <v>32</v>
      </c>
      <c r="AC169" s="1">
        <v>0.14685533025008601</v>
      </c>
      <c r="AD169" s="1">
        <v>44.100369159140897</v>
      </c>
      <c r="AE169" s="1">
        <v>0.99549846468773895</v>
      </c>
      <c r="AF169" s="1">
        <v>23.466393386861899</v>
      </c>
      <c r="AG169" s="1">
        <v>47.043217519491002</v>
      </c>
      <c r="AH169" s="1">
        <v>0.99662187812749004</v>
      </c>
      <c r="AI169" s="1">
        <v>24.713246864394499</v>
      </c>
      <c r="AJ169" s="1">
        <v>271.37438678741398</v>
      </c>
      <c r="AK169" s="1">
        <v>158.12727403640699</v>
      </c>
      <c r="AL169" s="7"/>
      <c r="AM169" s="1"/>
      <c r="AN169" s="1"/>
      <c r="AO169" s="8"/>
      <c r="AP169" s="1"/>
      <c r="AQ169" s="1"/>
      <c r="AR169" s="1"/>
      <c r="AS169" s="8"/>
      <c r="AT169" s="7">
        <v>0.64</v>
      </c>
      <c r="AU169" s="1">
        <v>0.153796510869595</v>
      </c>
      <c r="AV169" s="1">
        <v>42.866531552800097</v>
      </c>
      <c r="AW169" s="1">
        <v>0.99666794567166805</v>
      </c>
      <c r="AX169" s="1">
        <v>24.772879261421298</v>
      </c>
      <c r="AY169" s="1">
        <v>45.807480655823497</v>
      </c>
      <c r="AZ169" s="1">
        <v>0.99757906227326898</v>
      </c>
      <c r="BA169" s="1">
        <v>26.1601638167981</v>
      </c>
      <c r="BB169" s="1">
        <v>611.27604913711502</v>
      </c>
      <c r="BC169" s="1">
        <v>286.353456020355</v>
      </c>
      <c r="BD169" s="7"/>
      <c r="BE169" s="1"/>
      <c r="BF169" s="1"/>
      <c r="BG169" s="8"/>
      <c r="BH169" s="1"/>
      <c r="BI169" s="1"/>
      <c r="BJ169" s="1"/>
      <c r="BK169" s="8"/>
    </row>
    <row r="170" spans="1:63">
      <c r="A170" s="49"/>
      <c r="B170" s="7" t="s">
        <v>18</v>
      </c>
      <c r="C170" s="17">
        <v>0.12</v>
      </c>
      <c r="D170" s="7">
        <v>32</v>
      </c>
      <c r="E170" s="1">
        <v>0.117944798701496</v>
      </c>
      <c r="F170" s="1">
        <v>41.399638310575497</v>
      </c>
      <c r="G170" s="1">
        <v>0.99163543606641003</v>
      </c>
      <c r="H170" s="1">
        <v>20.775566950090798</v>
      </c>
      <c r="I170" s="1">
        <v>44.569559898778998</v>
      </c>
      <c r="J170" s="1">
        <v>0.99446688787727899</v>
      </c>
      <c r="K170" s="8">
        <v>22.570305291739501</v>
      </c>
      <c r="L170" s="7">
        <v>28</v>
      </c>
      <c r="M170" s="1">
        <v>0.115002895462885</v>
      </c>
      <c r="N170" s="1">
        <v>42.584476449105701</v>
      </c>
      <c r="O170" s="1">
        <v>0.99386527489290899</v>
      </c>
      <c r="P170" s="1">
        <v>22.122048929448599</v>
      </c>
      <c r="Q170" s="1">
        <v>45.753639521225701</v>
      </c>
      <c r="R170" s="1">
        <v>0.99548895457880404</v>
      </c>
      <c r="S170" s="8">
        <v>23.4572280001926</v>
      </c>
      <c r="T170" s="7"/>
      <c r="U170" s="1"/>
      <c r="V170" s="1"/>
      <c r="W170" s="8"/>
      <c r="X170" s="7"/>
      <c r="Y170" s="1"/>
      <c r="Z170" s="1"/>
      <c r="AA170" s="8"/>
      <c r="AB170" s="7">
        <v>16</v>
      </c>
      <c r="AC170" s="1">
        <v>0.11272713793391601</v>
      </c>
      <c r="AD170" s="1">
        <v>42.627581342915903</v>
      </c>
      <c r="AE170" s="1">
        <v>0.994008723874793</v>
      </c>
      <c r="AF170" s="1">
        <v>22.224806642370201</v>
      </c>
      <c r="AG170" s="1">
        <v>45.568584647408599</v>
      </c>
      <c r="AH170" s="1">
        <v>0.99535509683072698</v>
      </c>
      <c r="AI170" s="1">
        <v>23.330233351663601</v>
      </c>
      <c r="AJ170" s="1">
        <v>545.07624936103798</v>
      </c>
      <c r="AK170" s="1">
        <v>280.37026691436699</v>
      </c>
      <c r="AL170" s="7"/>
      <c r="AM170" s="1"/>
      <c r="AN170" s="1"/>
      <c r="AO170" s="8"/>
      <c r="AP170" s="1"/>
      <c r="AQ170" s="1"/>
      <c r="AR170" s="1"/>
      <c r="AS170" s="8"/>
      <c r="AT170" s="7">
        <v>0.32</v>
      </c>
      <c r="AU170" s="1">
        <v>0.116869160824023</v>
      </c>
      <c r="AV170" s="1">
        <v>41.474653229175601</v>
      </c>
      <c r="AW170" s="1">
        <v>0.99578799028086296</v>
      </c>
      <c r="AX170" s="1">
        <v>23.755106353586701</v>
      </c>
      <c r="AY170" s="1">
        <v>44.383499547433502</v>
      </c>
      <c r="AZ170" s="1">
        <v>0.99685277462658095</v>
      </c>
      <c r="BA170" s="1">
        <v>25.020721560611999</v>
      </c>
      <c r="BB170" s="1">
        <v>621.58115220069806</v>
      </c>
      <c r="BC170" s="1">
        <v>325.48855161666802</v>
      </c>
      <c r="BD170" s="7"/>
      <c r="BE170" s="1"/>
      <c r="BF170" s="1"/>
      <c r="BG170" s="8"/>
      <c r="BH170" s="1"/>
      <c r="BI170" s="1"/>
      <c r="BJ170" s="1"/>
      <c r="BK170" s="8"/>
    </row>
    <row r="171" spans="1:63">
      <c r="A171" s="49"/>
      <c r="B171" s="7" t="s">
        <v>18</v>
      </c>
      <c r="C171" s="17">
        <v>0.06</v>
      </c>
      <c r="D171" s="7">
        <v>38</v>
      </c>
      <c r="E171" s="1">
        <v>5.6095140122200002E-2</v>
      </c>
      <c r="F171" s="1">
        <v>38.012557000348501</v>
      </c>
      <c r="G171" s="1">
        <v>0.98386870894092904</v>
      </c>
      <c r="H171" s="1">
        <v>17.923308726983301</v>
      </c>
      <c r="I171" s="1">
        <v>41.139397322724797</v>
      </c>
      <c r="J171" s="1">
        <v>0.98764593593997596</v>
      </c>
      <c r="K171" s="8">
        <v>19.081901510278801</v>
      </c>
      <c r="L171" s="7">
        <v>34</v>
      </c>
      <c r="M171" s="1">
        <v>5.7562006432319297E-2</v>
      </c>
      <c r="N171" s="1">
        <v>39.567814661083503</v>
      </c>
      <c r="O171" s="1">
        <v>0.98865313473473304</v>
      </c>
      <c r="P171" s="1">
        <v>19.451241019979399</v>
      </c>
      <c r="Q171" s="1">
        <v>42.722027760902797</v>
      </c>
      <c r="R171" s="1">
        <v>0.99078382556211897</v>
      </c>
      <c r="S171" s="8">
        <v>20.354493137936998</v>
      </c>
      <c r="T171" s="7"/>
      <c r="U171" s="1"/>
      <c r="V171" s="1"/>
      <c r="W171" s="8"/>
      <c r="X171" s="7"/>
      <c r="Y171" s="1"/>
      <c r="Z171" s="1"/>
      <c r="AA171" s="8"/>
      <c r="AB171" s="7">
        <v>4</v>
      </c>
      <c r="AC171" s="1">
        <v>5.5603941770646197E-2</v>
      </c>
      <c r="AD171" s="1">
        <v>38.858430811517401</v>
      </c>
      <c r="AE171" s="1">
        <v>0.98825600618711795</v>
      </c>
      <c r="AF171" s="1">
        <v>19.3018418622841</v>
      </c>
      <c r="AG171" s="1">
        <v>41.822139971325399</v>
      </c>
      <c r="AH171" s="1">
        <v>0.98998582713000904</v>
      </c>
      <c r="AI171" s="1">
        <v>19.9938491584955</v>
      </c>
      <c r="AJ171" s="1">
        <v>276.90106320381102</v>
      </c>
      <c r="AK171" s="1">
        <v>201.014612913131</v>
      </c>
      <c r="AL171" s="7"/>
      <c r="AM171" s="1"/>
      <c r="AN171" s="1"/>
      <c r="AO171" s="8"/>
      <c r="AP171" s="1"/>
      <c r="AQ171" s="1"/>
      <c r="AR171" s="1"/>
      <c r="AS171" s="8"/>
      <c r="AT171" s="7">
        <v>0.08</v>
      </c>
      <c r="AU171" s="1">
        <v>6.1847255456245802E-2</v>
      </c>
      <c r="AV171" s="1">
        <v>37.5024957685864</v>
      </c>
      <c r="AW171" s="1">
        <v>0.99191161219394097</v>
      </c>
      <c r="AX171" s="1">
        <v>20.921380342229899</v>
      </c>
      <c r="AY171" s="1">
        <v>40.455108893501603</v>
      </c>
      <c r="AZ171" s="1">
        <v>0.99353561879604901</v>
      </c>
      <c r="BA171" s="1">
        <v>21.894730411736401</v>
      </c>
      <c r="BB171" s="1">
        <v>198.786537647247</v>
      </c>
      <c r="BC171" s="1">
        <v>134.99878239631599</v>
      </c>
      <c r="BD171" s="7"/>
      <c r="BE171" s="1"/>
      <c r="BF171" s="1"/>
      <c r="BG171" s="8"/>
      <c r="BH171" s="1"/>
      <c r="BI171" s="1"/>
      <c r="BJ171" s="1"/>
      <c r="BK171" s="8"/>
    </row>
    <row r="172" spans="1:63">
      <c r="A172" s="49"/>
      <c r="B172" s="7" t="s">
        <v>48</v>
      </c>
      <c r="C172" s="17">
        <v>1.5</v>
      </c>
      <c r="D172" s="7">
        <v>28</v>
      </c>
      <c r="E172" s="1">
        <v>1.3616678913746501</v>
      </c>
      <c r="F172" s="1">
        <v>35.430335387092498</v>
      </c>
      <c r="G172" s="1">
        <v>0.97847348610970097</v>
      </c>
      <c r="H172" s="1">
        <v>16.670262962699798</v>
      </c>
      <c r="I172" s="1">
        <v>38.576914325998601</v>
      </c>
      <c r="J172" s="1">
        <v>0.98784121339251596</v>
      </c>
      <c r="K172" s="8">
        <v>19.151097635474802</v>
      </c>
      <c r="L172" s="7">
        <v>25</v>
      </c>
      <c r="M172" s="1">
        <v>1.4229905402481899</v>
      </c>
      <c r="N172" s="1">
        <v>36.776504059640402</v>
      </c>
      <c r="O172" s="1">
        <v>0.98470851439769203</v>
      </c>
      <c r="P172" s="1">
        <v>18.155503198497701</v>
      </c>
      <c r="Q172" s="1">
        <v>39.952675946171901</v>
      </c>
      <c r="R172" s="1">
        <v>0.99151400193149297</v>
      </c>
      <c r="S172" s="8">
        <v>20.712970714189101</v>
      </c>
      <c r="T172" s="13">
        <f>bdrate(E172:E175,F172:F175,M172:M175,N172:N175)</f>
        <v>-0.21049729896080849</v>
      </c>
      <c r="U172" s="12">
        <f>bdrate(E172:E175,H172:H175,M172:M175,P172:P175)</f>
        <v>-0.24290078950015259</v>
      </c>
      <c r="V172" s="12">
        <f>bdrate(E172:E175,I172:I175,M172:M175,Q172:Q175)</f>
        <v>-0.20051967766178369</v>
      </c>
      <c r="W172" s="14">
        <f>bdrate(E172:E175,K172:K175,M172:M175,S172:S175)</f>
        <v>-0.16406976424383901</v>
      </c>
      <c r="X172" s="13">
        <f>bdrate(E174:E177,F174:F177,M174:M177,N174:N177)</f>
        <v>-0.22725115121072292</v>
      </c>
      <c r="Y172" s="12">
        <f>bdrate(E174:E177,H174:H177,M174:M177,P174:P177)</f>
        <v>-0.25635635889243646</v>
      </c>
      <c r="Z172" s="12">
        <f>bdrate(E174:E177,I174:I177,M174:M177,Q174:Q177)</f>
        <v>-0.22626877048161331</v>
      </c>
      <c r="AA172" s="14">
        <f>bdrate(E174:E177,K174:K177,M174:M177,S174:S177)</f>
        <v>-0.17437806874242368</v>
      </c>
      <c r="AB172" s="7">
        <v>64</v>
      </c>
      <c r="AC172" s="1">
        <v>1.40250841651514</v>
      </c>
      <c r="AD172" s="1">
        <v>36.852836804948602</v>
      </c>
      <c r="AE172" s="1">
        <v>0.98769145417605797</v>
      </c>
      <c r="AF172" s="1">
        <v>19.0979325315664</v>
      </c>
      <c r="AG172" s="1">
        <v>39.705172794335603</v>
      </c>
      <c r="AH172" s="1">
        <v>0.99281731278944796</v>
      </c>
      <c r="AI172" s="1">
        <v>21.4371304567713</v>
      </c>
      <c r="AJ172" s="1">
        <v>230.83503842353801</v>
      </c>
      <c r="AK172" s="1">
        <v>132.25074434280299</v>
      </c>
      <c r="AL172" s="13">
        <f>bdrate(E172:E175,F172:F175,AC172:AC175,AD172:AD175)</f>
        <v>-0.23239362654113815</v>
      </c>
      <c r="AM172" s="12">
        <f>bdrate(E172:E175,H172:H175,AC172:AC175,AF172:AF175)</f>
        <v>-0.36310128560192356</v>
      </c>
      <c r="AN172" s="12">
        <f>bdrate(E172:E175,I172:I175,AC172:AC175,AG172:AG175)</f>
        <v>-0.17842575286859619</v>
      </c>
      <c r="AO172" s="14">
        <f>bdrate(E172:E175,K172:K175,AC172:AC175,AI172:AI175)</f>
        <v>-0.26430003980871164</v>
      </c>
      <c r="AP172" s="12">
        <f>bdrate(E174:E177,F174:F177,AC174:AC177,AD174:AD177)</f>
        <v>-0.19083865651811016</v>
      </c>
      <c r="AQ172" s="12">
        <f>bdrate(E174:E177,H174:H177,AC174:AC177,AF174:AF177)</f>
        <v>-0.37560724575062998</v>
      </c>
      <c r="AR172" s="12">
        <f>bdrate(E174:E177,I174:I177,AC174:AC177,AG174:AG177)</f>
        <v>-0.15264446595372572</v>
      </c>
      <c r="AS172" s="14">
        <f>bdrate(E174:E177,K174:K177,AC174:AC177,AI174:AI177)</f>
        <v>-0.27060777884324194</v>
      </c>
      <c r="AT172" s="7">
        <v>1.28</v>
      </c>
      <c r="AU172" s="1">
        <v>1.17742532410064</v>
      </c>
      <c r="AV172" s="1">
        <v>33.699289688622997</v>
      </c>
      <c r="AW172" s="1">
        <v>0.99149470399129003</v>
      </c>
      <c r="AX172" s="1">
        <v>20.703105670940602</v>
      </c>
      <c r="AY172" s="1">
        <v>36.565488684693598</v>
      </c>
      <c r="AZ172" s="1">
        <v>0.99415690626923903</v>
      </c>
      <c r="BA172" s="1">
        <v>22.333571469901901</v>
      </c>
      <c r="BB172" s="1">
        <v>708.02732944488503</v>
      </c>
      <c r="BC172" s="1">
        <v>318.61647558212201</v>
      </c>
      <c r="BD172" s="13">
        <f>bdrate(E172:E175,F172:F175,AU172:AU175,AV172:AV175)</f>
        <v>0.34562808968703229</v>
      </c>
      <c r="BE172" s="12">
        <f>bdrate(E172:E175,H172:H175,AU172:AU175,AX172:AX175)</f>
        <v>-0.60819378849335903</v>
      </c>
      <c r="BF172" s="12">
        <f>bdrate(E172:E175,I172:I175,AU172:AU175,AY172:AY175)</f>
        <v>0.39778221656649593</v>
      </c>
      <c r="BG172" s="14">
        <f>bdrate(E172:E175,K172:K175,AU172:AU175,BA172:BA175)</f>
        <v>-0.52603151528759551</v>
      </c>
      <c r="BH172" s="12">
        <f>bdrate(E174:E177,F174:F177,AU174:AU177,AV174:AV177)</f>
        <v>0.26853536777153431</v>
      </c>
      <c r="BI172" s="12">
        <f>bdrate(E174:E177,H174:H177,AU174:AU177,AX174:AX177)</f>
        <v>-0.57539347088127579</v>
      </c>
      <c r="BJ172" s="12">
        <f>bdrate(E174:E177,I174:I177,AU174:AU177,AY174:AY177)</f>
        <v>0.30771028132996969</v>
      </c>
      <c r="BK172" s="14">
        <f>bdrate(E174:E177,K174:K177,AU174:AU177,BA174:BA177)</f>
        <v>-0.48601133032805288</v>
      </c>
    </row>
    <row r="173" spans="1:63">
      <c r="A173" s="49"/>
      <c r="B173" s="7" t="s">
        <v>18</v>
      </c>
      <c r="C173" s="17">
        <v>1</v>
      </c>
      <c r="D173" s="7">
        <v>30</v>
      </c>
      <c r="E173" s="1">
        <v>0.977453572839731</v>
      </c>
      <c r="F173" s="1">
        <v>33.934162835469998</v>
      </c>
      <c r="G173" s="1">
        <v>0.96968658162146004</v>
      </c>
      <c r="H173" s="1">
        <v>15.183650864226401</v>
      </c>
      <c r="I173" s="1">
        <v>37.012659864931699</v>
      </c>
      <c r="J173" s="1">
        <v>0.98109213330507306</v>
      </c>
      <c r="K173" s="8">
        <v>17.233574682403901</v>
      </c>
      <c r="L173" s="7">
        <v>28</v>
      </c>
      <c r="M173" s="1">
        <v>0.89918525630366997</v>
      </c>
      <c r="N173" s="1">
        <v>34.5660981570988</v>
      </c>
      <c r="O173" s="1">
        <v>0.97467247117080602</v>
      </c>
      <c r="P173" s="1">
        <v>15.964071816346101</v>
      </c>
      <c r="Q173" s="1">
        <v>37.603828436064397</v>
      </c>
      <c r="R173" s="1">
        <v>0.98326479490854202</v>
      </c>
      <c r="S173" s="8">
        <v>17.763689609552799</v>
      </c>
      <c r="T173" s="7"/>
      <c r="U173" s="1"/>
      <c r="V173" s="1"/>
      <c r="W173" s="8"/>
      <c r="X173" s="7"/>
      <c r="Y173" s="1"/>
      <c r="Z173" s="1"/>
      <c r="AA173" s="8"/>
      <c r="AB173" s="7">
        <v>32</v>
      </c>
      <c r="AC173" s="1">
        <v>0.94306091179063001</v>
      </c>
      <c r="AD173" s="1">
        <v>34.979471601022503</v>
      </c>
      <c r="AE173" s="1">
        <v>0.97991427949063203</v>
      </c>
      <c r="AF173" s="1">
        <v>16.971125847622702</v>
      </c>
      <c r="AG173" s="1">
        <v>37.771490739466998</v>
      </c>
      <c r="AH173" s="1">
        <v>0.98644244629179201</v>
      </c>
      <c r="AI173" s="1">
        <v>18.678186664328301</v>
      </c>
      <c r="AJ173" s="1">
        <v>181.26434803008999</v>
      </c>
      <c r="AK173" s="1">
        <v>98.300448894500704</v>
      </c>
      <c r="AL173" s="7"/>
      <c r="AM173" s="1"/>
      <c r="AN173" s="1"/>
      <c r="AO173" s="8"/>
      <c r="AP173" s="1"/>
      <c r="AQ173" s="1"/>
      <c r="AR173" s="1"/>
      <c r="AS173" s="8"/>
      <c r="AT173" s="7">
        <v>0.64</v>
      </c>
      <c r="AU173" s="1">
        <v>0.81884512718190205</v>
      </c>
      <c r="AV173" s="1">
        <v>32.174933915306703</v>
      </c>
      <c r="AW173" s="1">
        <v>0.98702376815721704</v>
      </c>
      <c r="AX173" s="1">
        <v>18.868514036429801</v>
      </c>
      <c r="AY173" s="1">
        <v>35.075487499812901</v>
      </c>
      <c r="AZ173" s="1">
        <v>0.990761661166915</v>
      </c>
      <c r="BA173" s="1">
        <v>20.344061132476899</v>
      </c>
      <c r="BB173" s="1">
        <v>419.74218273162802</v>
      </c>
      <c r="BC173" s="1">
        <v>188.151438236236</v>
      </c>
      <c r="BD173" s="7"/>
      <c r="BE173" s="1"/>
      <c r="BF173" s="1"/>
      <c r="BG173" s="8"/>
      <c r="BH173" s="1"/>
      <c r="BI173" s="1"/>
      <c r="BJ173" s="1"/>
      <c r="BK173" s="8"/>
    </row>
    <row r="174" spans="1:63">
      <c r="A174" s="49"/>
      <c r="B174" s="7" t="s">
        <v>18</v>
      </c>
      <c r="C174" s="17">
        <v>0.5</v>
      </c>
      <c r="D174" s="7">
        <v>35</v>
      </c>
      <c r="E174" s="1">
        <v>0.42296586729886598</v>
      </c>
      <c r="F174" s="1">
        <v>31.090611362212599</v>
      </c>
      <c r="G174" s="1">
        <v>0.94224657122691002</v>
      </c>
      <c r="H174" s="1">
        <v>12.384222269677901</v>
      </c>
      <c r="I174" s="1">
        <v>34.078039306106596</v>
      </c>
      <c r="J174" s="1">
        <v>0.95829213588470197</v>
      </c>
      <c r="K174" s="8">
        <v>13.797820500652501</v>
      </c>
      <c r="L174" s="7">
        <v>32</v>
      </c>
      <c r="M174" s="1">
        <v>0.46522025970961001</v>
      </c>
      <c r="N174" s="1">
        <v>32.114077549286499</v>
      </c>
      <c r="O174" s="1">
        <v>0.955684943056053</v>
      </c>
      <c r="P174" s="1">
        <v>13.5344868829973</v>
      </c>
      <c r="Q174" s="1">
        <v>35.094572057307701</v>
      </c>
      <c r="R174" s="1">
        <v>0.96657619685654905</v>
      </c>
      <c r="S174" s="8">
        <v>14.7594413522532</v>
      </c>
      <c r="T174" s="7"/>
      <c r="U174" s="1"/>
      <c r="V174" s="1"/>
      <c r="W174" s="8"/>
      <c r="X174" s="7"/>
      <c r="Y174" s="1"/>
      <c r="Z174" s="1"/>
      <c r="AA174" s="8"/>
      <c r="AB174" s="7">
        <v>16</v>
      </c>
      <c r="AC174" s="1">
        <v>0.57565280511767003</v>
      </c>
      <c r="AD174" s="1">
        <v>32.919004025473001</v>
      </c>
      <c r="AE174" s="1">
        <v>0.96768175781898402</v>
      </c>
      <c r="AF174" s="1">
        <v>14.9055226893229</v>
      </c>
      <c r="AG174" s="1">
        <v>35.712979459272397</v>
      </c>
      <c r="AH174" s="1">
        <v>0.97612627895248005</v>
      </c>
      <c r="AI174" s="1">
        <v>16.220798849539499</v>
      </c>
      <c r="AJ174" s="1">
        <v>373.40138006210299</v>
      </c>
      <c r="AK174" s="1">
        <v>183.010035276412</v>
      </c>
      <c r="AL174" s="7"/>
      <c r="AM174" s="1"/>
      <c r="AN174" s="1"/>
      <c r="AO174" s="8"/>
      <c r="AP174" s="1"/>
      <c r="AQ174" s="1"/>
      <c r="AR174" s="1"/>
      <c r="AS174" s="8"/>
      <c r="AT174" s="7">
        <v>0.32</v>
      </c>
      <c r="AU174" s="1">
        <v>0.60486128617581802</v>
      </c>
      <c r="AV174" s="1">
        <v>31.207727320191101</v>
      </c>
      <c r="AW174" s="1">
        <v>0.981343584181946</v>
      </c>
      <c r="AX174" s="1">
        <v>17.2917178716799</v>
      </c>
      <c r="AY174" s="1">
        <v>34.093794665424802</v>
      </c>
      <c r="AZ174" s="1">
        <v>0.98643285898306199</v>
      </c>
      <c r="BA174" s="1">
        <v>18.675116609167599</v>
      </c>
      <c r="BB174" s="1">
        <v>881.03144192695595</v>
      </c>
      <c r="BC174" s="1">
        <v>253.63604450225799</v>
      </c>
      <c r="BD174" s="7"/>
      <c r="BE174" s="1"/>
      <c r="BF174" s="1"/>
      <c r="BG174" s="8"/>
      <c r="BH174" s="1"/>
      <c r="BI174" s="1"/>
      <c r="BJ174" s="1"/>
      <c r="BK174" s="8"/>
    </row>
    <row r="175" spans="1:63">
      <c r="A175" s="49"/>
      <c r="B175" s="7" t="s">
        <v>18</v>
      </c>
      <c r="C175" s="17">
        <v>0.25</v>
      </c>
      <c r="D175" s="7">
        <v>39</v>
      </c>
      <c r="E175" s="1">
        <v>0.21976160209684301</v>
      </c>
      <c r="F175" s="1">
        <v>29.333726287885899</v>
      </c>
      <c r="G175" s="1">
        <v>0.91467667958546905</v>
      </c>
      <c r="H175" s="1">
        <v>10.689322520312199</v>
      </c>
      <c r="I175" s="1">
        <v>32.257539597707201</v>
      </c>
      <c r="J175" s="1">
        <v>0.93474999907728495</v>
      </c>
      <c r="K175" s="8">
        <v>11.854194778482199</v>
      </c>
      <c r="L175" s="7">
        <v>36</v>
      </c>
      <c r="M175" s="1">
        <v>0.240986059783628</v>
      </c>
      <c r="N175" s="1">
        <v>30.217522928118701</v>
      </c>
      <c r="O175" s="1">
        <v>0.93158755738189303</v>
      </c>
      <c r="P175" s="1">
        <v>11.6486490311986</v>
      </c>
      <c r="Q175" s="1">
        <v>33.154219555032498</v>
      </c>
      <c r="R175" s="1">
        <v>0.94536246368325705</v>
      </c>
      <c r="S175" s="8">
        <v>12.625088918332301</v>
      </c>
      <c r="T175" s="7"/>
      <c r="U175" s="1"/>
      <c r="V175" s="1"/>
      <c r="W175" s="8"/>
      <c r="X175" s="7"/>
      <c r="Y175" s="1"/>
      <c r="Z175" s="1"/>
      <c r="AA175" s="8"/>
      <c r="AB175" s="7">
        <v>8</v>
      </c>
      <c r="AC175" s="1">
        <v>0.35664426434383301</v>
      </c>
      <c r="AD175" s="1">
        <v>31.335677381070401</v>
      </c>
      <c r="AE175" s="1">
        <v>0.95234864219891502</v>
      </c>
      <c r="AF175" s="1">
        <v>13.2192471985006</v>
      </c>
      <c r="AG175" s="1">
        <v>34.148276907182101</v>
      </c>
      <c r="AH175" s="1">
        <v>0.96263119273076203</v>
      </c>
      <c r="AI175" s="1">
        <v>14.2749076366106</v>
      </c>
      <c r="AJ175" s="1">
        <v>144.116415977478</v>
      </c>
      <c r="AK175" s="1">
        <v>90.774385452270494</v>
      </c>
      <c r="AL175" s="7"/>
      <c r="AM175" s="1"/>
      <c r="AN175" s="1"/>
      <c r="AO175" s="8"/>
      <c r="AP175" s="1"/>
      <c r="AQ175" s="1"/>
      <c r="AR175" s="1"/>
      <c r="AS175" s="8"/>
      <c r="AT175" s="7">
        <v>0.16</v>
      </c>
      <c r="AU175" s="1">
        <v>0.41068732042830802</v>
      </c>
      <c r="AV175" s="1">
        <v>30.2847742111523</v>
      </c>
      <c r="AW175" s="1">
        <v>0.97140783335561098</v>
      </c>
      <c r="AX175" s="1">
        <v>15.437529336224401</v>
      </c>
      <c r="AY175" s="1">
        <v>33.1524230805164</v>
      </c>
      <c r="AZ175" s="1">
        <v>0.97838870953253398</v>
      </c>
      <c r="BA175" s="1">
        <v>16.653192994672199</v>
      </c>
      <c r="BB175" s="1">
        <v>282.75104403495698</v>
      </c>
      <c r="BC175" s="1">
        <v>151.94703722000099</v>
      </c>
      <c r="BD175" s="7"/>
      <c r="BE175" s="1"/>
      <c r="BF175" s="1"/>
      <c r="BG175" s="8"/>
      <c r="BH175" s="1"/>
      <c r="BI175" s="1"/>
      <c r="BJ175" s="1"/>
      <c r="BK175" s="8"/>
    </row>
    <row r="176" spans="1:63">
      <c r="A176" s="49"/>
      <c r="B176" s="7" t="s">
        <v>18</v>
      </c>
      <c r="C176" s="17">
        <v>0.12</v>
      </c>
      <c r="D176" s="7">
        <v>43</v>
      </c>
      <c r="E176" s="1">
        <v>0.108572419576018</v>
      </c>
      <c r="F176" s="1">
        <v>27.6803173498554</v>
      </c>
      <c r="G176" s="1">
        <v>0.87749563998990199</v>
      </c>
      <c r="H176" s="1">
        <v>9.1184845420042802</v>
      </c>
      <c r="I176" s="1">
        <v>30.5607736124471</v>
      </c>
      <c r="J176" s="1">
        <v>0.90117490453807803</v>
      </c>
      <c r="K176" s="8">
        <v>10.0513275747003</v>
      </c>
      <c r="L176" s="7">
        <v>41</v>
      </c>
      <c r="M176" s="1">
        <v>0.10348693138238201</v>
      </c>
      <c r="N176" s="1">
        <v>28.157190043917598</v>
      </c>
      <c r="O176" s="1">
        <v>0.891661815561414</v>
      </c>
      <c r="P176" s="1">
        <v>9.6521844671550294</v>
      </c>
      <c r="Q176" s="1">
        <v>31.0504118805197</v>
      </c>
      <c r="R176" s="1">
        <v>0.90918269852382605</v>
      </c>
      <c r="S176" s="8">
        <v>10.418314067669</v>
      </c>
      <c r="T176" s="7"/>
      <c r="U176" s="1"/>
      <c r="V176" s="1"/>
      <c r="W176" s="8"/>
      <c r="X176" s="7"/>
      <c r="Y176" s="1"/>
      <c r="Z176" s="1"/>
      <c r="AA176" s="8"/>
      <c r="AB176" s="7">
        <v>4</v>
      </c>
      <c r="AC176" s="1">
        <v>0.218312692086956</v>
      </c>
      <c r="AD176" s="1">
        <v>29.821311555885799</v>
      </c>
      <c r="AE176" s="1">
        <v>0.93445413622795104</v>
      </c>
      <c r="AF176" s="1">
        <v>11.834547089723999</v>
      </c>
      <c r="AG176" s="1">
        <v>32.630123314794403</v>
      </c>
      <c r="AH176" s="1">
        <v>0.94648383255193902</v>
      </c>
      <c r="AI176" s="1">
        <v>12.715149960578101</v>
      </c>
      <c r="AJ176" s="1">
        <v>188.149927854537</v>
      </c>
      <c r="AK176" s="1">
        <v>134.75578141212401</v>
      </c>
      <c r="AL176" s="7"/>
      <c r="AM176" s="1"/>
      <c r="AN176" s="1"/>
      <c r="AO176" s="8"/>
      <c r="AP176" s="1"/>
      <c r="AQ176" s="1"/>
      <c r="AR176" s="1"/>
      <c r="AS176" s="8"/>
      <c r="AT176" s="7">
        <v>0.08</v>
      </c>
      <c r="AU176" s="1">
        <v>0.25749905688545099</v>
      </c>
      <c r="AV176" s="1">
        <v>29.1702431247448</v>
      </c>
      <c r="AW176" s="1">
        <v>0.95564833882747402</v>
      </c>
      <c r="AX176" s="1">
        <v>13.5309010921329</v>
      </c>
      <c r="AY176" s="1">
        <v>32.025071487920997</v>
      </c>
      <c r="AZ176" s="1">
        <v>0.96447027356328197</v>
      </c>
      <c r="BA176" s="1">
        <v>14.4940813637449</v>
      </c>
      <c r="BB176" s="1">
        <v>136.25698161125101</v>
      </c>
      <c r="BC176" s="1">
        <v>90.351176261901799</v>
      </c>
      <c r="BD176" s="7"/>
      <c r="BE176" s="1"/>
      <c r="BF176" s="1"/>
      <c r="BG176" s="8"/>
      <c r="BH176" s="1"/>
      <c r="BI176" s="1"/>
      <c r="BJ176" s="1"/>
      <c r="BK176" s="8"/>
    </row>
    <row r="177" spans="1:63">
      <c r="A177" s="49"/>
      <c r="B177" s="7" t="s">
        <v>18</v>
      </c>
      <c r="C177" s="17">
        <v>0.06</v>
      </c>
      <c r="D177" s="7">
        <v>47</v>
      </c>
      <c r="E177" s="1">
        <v>5.1486366407600702E-2</v>
      </c>
      <c r="F177" s="1">
        <v>26.1494080870585</v>
      </c>
      <c r="G177" s="1">
        <v>0.82996318456316998</v>
      </c>
      <c r="H177" s="1">
        <v>7.6945703738618603</v>
      </c>
      <c r="I177" s="1">
        <v>29.017823597250199</v>
      </c>
      <c r="J177" s="1">
        <v>0.85451640943932206</v>
      </c>
      <c r="K177" s="8">
        <v>8.3718598902063697</v>
      </c>
      <c r="L177" s="7">
        <v>45</v>
      </c>
      <c r="M177" s="1">
        <v>4.9777138903340998E-2</v>
      </c>
      <c r="N177" s="1">
        <v>26.6242162472678</v>
      </c>
      <c r="O177" s="1">
        <v>0.84772953369580895</v>
      </c>
      <c r="P177" s="1">
        <v>8.1738432230353499</v>
      </c>
      <c r="Q177" s="1">
        <v>29.510707795468399</v>
      </c>
      <c r="R177" s="1">
        <v>0.86627288734232899</v>
      </c>
      <c r="S177" s="8">
        <v>8.7378053227519104</v>
      </c>
      <c r="T177" s="7"/>
      <c r="U177" s="1"/>
      <c r="V177" s="1"/>
      <c r="W177" s="8"/>
      <c r="X177" s="7"/>
      <c r="Y177" s="1"/>
      <c r="Z177" s="1"/>
      <c r="AA177" s="8"/>
      <c r="AB177" s="7">
        <v>2</v>
      </c>
      <c r="AC177" s="1">
        <v>0.11868403785331</v>
      </c>
      <c r="AD177" s="1">
        <v>28.392452839358999</v>
      </c>
      <c r="AE177" s="1">
        <v>0.90899158346355502</v>
      </c>
      <c r="AF177" s="1">
        <v>10.409184418952901</v>
      </c>
      <c r="AG177" s="1">
        <v>31.202626736495301</v>
      </c>
      <c r="AH177" s="1">
        <v>0.922568887929057</v>
      </c>
      <c r="AI177" s="1">
        <v>11.110845033245299</v>
      </c>
      <c r="AJ177" s="1">
        <v>290.07447314262299</v>
      </c>
      <c r="AK177" s="1">
        <v>172.39462399482699</v>
      </c>
      <c r="AL177" s="7"/>
      <c r="AM177" s="1"/>
      <c r="AN177" s="1"/>
      <c r="AO177" s="8"/>
      <c r="AP177" s="1"/>
      <c r="AQ177" s="1"/>
      <c r="AR177" s="1"/>
      <c r="AS177" s="8"/>
      <c r="AT177" s="7">
        <v>0.04</v>
      </c>
      <c r="AU177" s="1">
        <v>0.148104205665123</v>
      </c>
      <c r="AV177" s="1">
        <v>27.9452047611993</v>
      </c>
      <c r="AW177" s="1">
        <v>0.93469867357414305</v>
      </c>
      <c r="AX177" s="1">
        <v>11.8507799707746</v>
      </c>
      <c r="AY177" s="1">
        <v>30.775126804422602</v>
      </c>
      <c r="AZ177" s="1">
        <v>0.944826045256414</v>
      </c>
      <c r="BA177" s="1">
        <v>12.582658856858901</v>
      </c>
      <c r="BB177" s="1">
        <v>164.34687018394399</v>
      </c>
      <c r="BC177" s="1">
        <v>115.56712436676</v>
      </c>
      <c r="BD177" s="7"/>
      <c r="BE177" s="1"/>
      <c r="BF177" s="1"/>
      <c r="BG177" s="8"/>
      <c r="BH177" s="1"/>
      <c r="BI177" s="1"/>
      <c r="BJ177" s="1"/>
      <c r="BK177" s="8"/>
    </row>
    <row r="178" spans="1:63">
      <c r="A178" s="49"/>
      <c r="B178" s="7" t="s">
        <v>49</v>
      </c>
      <c r="C178" s="17">
        <v>1.5</v>
      </c>
      <c r="D178" s="7">
        <v>20</v>
      </c>
      <c r="E178" s="1">
        <v>1.35605612408058</v>
      </c>
      <c r="F178" s="1">
        <v>44.196687835547301</v>
      </c>
      <c r="G178" s="1">
        <v>0.997357143143773</v>
      </c>
      <c r="H178" s="1">
        <v>25.779263587126</v>
      </c>
      <c r="I178" s="1">
        <v>47.385363305319899</v>
      </c>
      <c r="J178" s="1">
        <v>0.99829416379123703</v>
      </c>
      <c r="K178" s="8">
        <v>27.680626713195799</v>
      </c>
      <c r="L178" s="7">
        <v>17</v>
      </c>
      <c r="M178" s="1">
        <v>1.373923355719</v>
      </c>
      <c r="N178" s="1">
        <v>44.790264270304903</v>
      </c>
      <c r="O178" s="1">
        <v>0.99767884198548096</v>
      </c>
      <c r="P178" s="1">
        <v>26.342952936252299</v>
      </c>
      <c r="Q178" s="1">
        <v>48.093426090876903</v>
      </c>
      <c r="R178" s="1">
        <v>0.99849201258700904</v>
      </c>
      <c r="S178" s="8">
        <v>28.2160228346062</v>
      </c>
      <c r="T178" s="13">
        <f>bdrate(E178:E181,F178:F181,M178:M181,N178:N181)</f>
        <v>-0.18815160227646399</v>
      </c>
      <c r="U178" s="12">
        <f>bdrate(E178:E181,H178:H181,M178:M181,P178:P181)</f>
        <v>-0.18133526836139813</v>
      </c>
      <c r="V178" s="12">
        <f>bdrate(E178:E181,I178:I181,M178:M181,Q178:Q181)</f>
        <v>-0.19354862867147737</v>
      </c>
      <c r="W178" s="14">
        <f>bdrate(E178:E181,K178:K181,M178:M181,S178:S181)</f>
        <v>-0.15100529436222321</v>
      </c>
      <c r="X178" s="13">
        <f>bdrate(E180:E183,F180:F183,M180:M183,N180:N183)</f>
        <v>-0.28074820393810707</v>
      </c>
      <c r="Y178" s="12">
        <f>bdrate(E180:E183,H180:H183,M180:M183,P180:P183)</f>
        <v>-0.26468260196625881</v>
      </c>
      <c r="Z178" s="12">
        <f>bdrate(E180:E183,I180:I183,M180:M183,Q180:Q183)</f>
        <v>-0.31459753179754713</v>
      </c>
      <c r="AA178" s="14">
        <f>bdrate(E180:E183,K180:K183,M180:M183,S180:S183)</f>
        <v>-0.22710596221919255</v>
      </c>
      <c r="AB178" s="7">
        <v>256</v>
      </c>
      <c r="AC178" s="1">
        <v>1.41090768574778</v>
      </c>
      <c r="AD178" s="1">
        <v>44.7283991871575</v>
      </c>
      <c r="AE178" s="1">
        <v>0.99781918686320503</v>
      </c>
      <c r="AF178" s="1">
        <v>26.613815453960498</v>
      </c>
      <c r="AG178" s="1">
        <v>47.630703628740299</v>
      </c>
      <c r="AH178" s="1">
        <v>0.99854659309619798</v>
      </c>
      <c r="AI178" s="1">
        <v>28.3761278120367</v>
      </c>
      <c r="AJ178" s="1">
        <v>318.31474757194502</v>
      </c>
      <c r="AK178" s="1">
        <v>160.07881784438999</v>
      </c>
      <c r="AL178" s="13">
        <f>bdrate(E178:E181,F178:F181,AC178:AC181,AD178:AD181)</f>
        <v>-7.0591349469225739E-2</v>
      </c>
      <c r="AM178" s="12">
        <f>bdrate(E178:E181,H178:H181,AC178:AC181,AF178:AF181)</f>
        <v>-0.17135542825007921</v>
      </c>
      <c r="AN178" s="12">
        <f>bdrate(E178:E181,I178:I181,AC178:AC181,AG178:AG181)</f>
        <v>-6.2977243680617856E-2</v>
      </c>
      <c r="AO178" s="14">
        <f>bdrate(E178:E181,K178:K181,AC178:AC181,AI178:AI181)</f>
        <v>-0.1120604064304942</v>
      </c>
      <c r="AP178" s="12">
        <f>bdrate(E180:E183,F180:F183,AC180:AC183,AD180:AD183)</f>
        <v>-3.8520262226771629E-2</v>
      </c>
      <c r="AQ178" s="12">
        <f>bdrate(E180:E183,H180:H183,AC180:AC183,AF180:AF183)</f>
        <v>-0.18123454891801705</v>
      </c>
      <c r="AR178" s="12">
        <f>bdrate(E180:E183,I180:I183,AC180:AC183,AG180:AG183)</f>
        <v>-7.0276066849136121E-2</v>
      </c>
      <c r="AS178" s="14">
        <f>bdrate(E180:E183,K180:K183,AC180:AC183,AI180:AI183)</f>
        <v>-0.12727019396515227</v>
      </c>
      <c r="AT178" s="7">
        <v>6.4</v>
      </c>
      <c r="AU178" s="1">
        <v>1.1504070728067299</v>
      </c>
      <c r="AV178" s="1">
        <v>39.572844785847003</v>
      </c>
      <c r="AW178" s="1">
        <v>0.998683017358308</v>
      </c>
      <c r="AX178" s="1">
        <v>28.804199491589898</v>
      </c>
      <c r="AY178" s="1">
        <v>42.853949906407202</v>
      </c>
      <c r="AZ178" s="1">
        <v>0.99905529790552505</v>
      </c>
      <c r="BA178" s="1">
        <v>30.247051217799001</v>
      </c>
      <c r="BB178" s="1">
        <v>444.080608129501</v>
      </c>
      <c r="BC178" s="1">
        <v>150.813498735427</v>
      </c>
      <c r="BD178" s="13">
        <f>bdrate(E178:E181,F178:F181,AU178:AU181,AV178:AV181)</f>
        <v>0.83882949446087873</v>
      </c>
      <c r="BE178" s="12">
        <f>bdrate(E178:E181,H178:H181,AU178:AU181,AX178:AX181)</f>
        <v>-0.48556673497344649</v>
      </c>
      <c r="BF178" s="12">
        <f>bdrate(E178:E181,I178:I181,AU178:AU181,AY178:AY181)</f>
        <v>0.71101498727347745</v>
      </c>
      <c r="BG178" s="14">
        <f>bdrate(E178:E181,K178:K181,AU178:AU181,BA178:BA181)</f>
        <v>-0.43564519429559612</v>
      </c>
      <c r="BH178" s="12">
        <f>bdrate(E180:E183,F180:F183,AU180:AU183,AV180:AV183)</f>
        <v>0.93584327224328168</v>
      </c>
      <c r="BI178" s="12">
        <f>bdrate(E180:E183,H180:H183,AU180:AU183,AX180:AX183)</f>
        <v>-0.49253813758461851</v>
      </c>
      <c r="BJ178" s="12">
        <f>bdrate(E180:E183,I180:I183,AU180:AU183,AY180:AY183)</f>
        <v>0.72769485671749035</v>
      </c>
      <c r="BK178" s="14">
        <f>bdrate(E180:E183,K180:K183,AU180:AU183,BA180:BA183)</f>
        <v>-0.46370488000041199</v>
      </c>
    </row>
    <row r="179" spans="1:63">
      <c r="A179" s="49"/>
      <c r="B179" s="7" t="s">
        <v>18</v>
      </c>
      <c r="C179" s="17">
        <v>1</v>
      </c>
      <c r="D179" s="7">
        <v>23</v>
      </c>
      <c r="E179" s="1">
        <v>0.99452217247628105</v>
      </c>
      <c r="F179" s="1">
        <v>42.274246737721697</v>
      </c>
      <c r="G179" s="1">
        <v>0.99622863469979805</v>
      </c>
      <c r="H179" s="1">
        <v>24.235013991303301</v>
      </c>
      <c r="I179" s="1">
        <v>45.390188762111599</v>
      </c>
      <c r="J179" s="1">
        <v>0.99743573987780998</v>
      </c>
      <c r="K179" s="8">
        <v>25.9103792146926</v>
      </c>
      <c r="L179" s="7">
        <v>21</v>
      </c>
      <c r="M179" s="1">
        <v>0.90351108623814003</v>
      </c>
      <c r="N179" s="1">
        <v>42.624027198794302</v>
      </c>
      <c r="O179" s="1">
        <v>0.99644345077201202</v>
      </c>
      <c r="P179" s="1">
        <v>24.489711756360599</v>
      </c>
      <c r="Q179" s="1">
        <v>45.752488694031697</v>
      </c>
      <c r="R179" s="1">
        <v>0.99753242641006901</v>
      </c>
      <c r="S179" s="8">
        <v>26.077298865917999</v>
      </c>
      <c r="T179" s="7"/>
      <c r="U179" s="1"/>
      <c r="V179" s="1"/>
      <c r="W179" s="8"/>
      <c r="X179" s="7"/>
      <c r="Y179" s="1"/>
      <c r="Z179" s="1"/>
      <c r="AA179" s="8"/>
      <c r="AB179" s="7">
        <v>128</v>
      </c>
      <c r="AC179" s="1">
        <v>1.0044364939771799</v>
      </c>
      <c r="AD179" s="1">
        <v>42.825393634824898</v>
      </c>
      <c r="AE179" s="1">
        <v>0.99698315434843399</v>
      </c>
      <c r="AF179" s="1">
        <v>25.204469087139898</v>
      </c>
      <c r="AG179" s="1">
        <v>45.742975992931903</v>
      </c>
      <c r="AH179" s="1">
        <v>0.99784324505475297</v>
      </c>
      <c r="AI179" s="1">
        <v>26.661991974905</v>
      </c>
      <c r="AJ179" s="1">
        <v>275.17777037620499</v>
      </c>
      <c r="AK179" s="1">
        <v>150.097132444381</v>
      </c>
      <c r="AL179" s="7"/>
      <c r="AM179" s="1"/>
      <c r="AN179" s="1"/>
      <c r="AO179" s="8"/>
      <c r="AP179" s="1"/>
      <c r="AQ179" s="1"/>
      <c r="AR179" s="1"/>
      <c r="AS179" s="8"/>
      <c r="AT179" s="7">
        <v>3.2</v>
      </c>
      <c r="AU179" s="1">
        <v>0.82369750026649602</v>
      </c>
      <c r="AV179" s="1">
        <v>37.899088516247197</v>
      </c>
      <c r="AW179" s="1">
        <v>0.99795662469708901</v>
      </c>
      <c r="AX179" s="1">
        <v>26.8965185998815</v>
      </c>
      <c r="AY179" s="1">
        <v>41.302069519471701</v>
      </c>
      <c r="AZ179" s="1">
        <v>0.99849298317908997</v>
      </c>
      <c r="BA179" s="1">
        <v>28.218819001820801</v>
      </c>
      <c r="BB179" s="1">
        <v>786.84553384780804</v>
      </c>
      <c r="BC179" s="1">
        <v>230.26460695266701</v>
      </c>
      <c r="BD179" s="7"/>
      <c r="BE179" s="1"/>
      <c r="BF179" s="1"/>
      <c r="BG179" s="8"/>
      <c r="BH179" s="1"/>
      <c r="BI179" s="1"/>
      <c r="BJ179" s="1"/>
      <c r="BK179" s="8"/>
    </row>
    <row r="180" spans="1:63">
      <c r="A180" s="49"/>
      <c r="B180" s="7" t="s">
        <v>18</v>
      </c>
      <c r="C180" s="17">
        <v>0.5</v>
      </c>
      <c r="D180" s="7">
        <v>30</v>
      </c>
      <c r="E180" s="1">
        <v>0.45817010446647399</v>
      </c>
      <c r="F180" s="1">
        <v>37.847704772522597</v>
      </c>
      <c r="G180" s="1">
        <v>0.99061048538995</v>
      </c>
      <c r="H180" s="1">
        <v>20.273568579602401</v>
      </c>
      <c r="I180" s="1">
        <v>40.958045553823702</v>
      </c>
      <c r="J180" s="1">
        <v>0.99274658089359702</v>
      </c>
      <c r="K180" s="8">
        <v>21.394572280478101</v>
      </c>
      <c r="L180" s="7">
        <v>27</v>
      </c>
      <c r="M180" s="1">
        <v>0.463930417865899</v>
      </c>
      <c r="N180" s="1">
        <v>39.165898532914298</v>
      </c>
      <c r="O180" s="1">
        <v>0.99278531027628902</v>
      </c>
      <c r="P180" s="1">
        <v>21.417823415182198</v>
      </c>
      <c r="Q180" s="1">
        <v>42.302025331640998</v>
      </c>
      <c r="R180" s="1">
        <v>0.99431319641372595</v>
      </c>
      <c r="S180" s="8">
        <v>22.451317713734198</v>
      </c>
      <c r="T180" s="7"/>
      <c r="U180" s="1"/>
      <c r="V180" s="1"/>
      <c r="W180" s="8"/>
      <c r="X180" s="7"/>
      <c r="Y180" s="1"/>
      <c r="Z180" s="1"/>
      <c r="AA180" s="8"/>
      <c r="AB180" s="7">
        <v>32</v>
      </c>
      <c r="AC180" s="1">
        <v>0.52652768894574098</v>
      </c>
      <c r="AD180" s="1">
        <v>39.008790348966798</v>
      </c>
      <c r="AE180" s="1">
        <v>0.99355254456596598</v>
      </c>
      <c r="AF180" s="1">
        <v>21.906116511008499</v>
      </c>
      <c r="AG180" s="1">
        <v>42.1037511797295</v>
      </c>
      <c r="AH180" s="1">
        <v>0.99478046983675705</v>
      </c>
      <c r="AI180" s="1">
        <v>22.823685883185298</v>
      </c>
      <c r="AJ180" s="1">
        <v>194.05875039100599</v>
      </c>
      <c r="AK180" s="1">
        <v>106.34525179862899</v>
      </c>
      <c r="AL180" s="7"/>
      <c r="AM180" s="1"/>
      <c r="AN180" s="1"/>
      <c r="AO180" s="8"/>
      <c r="AP180" s="1"/>
      <c r="AQ180" s="1"/>
      <c r="AR180" s="1"/>
      <c r="AS180" s="8"/>
      <c r="AT180" s="7">
        <v>1.28</v>
      </c>
      <c r="AU180" s="1">
        <v>0.55528928152648904</v>
      </c>
      <c r="AV180" s="1">
        <v>35.526226689417399</v>
      </c>
      <c r="AW180" s="1">
        <v>0.99655360648253899</v>
      </c>
      <c r="AX180" s="1">
        <v>24.626351352732598</v>
      </c>
      <c r="AY180" s="1">
        <v>39.143882638266199</v>
      </c>
      <c r="AZ180" s="1">
        <v>0.99733868053809505</v>
      </c>
      <c r="BA180" s="1">
        <v>25.749029900803698</v>
      </c>
      <c r="BB180" s="1">
        <v>871.32183003425598</v>
      </c>
      <c r="BC180" s="1">
        <v>210.971263170242</v>
      </c>
      <c r="BD180" s="7"/>
      <c r="BE180" s="1"/>
      <c r="BF180" s="1"/>
      <c r="BG180" s="8"/>
      <c r="BH180" s="1"/>
      <c r="BI180" s="1"/>
      <c r="BJ180" s="1"/>
      <c r="BK180" s="8"/>
    </row>
    <row r="181" spans="1:63">
      <c r="A181" s="49"/>
      <c r="B181" s="7" t="s">
        <v>18</v>
      </c>
      <c r="C181" s="17">
        <v>0.25</v>
      </c>
      <c r="D181" s="7">
        <v>36</v>
      </c>
      <c r="E181" s="1">
        <v>0.22219379597057801</v>
      </c>
      <c r="F181" s="1">
        <v>34.141243266005702</v>
      </c>
      <c r="G181" s="1">
        <v>0.97927405516850796</v>
      </c>
      <c r="H181" s="1">
        <v>16.8348566218902</v>
      </c>
      <c r="I181" s="1">
        <v>37.355288545417103</v>
      </c>
      <c r="J181" s="1">
        <v>0.98275005588258102</v>
      </c>
      <c r="K181" s="8">
        <v>17.632123075203399</v>
      </c>
      <c r="L181" s="7">
        <v>33</v>
      </c>
      <c r="M181" s="1">
        <v>0.22816464129623701</v>
      </c>
      <c r="N181" s="1">
        <v>35.728512025062798</v>
      </c>
      <c r="O181" s="1">
        <v>0.98497524743377196</v>
      </c>
      <c r="P181" s="1">
        <v>18.231926714055501</v>
      </c>
      <c r="Q181" s="1">
        <v>39.0487988540253</v>
      </c>
      <c r="R181" s="1">
        <v>0.98715349411636599</v>
      </c>
      <c r="S181" s="8">
        <v>18.912149798662998</v>
      </c>
      <c r="T181" s="7"/>
      <c r="U181" s="1"/>
      <c r="V181" s="1"/>
      <c r="W181" s="8"/>
      <c r="X181" s="7"/>
      <c r="Y181" s="1"/>
      <c r="Z181" s="1"/>
      <c r="AA181" s="8"/>
      <c r="AB181" s="7">
        <v>8</v>
      </c>
      <c r="AC181" s="1">
        <v>0.25317196993923802</v>
      </c>
      <c r="AD181" s="1">
        <v>35.082912642672902</v>
      </c>
      <c r="AE181" s="1">
        <v>0.98538183913390198</v>
      </c>
      <c r="AF181" s="1">
        <v>18.3510726321588</v>
      </c>
      <c r="AG181" s="1">
        <v>38.427554548452299</v>
      </c>
      <c r="AH181" s="1">
        <v>0.98723911020880695</v>
      </c>
      <c r="AI181" s="1">
        <v>18.941190420778501</v>
      </c>
      <c r="AJ181" s="1">
        <v>153.96862769126801</v>
      </c>
      <c r="AK181" s="1">
        <v>99.4514062404632</v>
      </c>
      <c r="AL181" s="7"/>
      <c r="AM181" s="1"/>
      <c r="AN181" s="1"/>
      <c r="AO181" s="8"/>
      <c r="AP181" s="1"/>
      <c r="AQ181" s="1"/>
      <c r="AR181" s="1"/>
      <c r="AS181" s="8"/>
      <c r="AT181" s="7">
        <v>0.32</v>
      </c>
      <c r="AU181" s="1">
        <v>0.27774824112567897</v>
      </c>
      <c r="AV181" s="1">
        <v>32.264027796141399</v>
      </c>
      <c r="AW181" s="1">
        <v>0.99240574858346098</v>
      </c>
      <c r="AX181" s="1">
        <v>21.195150291335299</v>
      </c>
      <c r="AY181" s="1">
        <v>36.146896154278899</v>
      </c>
      <c r="AZ181" s="1">
        <v>0.99371004177049305</v>
      </c>
      <c r="BA181" s="1">
        <v>22.0135223861753</v>
      </c>
      <c r="BB181" s="1">
        <v>461.89436841011002</v>
      </c>
      <c r="BC181" s="1">
        <v>236.84867691993699</v>
      </c>
      <c r="BD181" s="7"/>
      <c r="BE181" s="1"/>
      <c r="BF181" s="1"/>
      <c r="BG181" s="8"/>
      <c r="BH181" s="1"/>
      <c r="BI181" s="1"/>
      <c r="BJ181" s="1"/>
      <c r="BK181" s="8"/>
    </row>
    <row r="182" spans="1:63">
      <c r="A182" s="49"/>
      <c r="B182" s="7" t="s">
        <v>18</v>
      </c>
      <c r="C182" s="17">
        <v>0.12</v>
      </c>
      <c r="D182" s="7">
        <v>41</v>
      </c>
      <c r="E182" s="1">
        <v>0.115428792239633</v>
      </c>
      <c r="F182" s="1">
        <v>31.1330796225059</v>
      </c>
      <c r="G182" s="1">
        <v>0.96204983606917605</v>
      </c>
      <c r="H182" s="1">
        <v>14.207863437711699</v>
      </c>
      <c r="I182" s="1">
        <v>34.462262364475698</v>
      </c>
      <c r="J182" s="1">
        <v>0.96712364071800005</v>
      </c>
      <c r="K182" s="8">
        <v>14.8311628210772</v>
      </c>
      <c r="L182" s="7">
        <v>38</v>
      </c>
      <c r="M182" s="1">
        <v>0.119717380876239</v>
      </c>
      <c r="N182" s="1">
        <v>32.857190467366202</v>
      </c>
      <c r="O182" s="1">
        <v>0.97242626039747704</v>
      </c>
      <c r="P182" s="1">
        <v>15.595043300638199</v>
      </c>
      <c r="Q182" s="1">
        <v>36.3523898121503</v>
      </c>
      <c r="R182" s="1">
        <v>0.97541219664082701</v>
      </c>
      <c r="S182" s="8">
        <v>16.092802688051101</v>
      </c>
      <c r="T182" s="7"/>
      <c r="U182" s="1"/>
      <c r="V182" s="1"/>
      <c r="W182" s="8"/>
      <c r="X182" s="7"/>
      <c r="Y182" s="1"/>
      <c r="Z182" s="1"/>
      <c r="AA182" s="8"/>
      <c r="AB182" s="7">
        <v>4</v>
      </c>
      <c r="AC182" s="1">
        <v>0.17114180257968201</v>
      </c>
      <c r="AD182" s="1">
        <v>32.873041056806798</v>
      </c>
      <c r="AE182" s="1">
        <v>0.97768561504497198</v>
      </c>
      <c r="AF182" s="1">
        <v>16.514150789923399</v>
      </c>
      <c r="AG182" s="1">
        <v>36.324996009246497</v>
      </c>
      <c r="AH182" s="1">
        <v>0.98009704386028296</v>
      </c>
      <c r="AI182" s="1">
        <v>17.010824140516199</v>
      </c>
      <c r="AJ182" s="1">
        <v>209.94798564910801</v>
      </c>
      <c r="AK182" s="1">
        <v>148.396399021148</v>
      </c>
      <c r="AL182" s="7"/>
      <c r="AM182" s="1"/>
      <c r="AN182" s="1"/>
      <c r="AO182" s="8"/>
      <c r="AP182" s="1"/>
      <c r="AQ182" s="1"/>
      <c r="AR182" s="1"/>
      <c r="AS182" s="8"/>
      <c r="AT182" s="7">
        <v>0.08</v>
      </c>
      <c r="AU182" s="1">
        <v>0.135793758661123</v>
      </c>
      <c r="AV182" s="1">
        <v>28.816504959409698</v>
      </c>
      <c r="AW182" s="1">
        <v>0.98281311256821702</v>
      </c>
      <c r="AX182" s="1">
        <v>17.648027675013001</v>
      </c>
      <c r="AY182" s="1">
        <v>32.598097586704597</v>
      </c>
      <c r="AZ182" s="1">
        <v>0.98504248495940006</v>
      </c>
      <c r="BA182" s="1">
        <v>18.2514055177882</v>
      </c>
      <c r="BB182" s="1">
        <v>145.27620768547001</v>
      </c>
      <c r="BC182" s="1">
        <v>97.003810405731201</v>
      </c>
      <c r="BD182" s="7"/>
      <c r="BE182" s="1"/>
      <c r="BF182" s="1"/>
      <c r="BG182" s="8"/>
      <c r="BH182" s="1"/>
      <c r="BI182" s="1"/>
      <c r="BJ182" s="1"/>
      <c r="BK182" s="8"/>
    </row>
    <row r="183" spans="1:63">
      <c r="A183" s="49"/>
      <c r="B183" s="7" t="s">
        <v>18</v>
      </c>
      <c r="C183" s="17">
        <v>0.06</v>
      </c>
      <c r="D183" s="7">
        <v>46</v>
      </c>
      <c r="E183" s="1">
        <v>5.6304631702377102E-2</v>
      </c>
      <c r="F183" s="1">
        <v>28.260239721227101</v>
      </c>
      <c r="G183" s="1">
        <v>0.93346349346653501</v>
      </c>
      <c r="H183" s="1">
        <v>11.7694000528667</v>
      </c>
      <c r="I183" s="1">
        <v>31.7512128978553</v>
      </c>
      <c r="J183" s="1">
        <v>0.940135119231848</v>
      </c>
      <c r="K183" s="8">
        <v>12.2282787813624</v>
      </c>
      <c r="L183" s="7">
        <v>44</v>
      </c>
      <c r="M183" s="1">
        <v>5.33105479160004E-2</v>
      </c>
      <c r="N183" s="1">
        <v>29.549156633281001</v>
      </c>
      <c r="O183" s="1">
        <v>0.94711669099353402</v>
      </c>
      <c r="P183" s="1">
        <v>12.7668137806312</v>
      </c>
      <c r="Q183" s="1">
        <v>33.262640099557501</v>
      </c>
      <c r="R183" s="1">
        <v>0.95143147408087303</v>
      </c>
      <c r="S183" s="8">
        <v>13.136450773979499</v>
      </c>
      <c r="T183" s="7"/>
      <c r="U183" s="1"/>
      <c r="V183" s="1"/>
      <c r="W183" s="8"/>
      <c r="X183" s="7"/>
      <c r="Y183" s="1"/>
      <c r="Z183" s="1"/>
      <c r="AA183" s="8"/>
      <c r="AB183" s="7">
        <v>2</v>
      </c>
      <c r="AC183" s="1">
        <v>0.110519267668692</v>
      </c>
      <c r="AD183" s="1">
        <v>31.001047195158499</v>
      </c>
      <c r="AE183" s="1">
        <v>0.96766577161363998</v>
      </c>
      <c r="AF183" s="1">
        <v>14.903374984572199</v>
      </c>
      <c r="AG183" s="1">
        <v>34.516004025433098</v>
      </c>
      <c r="AH183" s="1">
        <v>0.97075839737335601</v>
      </c>
      <c r="AI183" s="1">
        <v>15.3399882894965</v>
      </c>
      <c r="AJ183" s="1">
        <v>342.79123878478998</v>
      </c>
      <c r="AK183" s="1">
        <v>202.833747148513</v>
      </c>
      <c r="AL183" s="7"/>
      <c r="AM183" s="1"/>
      <c r="AN183" s="1"/>
      <c r="AO183" s="8"/>
      <c r="AP183" s="1"/>
      <c r="AQ183" s="1"/>
      <c r="AR183" s="1"/>
      <c r="AS183" s="8"/>
      <c r="AT183" s="7">
        <v>0.04</v>
      </c>
      <c r="AU183" s="1">
        <v>9.0075018654727598E-2</v>
      </c>
      <c r="AV183" s="1">
        <v>27.7682360931408</v>
      </c>
      <c r="AW183" s="1">
        <v>0.97387894504074701</v>
      </c>
      <c r="AX183" s="1">
        <v>15.8300928705507</v>
      </c>
      <c r="AY183" s="1">
        <v>31.260684494715399</v>
      </c>
      <c r="AZ183" s="1">
        <v>0.97683392013941295</v>
      </c>
      <c r="BA183" s="1">
        <v>16.3514745084337</v>
      </c>
      <c r="BB183" s="1">
        <v>168.942531108856</v>
      </c>
      <c r="BC183" s="1">
        <v>124.37351036071701</v>
      </c>
      <c r="BD183" s="7"/>
      <c r="BE183" s="1"/>
      <c r="BF183" s="1"/>
      <c r="BG183" s="8"/>
      <c r="BH183" s="1"/>
      <c r="BI183" s="1"/>
      <c r="BJ183" s="1"/>
      <c r="BK183" s="8"/>
    </row>
    <row r="184" spans="1:63">
      <c r="A184" s="49"/>
      <c r="B184" s="7" t="s">
        <v>50</v>
      </c>
      <c r="C184" s="17">
        <v>1.5</v>
      </c>
      <c r="D184" s="7">
        <v>23</v>
      </c>
      <c r="E184" s="1">
        <v>1.4626110777182699</v>
      </c>
      <c r="F184" s="1">
        <v>41.368107686905397</v>
      </c>
      <c r="G184" s="1">
        <v>0.99223855713865705</v>
      </c>
      <c r="H184" s="1">
        <v>21.100575353822499</v>
      </c>
      <c r="I184" s="1">
        <v>44.596945050184402</v>
      </c>
      <c r="J184" s="1">
        <v>0.99427824556198197</v>
      </c>
      <c r="K184" s="8">
        <v>22.424707848569302</v>
      </c>
      <c r="L184" s="7">
        <v>21</v>
      </c>
      <c r="M184" s="1">
        <v>1.3957651369024799</v>
      </c>
      <c r="N184" s="1">
        <v>41.463976910929397</v>
      </c>
      <c r="O184" s="1">
        <v>0.99252384700321294</v>
      </c>
      <c r="P184" s="1">
        <v>21.2632181952164</v>
      </c>
      <c r="Q184" s="1">
        <v>44.617451446704401</v>
      </c>
      <c r="R184" s="1">
        <v>0.99448481763844299</v>
      </c>
      <c r="S184" s="8">
        <v>22.584401228777701</v>
      </c>
      <c r="T184" s="13">
        <f>bdrate(E184:E187,F184:F187,M184:M187,N184:N187)</f>
        <v>-8.6527712171827864E-2</v>
      </c>
      <c r="U184" s="12">
        <f>bdrate(E184:E187,H184:H187,M184:M187,P184:P187)</f>
        <v>-0.10527925784461578</v>
      </c>
      <c r="V184" s="12">
        <f>bdrate(E184:E187,I184:I187,M184:M187,Q184:Q187)</f>
        <v>-6.8242226922192617E-2</v>
      </c>
      <c r="W184" s="14">
        <f>bdrate(E184:E187,K184:K187,M184:M187,S184:S187)</f>
        <v>-9.4084239900436795E-2</v>
      </c>
      <c r="X184" s="13">
        <f>bdrate(E186:E189,F186:F189,M186:M189,N186:N189)</f>
        <v>-0.13543261848797228</v>
      </c>
      <c r="Y184" s="12">
        <f>bdrate(E186:E189,H186:H189,M186:M189,P186:P189)</f>
        <v>-0.16477491422585477</v>
      </c>
      <c r="Z184" s="12">
        <f>bdrate(E186:E189,I186:I189,M186:M189,Q186:Q189)</f>
        <v>-0.12773883227867955</v>
      </c>
      <c r="AA184" s="14">
        <f>bdrate(E186:E189,K186:K189,M186:M189,S186:S189)</f>
        <v>-0.14045673146588811</v>
      </c>
      <c r="AB184" s="7">
        <v>128</v>
      </c>
      <c r="AC184" s="1">
        <v>1.4860856592548499</v>
      </c>
      <c r="AD184" s="1">
        <v>41.872115556677798</v>
      </c>
      <c r="AE184" s="1">
        <v>0.99351779761968195</v>
      </c>
      <c r="AF184" s="1">
        <v>21.882774140191401</v>
      </c>
      <c r="AG184" s="1">
        <v>45.079723542578101</v>
      </c>
      <c r="AH184" s="1">
        <v>0.99472968155750097</v>
      </c>
      <c r="AI184" s="1">
        <v>22.781631431097299</v>
      </c>
      <c r="AJ184" s="1">
        <v>254.42142057418801</v>
      </c>
      <c r="AK184" s="1">
        <v>142.525505781173</v>
      </c>
      <c r="AL184" s="13">
        <f>bdrate(E184:E187,F184:F187,AC184:AC187,AD184:AD187)</f>
        <v>-8.6628877388237324E-2</v>
      </c>
      <c r="AM184" s="12">
        <f>bdrate(E184:E187,H184:H187,AC184:AC187,AF184:AF187)</f>
        <v>-0.14252409516138009</v>
      </c>
      <c r="AN184" s="12">
        <f>bdrate(E184:E187,I184:I187,AC184:AC187,AG184:AG187)</f>
        <v>-0.11866065131466907</v>
      </c>
      <c r="AO184" s="14">
        <f>bdrate(E184:E187,K184:K187,AC184:AC187,AI184:AI187)</f>
        <v>-8.9225403444288309E-2</v>
      </c>
      <c r="AP184" s="12">
        <f>bdrate(E186:E189,F186:F189,AC186:AC189,AD186:AD189)</f>
        <v>-0.1192358225429716</v>
      </c>
      <c r="AQ184" s="12">
        <f>bdrate(E186:E189,H186:H189,AC186:AC189,AF186:AF189)</f>
        <v>-0.18582777952201179</v>
      </c>
      <c r="AR184" s="12">
        <f>bdrate(E186:E189,I186:I189,AC186:AC189,AG186:AG189)</f>
        <v>-0.2031530410532808</v>
      </c>
      <c r="AS184" s="14">
        <f>bdrate(E186:E189,K186:K189,AC186:AC189,AI186:AI189)</f>
        <v>-0.11852528370726967</v>
      </c>
      <c r="AT184" s="7">
        <v>3.2</v>
      </c>
      <c r="AU184" s="1">
        <v>1.5799672308077799</v>
      </c>
      <c r="AV184" s="1">
        <v>40.660720124127899</v>
      </c>
      <c r="AW184" s="1">
        <v>0.99682175770538795</v>
      </c>
      <c r="AX184" s="1">
        <v>24.978129972476601</v>
      </c>
      <c r="AY184" s="1">
        <v>44.2660651682233</v>
      </c>
      <c r="AZ184" s="1">
        <v>0.99746565764074901</v>
      </c>
      <c r="BA184" s="1">
        <v>25.961347175148799</v>
      </c>
      <c r="BB184" s="1">
        <v>761.11944508552494</v>
      </c>
      <c r="BC184" s="1">
        <v>286.49210262298499</v>
      </c>
      <c r="BD184" s="13">
        <f>bdrate(E184:E187,F184:F187,AU184:AU187,AV184:AV187)</f>
        <v>0.3336679689733868</v>
      </c>
      <c r="BE184" s="12">
        <f>bdrate(E184:E187,H184:H187,AU184:AU187,AX184:AX187)</f>
        <v>-0.46946519633581762</v>
      </c>
      <c r="BF184" s="12">
        <f>bdrate(E184:E187,I184:I187,AU184:AU187,AY184:AY187)</f>
        <v>0.21941399706496023</v>
      </c>
      <c r="BG184" s="14">
        <f>bdrate(E184:E187,K184:K187,AU184:AU187,BA184:BA187)</f>
        <v>-0.42516290991912964</v>
      </c>
      <c r="BH184" s="12">
        <f>bdrate(E186:E189,F186:F189,AU186:AU189,AV186:AV189)</f>
        <v>0.84745939406913395</v>
      </c>
      <c r="BI184" s="12">
        <f>bdrate(E186:E189,H186:H189,AU186:AU189,AX186:AX189)</f>
        <v>-0.44348903033257403</v>
      </c>
      <c r="BJ184" s="12">
        <f>bdrate(E186:E189,I186:I189,AU186:AU189,AY186:AY189)</f>
        <v>1.0841173100256061</v>
      </c>
      <c r="BK184" s="14">
        <f>bdrate(E186:E189,K186:K189,AU186:AU189,BA186:BA189)</f>
        <v>-0.43100189549576928</v>
      </c>
    </row>
    <row r="185" spans="1:63">
      <c r="A185" s="49"/>
      <c r="B185" s="7" t="s">
        <v>18</v>
      </c>
      <c r="C185" s="17">
        <v>1</v>
      </c>
      <c r="D185" s="7">
        <v>26</v>
      </c>
      <c r="E185" s="1">
        <v>0.92187263297736799</v>
      </c>
      <c r="F185" s="1">
        <v>38.672099165877498</v>
      </c>
      <c r="G185" s="1">
        <v>0.985951004897618</v>
      </c>
      <c r="H185" s="1">
        <v>18.5235473889757</v>
      </c>
      <c r="I185" s="1">
        <v>42.180130649616402</v>
      </c>
      <c r="J185" s="1">
        <v>0.98838898954949495</v>
      </c>
      <c r="K185" s="8">
        <v>19.351299840526998</v>
      </c>
      <c r="L185" s="7">
        <v>24</v>
      </c>
      <c r="M185" s="1">
        <v>0.92851373492697398</v>
      </c>
      <c r="N185" s="1">
        <v>39.0926777317598</v>
      </c>
      <c r="O185" s="1">
        <v>0.98742900250649002</v>
      </c>
      <c r="P185" s="1">
        <v>19.006302602027301</v>
      </c>
      <c r="Q185" s="1">
        <v>42.467826652811802</v>
      </c>
      <c r="R185" s="1">
        <v>0.98965717524305996</v>
      </c>
      <c r="S185" s="8">
        <v>19.853608336973601</v>
      </c>
      <c r="T185" s="7"/>
      <c r="U185" s="1"/>
      <c r="V185" s="1"/>
      <c r="W185" s="8"/>
      <c r="X185" s="7"/>
      <c r="Y185" s="1"/>
      <c r="Z185" s="1"/>
      <c r="AA185" s="8"/>
      <c r="AB185" s="7">
        <v>64</v>
      </c>
      <c r="AC185" s="1">
        <v>0.95240438886573497</v>
      </c>
      <c r="AD185" s="1">
        <v>39.1689081139941</v>
      </c>
      <c r="AE185" s="1">
        <v>0.98840658935809</v>
      </c>
      <c r="AF185" s="1">
        <v>19.3578878102857</v>
      </c>
      <c r="AG185" s="1">
        <v>42.698213151078697</v>
      </c>
      <c r="AH185" s="1">
        <v>0.98991303838058697</v>
      </c>
      <c r="AI185" s="1">
        <v>19.962396316461099</v>
      </c>
      <c r="AJ185" s="1">
        <v>226.94183063507</v>
      </c>
      <c r="AK185" s="1">
        <v>136.02225327491701</v>
      </c>
      <c r="AL185" s="7"/>
      <c r="AM185" s="1"/>
      <c r="AN185" s="1"/>
      <c r="AO185" s="8"/>
      <c r="AP185" s="1"/>
      <c r="AQ185" s="1"/>
      <c r="AR185" s="1"/>
      <c r="AS185" s="8"/>
      <c r="AT185" s="7">
        <v>1.28</v>
      </c>
      <c r="AU185" s="1">
        <v>0.97003720217837597</v>
      </c>
      <c r="AV185" s="1">
        <v>37.801732820632999</v>
      </c>
      <c r="AW185" s="1">
        <v>0.99369411225356097</v>
      </c>
      <c r="AX185" s="1">
        <v>22.0025376456435</v>
      </c>
      <c r="AY185" s="1">
        <v>41.769190089479899</v>
      </c>
      <c r="AZ185" s="1">
        <v>0.99462168579605603</v>
      </c>
      <c r="BA185" s="1">
        <v>22.693538296596302</v>
      </c>
      <c r="BB185" s="1">
        <v>785.82644033431995</v>
      </c>
      <c r="BC185" s="1">
        <v>340.02745866775501</v>
      </c>
      <c r="BD185" s="7"/>
      <c r="BE185" s="1"/>
      <c r="BF185" s="1"/>
      <c r="BG185" s="8"/>
      <c r="BH185" s="1"/>
      <c r="BI185" s="1"/>
      <c r="BJ185" s="1"/>
      <c r="BK185" s="8"/>
    </row>
    <row r="186" spans="1:63">
      <c r="A186" s="49"/>
      <c r="B186" s="7" t="s">
        <v>18</v>
      </c>
      <c r="C186" s="17">
        <v>0.5</v>
      </c>
      <c r="D186" s="7">
        <v>29</v>
      </c>
      <c r="E186" s="1">
        <v>0.47564824568935699</v>
      </c>
      <c r="F186" s="1">
        <v>36.107859867148903</v>
      </c>
      <c r="G186" s="1">
        <v>0.97334944380020505</v>
      </c>
      <c r="H186" s="1">
        <v>15.742937227732099</v>
      </c>
      <c r="I186" s="1">
        <v>39.922925641337102</v>
      </c>
      <c r="J186" s="1">
        <v>0.97621387503586698</v>
      </c>
      <c r="K186" s="8">
        <v>16.236763038126401</v>
      </c>
      <c r="L186" s="7">
        <v>28</v>
      </c>
      <c r="M186" s="1">
        <v>0.412074337338379</v>
      </c>
      <c r="N186" s="1">
        <v>36.007944021927401</v>
      </c>
      <c r="O186" s="1">
        <v>0.97320025753403405</v>
      </c>
      <c r="P186" s="1">
        <v>15.718693793349299</v>
      </c>
      <c r="Q186" s="1">
        <v>39.775428631354401</v>
      </c>
      <c r="R186" s="1">
        <v>0.97581583041373499</v>
      </c>
      <c r="S186" s="8">
        <v>16.164688204233201</v>
      </c>
      <c r="T186" s="7"/>
      <c r="U186" s="1"/>
      <c r="V186" s="1"/>
      <c r="W186" s="8"/>
      <c r="X186" s="7"/>
      <c r="Y186" s="1"/>
      <c r="Z186" s="1"/>
      <c r="AA186" s="8"/>
      <c r="AB186" s="7">
        <v>32</v>
      </c>
      <c r="AC186" s="1">
        <v>0.53196462267608502</v>
      </c>
      <c r="AD186" s="1">
        <v>36.780596392900897</v>
      </c>
      <c r="AE186" s="1">
        <v>0.97866196847369402</v>
      </c>
      <c r="AF186" s="1">
        <v>16.708456475495499</v>
      </c>
      <c r="AG186" s="1">
        <v>40.641935985503203</v>
      </c>
      <c r="AH186" s="1">
        <v>0.98041587287768395</v>
      </c>
      <c r="AI186" s="1">
        <v>17.0809578048116</v>
      </c>
      <c r="AJ186" s="1">
        <v>181.45417737960801</v>
      </c>
      <c r="AK186" s="1">
        <v>100.420263528823</v>
      </c>
      <c r="AL186" s="7"/>
      <c r="AM186" s="1"/>
      <c r="AN186" s="1"/>
      <c r="AO186" s="8"/>
      <c r="AP186" s="1"/>
      <c r="AQ186" s="1"/>
      <c r="AR186" s="1"/>
      <c r="AS186" s="8"/>
      <c r="AT186" s="7">
        <v>0.32</v>
      </c>
      <c r="AU186" s="1">
        <v>0.438298068404816</v>
      </c>
      <c r="AV186" s="1">
        <v>34.802865489505201</v>
      </c>
      <c r="AW186" s="1">
        <v>0.98435533297996902</v>
      </c>
      <c r="AX186" s="1">
        <v>18.056336759119802</v>
      </c>
      <c r="AY186" s="1">
        <v>38.943617631587003</v>
      </c>
      <c r="AZ186" s="1">
        <v>0.98587262055735403</v>
      </c>
      <c r="BA186" s="1">
        <v>18.499383901080801</v>
      </c>
      <c r="BB186" s="1">
        <v>408.19798088073702</v>
      </c>
      <c r="BC186" s="1">
        <v>216.65135693550101</v>
      </c>
      <c r="BD186" s="7"/>
      <c r="BE186" s="1"/>
      <c r="BF186" s="1"/>
      <c r="BG186" s="8"/>
      <c r="BH186" s="1"/>
      <c r="BI186" s="1"/>
      <c r="BJ186" s="1"/>
      <c r="BK186" s="8"/>
    </row>
    <row r="187" spans="1:63">
      <c r="A187" s="49"/>
      <c r="B187" s="7" t="s">
        <v>18</v>
      </c>
      <c r="C187" s="17">
        <v>0.25</v>
      </c>
      <c r="D187" s="7">
        <v>31</v>
      </c>
      <c r="E187" s="1">
        <v>0.242611398847982</v>
      </c>
      <c r="F187" s="1">
        <v>34.592173368814599</v>
      </c>
      <c r="G187" s="1">
        <v>0.95938144106121703</v>
      </c>
      <c r="H187" s="1">
        <v>13.9127548851458</v>
      </c>
      <c r="I187" s="1">
        <v>38.572323929444799</v>
      </c>
      <c r="J187" s="1">
        <v>0.96262983900949695</v>
      </c>
      <c r="K187" s="8">
        <v>14.274750312074501</v>
      </c>
      <c r="L187" s="7">
        <v>30</v>
      </c>
      <c r="M187" s="1">
        <v>0.21041116470253901</v>
      </c>
      <c r="N187" s="1">
        <v>34.575654843684802</v>
      </c>
      <c r="O187" s="1">
        <v>0.959730769752276</v>
      </c>
      <c r="P187" s="1">
        <v>13.950266719163</v>
      </c>
      <c r="Q187" s="1">
        <v>38.541709587281801</v>
      </c>
      <c r="R187" s="1">
        <v>0.96253958940025297</v>
      </c>
      <c r="S187" s="8">
        <v>14.2642746667709</v>
      </c>
      <c r="T187" s="7"/>
      <c r="U187" s="1"/>
      <c r="V187" s="1"/>
      <c r="W187" s="8"/>
      <c r="X187" s="7"/>
      <c r="Y187" s="1"/>
      <c r="Z187" s="1"/>
      <c r="AA187" s="8"/>
      <c r="AB187" s="7">
        <v>16</v>
      </c>
      <c r="AC187" s="1">
        <v>0.18475499548673099</v>
      </c>
      <c r="AD187" s="1">
        <v>34.372598245473903</v>
      </c>
      <c r="AE187" s="1">
        <v>0.95819704965625596</v>
      </c>
      <c r="AF187" s="1">
        <v>13.787930657658601</v>
      </c>
      <c r="AG187" s="1">
        <v>38.520785575819602</v>
      </c>
      <c r="AH187" s="1">
        <v>0.96034481652991399</v>
      </c>
      <c r="AI187" s="1">
        <v>14.0170003645934</v>
      </c>
      <c r="AJ187" s="1">
        <v>189.77769470214801</v>
      </c>
      <c r="AK187" s="1">
        <v>125.879303455352</v>
      </c>
      <c r="AL187" s="7"/>
      <c r="AM187" s="1"/>
      <c r="AN187" s="1"/>
      <c r="AO187" s="8"/>
      <c r="AP187" s="1"/>
      <c r="AQ187" s="1"/>
      <c r="AR187" s="1"/>
      <c r="AS187" s="8"/>
      <c r="AT187" s="7">
        <v>0.16</v>
      </c>
      <c r="AU187" s="1">
        <v>0.294022868623742</v>
      </c>
      <c r="AV187" s="1">
        <v>34.277273842682099</v>
      </c>
      <c r="AW187" s="1">
        <v>0.97774425201147797</v>
      </c>
      <c r="AX187" s="1">
        <v>16.525578050287901</v>
      </c>
      <c r="AY187" s="1">
        <v>38.096007132001802</v>
      </c>
      <c r="AZ187" s="1">
        <v>0.97970538427672305</v>
      </c>
      <c r="BA187" s="1">
        <v>16.926191675957998</v>
      </c>
      <c r="BB187" s="1">
        <v>178.50956416130001</v>
      </c>
      <c r="BC187" s="1">
        <v>121.256287574768</v>
      </c>
      <c r="BD187" s="7"/>
      <c r="BE187" s="1"/>
      <c r="BF187" s="1"/>
      <c r="BG187" s="8"/>
      <c r="BH187" s="1"/>
      <c r="BI187" s="1"/>
      <c r="BJ187" s="1"/>
      <c r="BK187" s="8"/>
    </row>
    <row r="188" spans="1:63">
      <c r="A188" s="49"/>
      <c r="B188" s="7" t="s">
        <v>18</v>
      </c>
      <c r="C188" s="17">
        <v>0.12</v>
      </c>
      <c r="D188" s="7">
        <v>33</v>
      </c>
      <c r="E188" s="1">
        <v>7.9451678007431997E-2</v>
      </c>
      <c r="F188" s="1">
        <v>33.435222618725902</v>
      </c>
      <c r="G188" s="1">
        <v>0.94358017242070003</v>
      </c>
      <c r="H188" s="1">
        <v>12.485682453957001</v>
      </c>
      <c r="I188" s="1">
        <v>37.532583721019499</v>
      </c>
      <c r="J188" s="1">
        <v>0.94717300354142997</v>
      </c>
      <c r="K188" s="8">
        <v>12.771440809381</v>
      </c>
      <c r="L188" s="7">
        <v>32</v>
      </c>
      <c r="M188" s="1">
        <v>6.04631388474096E-2</v>
      </c>
      <c r="N188" s="1">
        <v>33.408185987920596</v>
      </c>
      <c r="O188" s="1">
        <v>0.94380824764563698</v>
      </c>
      <c r="P188" s="1">
        <v>12.5032742410792</v>
      </c>
      <c r="Q188" s="1">
        <v>37.514500880371401</v>
      </c>
      <c r="R188" s="1">
        <v>0.94681124587106102</v>
      </c>
      <c r="S188" s="8">
        <v>12.741801822920101</v>
      </c>
      <c r="T188" s="7"/>
      <c r="U188" s="1"/>
      <c r="V188" s="1"/>
      <c r="W188" s="8"/>
      <c r="X188" s="7"/>
      <c r="Y188" s="1"/>
      <c r="Z188" s="1"/>
      <c r="AA188" s="8"/>
      <c r="AB188" s="7">
        <v>8</v>
      </c>
      <c r="AC188" s="1">
        <v>5.1723524077397803E-2</v>
      </c>
      <c r="AD188" s="1">
        <v>33.322069992568899</v>
      </c>
      <c r="AE188" s="1">
        <v>0.94289481397500596</v>
      </c>
      <c r="AF188" s="1">
        <v>12.4332444937648</v>
      </c>
      <c r="AG188" s="1">
        <v>37.4157440264851</v>
      </c>
      <c r="AH188" s="1">
        <v>0.94543028303382903</v>
      </c>
      <c r="AI188" s="1">
        <v>12.630482987429399</v>
      </c>
      <c r="AJ188" s="1">
        <v>149.821217775344</v>
      </c>
      <c r="AK188" s="1">
        <v>92.606921911239596</v>
      </c>
      <c r="AL188" s="7"/>
      <c r="AM188" s="1"/>
      <c r="AN188" s="1"/>
      <c r="AO188" s="8"/>
      <c r="AP188" s="1"/>
      <c r="AQ188" s="1"/>
      <c r="AR188" s="1"/>
      <c r="AS188" s="8"/>
      <c r="AT188" s="7">
        <v>0.08</v>
      </c>
      <c r="AU188" s="1">
        <v>0.18784901039692301</v>
      </c>
      <c r="AV188" s="1">
        <v>33.334990642028899</v>
      </c>
      <c r="AW188" s="1">
        <v>0.96454411486531499</v>
      </c>
      <c r="AX188" s="1">
        <v>14.503116682555699</v>
      </c>
      <c r="AY188" s="1">
        <v>36.664303905959997</v>
      </c>
      <c r="AZ188" s="1">
        <v>0.96716582660690698</v>
      </c>
      <c r="BA188" s="1">
        <v>14.836739126895401</v>
      </c>
      <c r="BB188" s="1">
        <v>140.575680971145</v>
      </c>
      <c r="BC188" s="1">
        <v>91.252841472625704</v>
      </c>
      <c r="BD188" s="7"/>
      <c r="BE188" s="1"/>
      <c r="BF188" s="1"/>
      <c r="BG188" s="8"/>
      <c r="BH188" s="1"/>
      <c r="BI188" s="1"/>
      <c r="BJ188" s="1"/>
      <c r="BK188" s="8"/>
    </row>
    <row r="189" spans="1:63">
      <c r="A189" s="49"/>
      <c r="B189" s="7" t="s">
        <v>18</v>
      </c>
      <c r="C189" s="17">
        <v>0.06</v>
      </c>
      <c r="D189" s="7">
        <v>35</v>
      </c>
      <c r="E189" s="1">
        <v>5.4349806589162698E-2</v>
      </c>
      <c r="F189" s="1">
        <v>33.229008350118697</v>
      </c>
      <c r="G189" s="1">
        <v>0.94072344309227796</v>
      </c>
      <c r="H189" s="1">
        <v>12.2711703038979</v>
      </c>
      <c r="I189" s="1">
        <v>37.241881995441297</v>
      </c>
      <c r="J189" s="1">
        <v>0.94461206342425397</v>
      </c>
      <c r="K189" s="8">
        <v>12.5658481377477</v>
      </c>
      <c r="L189" s="7">
        <v>33</v>
      </c>
      <c r="M189" s="1">
        <v>4.6857012809584701E-2</v>
      </c>
      <c r="N189" s="1">
        <v>33.287918469921102</v>
      </c>
      <c r="O189" s="1">
        <v>0.942085794074491</v>
      </c>
      <c r="P189" s="1">
        <v>12.372148939871799</v>
      </c>
      <c r="Q189" s="1">
        <v>37.373608933325897</v>
      </c>
      <c r="R189" s="1">
        <v>0.94522584346134797</v>
      </c>
      <c r="S189" s="8">
        <v>12.614243013697999</v>
      </c>
      <c r="T189" s="7"/>
      <c r="U189" s="1"/>
      <c r="V189" s="1"/>
      <c r="W189" s="8"/>
      <c r="X189" s="7"/>
      <c r="Y189" s="1"/>
      <c r="Z189" s="1"/>
      <c r="AA189" s="8"/>
      <c r="AB189" s="7">
        <v>4</v>
      </c>
      <c r="AC189" s="1">
        <v>3.4839780710297003E-2</v>
      </c>
      <c r="AD189" s="1">
        <v>33.063256769248099</v>
      </c>
      <c r="AE189" s="1">
        <v>0.939913421456818</v>
      </c>
      <c r="AF189" s="1">
        <v>12.212225249287</v>
      </c>
      <c r="AG189" s="1">
        <v>36.928738515378498</v>
      </c>
      <c r="AH189" s="1">
        <v>0.942855952916128</v>
      </c>
      <c r="AI189" s="1">
        <v>12.4302900504617</v>
      </c>
      <c r="AJ189" s="1">
        <v>194.59614586830099</v>
      </c>
      <c r="AK189" s="1">
        <v>145.84314608573899</v>
      </c>
      <c r="AL189" s="7"/>
      <c r="AM189" s="1"/>
      <c r="AN189" s="1"/>
      <c r="AO189" s="8"/>
      <c r="AP189" s="1"/>
      <c r="AQ189" s="1"/>
      <c r="AR189" s="1"/>
      <c r="AS189" s="8"/>
      <c r="AT189" s="7">
        <v>0.04</v>
      </c>
      <c r="AU189" s="1">
        <v>4.9349956682395002E-2</v>
      </c>
      <c r="AV189" s="1">
        <v>32.5706216956875</v>
      </c>
      <c r="AW189" s="1">
        <v>0.94478556310348905</v>
      </c>
      <c r="AX189" s="1">
        <v>12.579473526198999</v>
      </c>
      <c r="AY189" s="1">
        <v>35.830307076179501</v>
      </c>
      <c r="AZ189" s="1">
        <v>0.94796093265388603</v>
      </c>
      <c r="BA189" s="1">
        <v>12.836704955475399</v>
      </c>
      <c r="BB189" s="1">
        <v>164.73755621909999</v>
      </c>
      <c r="BC189" s="1">
        <v>117.646136283874</v>
      </c>
      <c r="BD189" s="7"/>
      <c r="BE189" s="1"/>
      <c r="BF189" s="1"/>
      <c r="BG189" s="8"/>
      <c r="BH189" s="1"/>
      <c r="BI189" s="1"/>
      <c r="BJ189" s="1"/>
      <c r="BK189" s="8"/>
    </row>
    <row r="190" spans="1:63">
      <c r="A190" s="49"/>
      <c r="B190" s="7" t="s">
        <v>51</v>
      </c>
      <c r="C190" s="17">
        <v>1.5</v>
      </c>
      <c r="D190" s="7">
        <v>22</v>
      </c>
      <c r="E190" s="1">
        <v>1.4791611094011801</v>
      </c>
      <c r="F190" s="1">
        <v>42.484768698364299</v>
      </c>
      <c r="G190" s="1">
        <v>0.99640357620564002</v>
      </c>
      <c r="H190" s="1">
        <v>24.441291376541901</v>
      </c>
      <c r="I190" s="1">
        <v>45.5904814107896</v>
      </c>
      <c r="J190" s="1">
        <v>0.99769768062153996</v>
      </c>
      <c r="K190" s="8">
        <v>26.378344310617202</v>
      </c>
      <c r="L190" s="7">
        <v>19</v>
      </c>
      <c r="M190" s="1">
        <v>1.4691588864949801</v>
      </c>
      <c r="N190" s="1">
        <v>43.348783150803797</v>
      </c>
      <c r="O190" s="1">
        <v>0.99703790394879699</v>
      </c>
      <c r="P190" s="1">
        <v>25.284008628198801</v>
      </c>
      <c r="Q190" s="1">
        <v>46.508209323368703</v>
      </c>
      <c r="R190" s="1">
        <v>0.99806959485455204</v>
      </c>
      <c r="S190" s="8">
        <v>27.143515334964501</v>
      </c>
      <c r="T190" s="13">
        <f>bdrate(E190:E193,F190:F193,M190:M193,N190:N193)</f>
        <v>-0.17757051752927466</v>
      </c>
      <c r="U190" s="12">
        <f>bdrate(E190:E193,H190:H193,M190:M193,P190:P193)</f>
        <v>-0.1738385792124586</v>
      </c>
      <c r="V190" s="12">
        <f>bdrate(E190:E193,I190:I193,M190:M193,Q190:Q193)</f>
        <v>-0.19608847948247332</v>
      </c>
      <c r="W190" s="14">
        <f>bdrate(E190:E193,K190:K193,M190:M193,S190:S193)</f>
        <v>-0.13887683078585622</v>
      </c>
      <c r="X190" s="13">
        <f>bdrate(E192:E195,F192:F195,M192:M195,N192:N195)</f>
        <v>-0.25566567788406436</v>
      </c>
      <c r="Y190" s="12">
        <f>bdrate(E192:E195,H192:H195,M192:M195,P192:P195)</f>
        <v>-0.2165977790012803</v>
      </c>
      <c r="Z190" s="12">
        <f>bdrate(E192:E195,I192:I195,M192:M195,Q192:Q195)</f>
        <v>-0.30768899431732655</v>
      </c>
      <c r="AA190" s="14">
        <f>bdrate(E192:E195,K192:K195,M192:M195,S192:S195)</f>
        <v>-0.19322838280138455</v>
      </c>
      <c r="AB190" s="7">
        <v>128</v>
      </c>
      <c r="AC190" s="1">
        <v>1.29038593071372</v>
      </c>
      <c r="AD190" s="1">
        <v>42.275839276722103</v>
      </c>
      <c r="AE190" s="1">
        <v>0.99671480467909301</v>
      </c>
      <c r="AF190" s="1">
        <v>24.834388044084999</v>
      </c>
      <c r="AG190" s="1">
        <v>45.157107887859297</v>
      </c>
      <c r="AH190" s="1">
        <v>0.99753743144477702</v>
      </c>
      <c r="AI190" s="1">
        <v>26.086116703773602</v>
      </c>
      <c r="AJ190" s="1">
        <v>239.76573181152301</v>
      </c>
      <c r="AK190" s="1">
        <v>117.219068527221</v>
      </c>
      <c r="AL190" s="13">
        <f>bdrate(E190:E193,F190:F193,AC190:AC193,AD190:AD193)</f>
        <v>-0.10045111904523774</v>
      </c>
      <c r="AM190" s="12">
        <f>bdrate(E190:E193,H190:H193,AC190:AC193,AF190:AF193)</f>
        <v>-0.1879991557469205</v>
      </c>
      <c r="AN190" s="12">
        <f>bdrate(E190:E193,I190:I193,AC190:AC193,AG190:AG193)</f>
        <v>-0.11384838227028293</v>
      </c>
      <c r="AO190" s="14">
        <f>bdrate(E190:E193,K190:K193,AC190:AC193,AI190:AI193)</f>
        <v>-0.12419935023272377</v>
      </c>
      <c r="AP190" s="12">
        <f>bdrate(E192:E195,F192:F195,AC192:AC195,AD192:AD195)</f>
        <v>-0.15333747721142688</v>
      </c>
      <c r="AQ190" s="12">
        <f>bdrate(E192:E195,H192:H195,AC192:AC195,AF192:AF195)</f>
        <v>-0.2023905593853198</v>
      </c>
      <c r="AR190" s="12">
        <f>bdrate(E192:E195,I192:I195,AC192:AC195,AG192:AG195)</f>
        <v>-0.21321088672541866</v>
      </c>
      <c r="AS190" s="14">
        <f>bdrate(E192:E195,K192:K195,AC192:AC195,AI192:AI195)</f>
        <v>-0.16263821788147592</v>
      </c>
      <c r="AT190" s="7">
        <v>6.4</v>
      </c>
      <c r="AU190" s="1">
        <v>1.39500273588454</v>
      </c>
      <c r="AV190" s="1">
        <v>39.2585260950801</v>
      </c>
      <c r="AW190" s="1">
        <v>0.99853995456307998</v>
      </c>
      <c r="AX190" s="1">
        <v>28.356336286701801</v>
      </c>
      <c r="AY190" s="1">
        <v>42.516555193389699</v>
      </c>
      <c r="AZ190" s="1">
        <v>0.99895033847606696</v>
      </c>
      <c r="BA190" s="1">
        <v>29.789507218694101</v>
      </c>
      <c r="BB190" s="1">
        <v>478.038995027542</v>
      </c>
      <c r="BC190" s="1">
        <v>116.94780278205801</v>
      </c>
      <c r="BD190" s="13">
        <f>bdrate(E190:E193,F190:F193,AU190:AU193,AV190:AV193)</f>
        <v>0.46676575869284043</v>
      </c>
      <c r="BE190" s="12">
        <f>bdrate(E190:E193,H190:H193,AU190:AU193,AX190:AX193)</f>
        <v>-0.51802717708407608</v>
      </c>
      <c r="BF190" s="12">
        <f>bdrate(E190:E193,I190:I193,AU190:AU193,AY190:AY193)</f>
        <v>0.38379506268244601</v>
      </c>
      <c r="BG190" s="14">
        <f>bdrate(E190:E193,K190:K193,AU190:AU193,BA190:BA193)</f>
        <v>-0.46908524899143633</v>
      </c>
      <c r="BH190" s="12">
        <f>bdrate(E192:E195,F192:F195,AU192:AU195,AV192:AV195)</f>
        <v>0.3863025169986658</v>
      </c>
      <c r="BI190" s="12">
        <f>bdrate(E192:E195,H192:H195,AU192:AU195,AX192:AX195)</f>
        <v>-0.5095303194155949</v>
      </c>
      <c r="BJ190" s="12">
        <f>bdrate(E192:E195,I192:I195,AU192:AU195,AY192:AY195)</f>
        <v>0.33732136010893043</v>
      </c>
      <c r="BK190" s="14">
        <f>bdrate(E192:E195,K192:K195,AU192:AU195,BA192:BA195)</f>
        <v>-0.49216227273897251</v>
      </c>
    </row>
    <row r="191" spans="1:63">
      <c r="A191" s="49"/>
      <c r="B191" s="7" t="s">
        <v>18</v>
      </c>
      <c r="C191" s="17">
        <v>1</v>
      </c>
      <c r="D191" s="7">
        <v>26</v>
      </c>
      <c r="E191" s="1">
        <v>0.98649242501966405</v>
      </c>
      <c r="F191" s="1">
        <v>39.745546514688897</v>
      </c>
      <c r="G191" s="1">
        <v>0.993750398822417</v>
      </c>
      <c r="H191" s="1">
        <v>22.041476965602101</v>
      </c>
      <c r="I191" s="1">
        <v>42.827922487361</v>
      </c>
      <c r="J191" s="1">
        <v>0.99539403175554797</v>
      </c>
      <c r="K191" s="8">
        <v>23.366790605765399</v>
      </c>
      <c r="L191" s="7">
        <v>23</v>
      </c>
      <c r="M191" s="1">
        <v>0.99848842378851599</v>
      </c>
      <c r="N191" s="1">
        <v>40.901837187571999</v>
      </c>
      <c r="O191" s="1">
        <v>0.99511553657358698</v>
      </c>
      <c r="P191" s="1">
        <v>23.111831379323199</v>
      </c>
      <c r="Q191" s="1">
        <v>44.011945631070503</v>
      </c>
      <c r="R191" s="1">
        <v>0.99635411470836899</v>
      </c>
      <c r="S191" s="8">
        <v>24.3819699942085</v>
      </c>
      <c r="T191" s="7"/>
      <c r="U191" s="1"/>
      <c r="V191" s="1"/>
      <c r="W191" s="8"/>
      <c r="X191" s="7"/>
      <c r="Y191" s="1"/>
      <c r="Z191" s="1"/>
      <c r="AA191" s="8"/>
      <c r="AB191" s="7">
        <v>64</v>
      </c>
      <c r="AC191" s="1">
        <v>0.94948445675592397</v>
      </c>
      <c r="AD191" s="1">
        <v>40.121862009992</v>
      </c>
      <c r="AE191" s="1">
        <v>0.994984247290017</v>
      </c>
      <c r="AF191" s="1">
        <v>22.996638835284699</v>
      </c>
      <c r="AG191" s="1">
        <v>43.139195108967201</v>
      </c>
      <c r="AH191" s="1">
        <v>0.99591937561139898</v>
      </c>
      <c r="AI191" s="1">
        <v>23.892733791217101</v>
      </c>
      <c r="AJ191" s="1">
        <v>196.75504899024901</v>
      </c>
      <c r="AK191" s="1">
        <v>96.430820941925006</v>
      </c>
      <c r="AL191" s="7"/>
      <c r="AM191" s="1"/>
      <c r="AN191" s="1"/>
      <c r="AO191" s="8"/>
      <c r="AP191" s="1"/>
      <c r="AQ191" s="1"/>
      <c r="AR191" s="1"/>
      <c r="AS191" s="8"/>
      <c r="AT191" s="7">
        <v>3.2</v>
      </c>
      <c r="AU191" s="1">
        <v>1.0318858794158801</v>
      </c>
      <c r="AV191" s="1">
        <v>37.5895702671897</v>
      </c>
      <c r="AW191" s="1">
        <v>0.99775258952239998</v>
      </c>
      <c r="AX191" s="1">
        <v>26.483175987532</v>
      </c>
      <c r="AY191" s="1">
        <v>40.996838103142302</v>
      </c>
      <c r="AZ191" s="1">
        <v>0.99829783422531304</v>
      </c>
      <c r="BA191" s="1">
        <v>27.689981460578501</v>
      </c>
      <c r="BB191" s="1">
        <v>1154.34491682052</v>
      </c>
      <c r="BC191" s="1">
        <v>332.39610886573701</v>
      </c>
      <c r="BD191" s="7"/>
      <c r="BE191" s="1"/>
      <c r="BF191" s="1"/>
      <c r="BG191" s="8"/>
      <c r="BH191" s="1"/>
      <c r="BI191" s="1"/>
      <c r="BJ191" s="1"/>
      <c r="BK191" s="8"/>
    </row>
    <row r="192" spans="1:63">
      <c r="A192" s="49"/>
      <c r="B192" s="7" t="s">
        <v>18</v>
      </c>
      <c r="C192" s="17">
        <v>0.5</v>
      </c>
      <c r="D192" s="7">
        <v>32</v>
      </c>
      <c r="E192" s="1">
        <v>0.47062942443828798</v>
      </c>
      <c r="F192" s="1">
        <v>35.535353674654402</v>
      </c>
      <c r="G192" s="1">
        <v>0.98419776187031605</v>
      </c>
      <c r="H192" s="1">
        <v>18.012813979484999</v>
      </c>
      <c r="I192" s="1">
        <v>38.817436542113398</v>
      </c>
      <c r="J192" s="1">
        <v>0.98631659585043396</v>
      </c>
      <c r="K192" s="8">
        <v>18.638058456379198</v>
      </c>
      <c r="L192" s="7">
        <v>29</v>
      </c>
      <c r="M192" s="1">
        <v>0.498979173078896</v>
      </c>
      <c r="N192" s="1">
        <v>36.892857366127899</v>
      </c>
      <c r="O192" s="1">
        <v>0.98826466524914502</v>
      </c>
      <c r="P192" s="1">
        <v>19.305045176226699</v>
      </c>
      <c r="Q192" s="1">
        <v>40.245196327997199</v>
      </c>
      <c r="R192" s="1">
        <v>0.989702615434358</v>
      </c>
      <c r="S192" s="8">
        <v>19.872730678139501</v>
      </c>
      <c r="T192" s="7"/>
      <c r="U192" s="1"/>
      <c r="V192" s="1"/>
      <c r="W192" s="8"/>
      <c r="X192" s="7"/>
      <c r="Y192" s="1"/>
      <c r="Z192" s="1"/>
      <c r="AA192" s="8"/>
      <c r="AB192" s="7">
        <v>16</v>
      </c>
      <c r="AC192" s="1">
        <v>0.45029667248042099</v>
      </c>
      <c r="AD192" s="1">
        <v>35.854389075783601</v>
      </c>
      <c r="AE192" s="1">
        <v>0.98701374252409002</v>
      </c>
      <c r="AF192" s="1">
        <v>18.865159907087499</v>
      </c>
      <c r="AG192" s="1">
        <v>39.319010540869598</v>
      </c>
      <c r="AH192" s="1">
        <v>0.98810146121207199</v>
      </c>
      <c r="AI192" s="1">
        <v>19.245063693053101</v>
      </c>
      <c r="AJ192" s="1">
        <v>153.67358231544401</v>
      </c>
      <c r="AK192" s="1">
        <v>86.045838356017995</v>
      </c>
      <c r="AL192" s="7"/>
      <c r="AM192" s="1"/>
      <c r="AN192" s="1"/>
      <c r="AO192" s="8"/>
      <c r="AP192" s="1"/>
      <c r="AQ192" s="1"/>
      <c r="AR192" s="1"/>
      <c r="AS192" s="8"/>
      <c r="AT192" s="7">
        <v>0.64</v>
      </c>
      <c r="AU192" s="1">
        <v>0.48697120481515599</v>
      </c>
      <c r="AV192" s="1">
        <v>34.015974314092198</v>
      </c>
      <c r="AW192" s="1">
        <v>0.99390029479154696</v>
      </c>
      <c r="AX192" s="1">
        <v>22.146911534213299</v>
      </c>
      <c r="AY192" s="1">
        <v>37.683709837306097</v>
      </c>
      <c r="AZ192" s="1">
        <v>0.99480923401588695</v>
      </c>
      <c r="BA192" s="1">
        <v>22.847685500268199</v>
      </c>
      <c r="BB192" s="1">
        <v>237.73817873001099</v>
      </c>
      <c r="BC192" s="1">
        <v>115.258684635162</v>
      </c>
      <c r="BD192" s="7"/>
      <c r="BE192" s="1"/>
      <c r="BF192" s="1"/>
      <c r="BG192" s="8"/>
      <c r="BH192" s="1"/>
      <c r="BI192" s="1"/>
      <c r="BJ192" s="1"/>
      <c r="BK192" s="8"/>
    </row>
    <row r="193" spans="1:63">
      <c r="A193" s="49"/>
      <c r="B193" s="7" t="s">
        <v>18</v>
      </c>
      <c r="C193" s="17">
        <v>0.25</v>
      </c>
      <c r="D193" s="7">
        <v>37</v>
      </c>
      <c r="E193" s="1">
        <v>0.224563968400533</v>
      </c>
      <c r="F193" s="1">
        <v>32.3793743427347</v>
      </c>
      <c r="G193" s="1">
        <v>0.96640491427310504</v>
      </c>
      <c r="H193" s="1">
        <v>14.7372424635369</v>
      </c>
      <c r="I193" s="1">
        <v>35.857412938898499</v>
      </c>
      <c r="J193" s="1">
        <v>0.96901527354404804</v>
      </c>
      <c r="K193" s="8">
        <v>15.088523336015999</v>
      </c>
      <c r="L193" s="7">
        <v>34</v>
      </c>
      <c r="M193" s="1">
        <v>0.240014876372217</v>
      </c>
      <c r="N193" s="1">
        <v>33.671245387974999</v>
      </c>
      <c r="O193" s="1">
        <v>0.97472554609960504</v>
      </c>
      <c r="P193" s="1">
        <v>15.9731821934161</v>
      </c>
      <c r="Q193" s="1">
        <v>37.326792695701997</v>
      </c>
      <c r="R193" s="1">
        <v>0.97631371120914101</v>
      </c>
      <c r="S193" s="8">
        <v>16.255029799657599</v>
      </c>
      <c r="T193" s="7"/>
      <c r="U193" s="1"/>
      <c r="V193" s="1"/>
      <c r="W193" s="8"/>
      <c r="X193" s="7"/>
      <c r="Y193" s="1"/>
      <c r="Z193" s="1"/>
      <c r="AA193" s="8"/>
      <c r="AB193" s="7">
        <v>8</v>
      </c>
      <c r="AC193" s="1">
        <v>0.28570414828494201</v>
      </c>
      <c r="AD193" s="1">
        <v>33.953098102514303</v>
      </c>
      <c r="AE193" s="1">
        <v>0.97862556800375999</v>
      </c>
      <c r="AF193" s="1">
        <v>16.7010541737998</v>
      </c>
      <c r="AG193" s="1">
        <v>37.611285527803297</v>
      </c>
      <c r="AH193" s="1">
        <v>0.97978135691217705</v>
      </c>
      <c r="AI193" s="1">
        <v>16.942479941082699</v>
      </c>
      <c r="AJ193" s="1">
        <v>129.14387822151099</v>
      </c>
      <c r="AK193" s="1">
        <v>77.984015226364093</v>
      </c>
      <c r="AL193" s="7"/>
      <c r="AM193" s="1"/>
      <c r="AN193" s="1"/>
      <c r="AO193" s="8"/>
      <c r="AP193" s="1"/>
      <c r="AQ193" s="1"/>
      <c r="AR193" s="1"/>
      <c r="AS193" s="8"/>
      <c r="AT193" s="7">
        <v>0.16</v>
      </c>
      <c r="AU193" s="1">
        <v>0.25484679046544201</v>
      </c>
      <c r="AV193" s="1">
        <v>31.614449052380699</v>
      </c>
      <c r="AW193" s="1">
        <v>0.98654909160993198</v>
      </c>
      <c r="AX193" s="1">
        <v>18.712483851432001</v>
      </c>
      <c r="AY193" s="1">
        <v>35.297234561567898</v>
      </c>
      <c r="AZ193" s="1">
        <v>0.98776316128716202</v>
      </c>
      <c r="BA193" s="1">
        <v>19.1233076412652</v>
      </c>
      <c r="BB193" s="1">
        <v>136.246880292892</v>
      </c>
      <c r="BC193" s="1">
        <v>87.755673170089693</v>
      </c>
      <c r="BD193" s="7"/>
      <c r="BE193" s="1"/>
      <c r="BF193" s="1"/>
      <c r="BG193" s="8"/>
      <c r="BH193" s="1"/>
      <c r="BI193" s="1"/>
      <c r="BJ193" s="1"/>
      <c r="BK193" s="8"/>
    </row>
    <row r="194" spans="1:63">
      <c r="A194" s="49"/>
      <c r="B194" s="7" t="s">
        <v>18</v>
      </c>
      <c r="C194" s="17">
        <v>0.12</v>
      </c>
      <c r="D194" s="7">
        <v>42</v>
      </c>
      <c r="E194" s="1">
        <v>0.109617489141958</v>
      </c>
      <c r="F194" s="1">
        <v>29.7882572782663</v>
      </c>
      <c r="G194" s="1">
        <v>0.93589107891845902</v>
      </c>
      <c r="H194" s="1">
        <v>11.9308153199594</v>
      </c>
      <c r="I194" s="1">
        <v>33.380287122905202</v>
      </c>
      <c r="J194" s="1">
        <v>0.93903411887721699</v>
      </c>
      <c r="K194" s="8">
        <v>12.149131450809501</v>
      </c>
      <c r="L194" s="7">
        <v>39</v>
      </c>
      <c r="M194" s="1">
        <v>0.11545603775520601</v>
      </c>
      <c r="N194" s="1">
        <v>31.109708830545099</v>
      </c>
      <c r="O194" s="1">
        <v>0.95113479225698105</v>
      </c>
      <c r="P194" s="1">
        <v>13.110002505526399</v>
      </c>
      <c r="Q194" s="1">
        <v>34.8915763234209</v>
      </c>
      <c r="R194" s="1">
        <v>0.95301974229898101</v>
      </c>
      <c r="S194" s="8">
        <v>13.280846053144099</v>
      </c>
      <c r="T194" s="7"/>
      <c r="U194" s="1"/>
      <c r="V194" s="1"/>
      <c r="W194" s="8"/>
      <c r="X194" s="7"/>
      <c r="Y194" s="1"/>
      <c r="Z194" s="1"/>
      <c r="AA194" s="8"/>
      <c r="AB194" s="7">
        <v>4</v>
      </c>
      <c r="AC194" s="1">
        <v>0.18455678670360101</v>
      </c>
      <c r="AD194" s="1">
        <v>32.335747431522996</v>
      </c>
      <c r="AE194" s="1">
        <v>0.96754290376152197</v>
      </c>
      <c r="AF194" s="1">
        <v>14.8869033675919</v>
      </c>
      <c r="AG194" s="1">
        <v>36.087583921445201</v>
      </c>
      <c r="AH194" s="1">
        <v>0.96878170762349702</v>
      </c>
      <c r="AI194" s="1">
        <v>15.0559085629425</v>
      </c>
      <c r="AJ194" s="1">
        <v>168.60165810584999</v>
      </c>
      <c r="AK194" s="1">
        <v>120.966211318969</v>
      </c>
      <c r="AL194" s="7"/>
      <c r="AM194" s="1"/>
      <c r="AN194" s="1"/>
      <c r="AO194" s="8"/>
      <c r="AP194" s="1"/>
      <c r="AQ194" s="1"/>
      <c r="AR194" s="1"/>
      <c r="AS194" s="8"/>
      <c r="AT194" s="7">
        <v>0.08</v>
      </c>
      <c r="AU194" s="1">
        <v>0.18226890325228201</v>
      </c>
      <c r="AV194" s="1">
        <v>30.420641982784101</v>
      </c>
      <c r="AW194" s="1">
        <v>0.97950551092860005</v>
      </c>
      <c r="AX194" s="1">
        <v>16.883629041948801</v>
      </c>
      <c r="AY194" s="1">
        <v>33.968950017844399</v>
      </c>
      <c r="AZ194" s="1">
        <v>0.98101158900837104</v>
      </c>
      <c r="BA194" s="1">
        <v>17.2151137683441</v>
      </c>
      <c r="BB194" s="1">
        <v>115.938096046447</v>
      </c>
      <c r="BC194" s="1">
        <v>76.451004028320298</v>
      </c>
      <c r="BD194" s="7"/>
      <c r="BE194" s="1"/>
      <c r="BF194" s="1"/>
      <c r="BG194" s="8"/>
      <c r="BH194" s="1"/>
      <c r="BI194" s="1"/>
      <c r="BJ194" s="1"/>
      <c r="BK194" s="8"/>
    </row>
    <row r="195" spans="1:63">
      <c r="A195" s="49"/>
      <c r="B195" s="7" t="s">
        <v>18</v>
      </c>
      <c r="C195" s="17">
        <v>0.06</v>
      </c>
      <c r="D195" s="7">
        <v>46</v>
      </c>
      <c r="E195" s="1">
        <v>5.7329605690639801E-2</v>
      </c>
      <c r="F195" s="1">
        <v>27.686431726069301</v>
      </c>
      <c r="G195" s="1">
        <v>0.89360113631617399</v>
      </c>
      <c r="H195" s="1">
        <v>9.7306301018457297</v>
      </c>
      <c r="I195" s="1">
        <v>31.419943219105999</v>
      </c>
      <c r="J195" s="1">
        <v>0.89668332939314499</v>
      </c>
      <c r="K195" s="8">
        <v>9.8582959746938208</v>
      </c>
      <c r="L195" s="7">
        <v>44</v>
      </c>
      <c r="M195" s="1">
        <v>5.45355835983721E-2</v>
      </c>
      <c r="N195" s="1">
        <v>28.664536074793201</v>
      </c>
      <c r="O195" s="1">
        <v>0.90923158780056901</v>
      </c>
      <c r="P195" s="1">
        <v>10.420652615476101</v>
      </c>
      <c r="Q195" s="1">
        <v>32.594670705067202</v>
      </c>
      <c r="R195" s="1">
        <v>0.91107688241465201</v>
      </c>
      <c r="S195" s="8">
        <v>10.509853196305</v>
      </c>
      <c r="T195" s="7"/>
      <c r="U195" s="1"/>
      <c r="V195" s="1"/>
      <c r="W195" s="8"/>
      <c r="X195" s="7"/>
      <c r="Y195" s="1"/>
      <c r="Z195" s="1"/>
      <c r="AA195" s="8"/>
      <c r="AB195" s="7">
        <v>2</v>
      </c>
      <c r="AC195" s="1">
        <v>0.116380253753291</v>
      </c>
      <c r="AD195" s="1">
        <v>30.7814905847112</v>
      </c>
      <c r="AE195" s="1">
        <v>0.95064618896073805</v>
      </c>
      <c r="AF195" s="1">
        <v>13.066793060254</v>
      </c>
      <c r="AG195" s="1">
        <v>34.606607957310104</v>
      </c>
      <c r="AH195" s="1">
        <v>0.95195420643050899</v>
      </c>
      <c r="AI195" s="1">
        <v>13.183446290053499</v>
      </c>
      <c r="AJ195" s="1">
        <v>203.62494158744801</v>
      </c>
      <c r="AK195" s="1">
        <v>145.25814247131299</v>
      </c>
      <c r="AL195" s="7"/>
      <c r="AM195" s="1"/>
      <c r="AN195" s="1"/>
      <c r="AO195" s="8"/>
      <c r="AP195" s="1"/>
      <c r="AQ195" s="1"/>
      <c r="AR195" s="1"/>
      <c r="AS195" s="8"/>
      <c r="AT195" s="7">
        <v>0.04</v>
      </c>
      <c r="AU195" s="1">
        <v>0.11445316507643299</v>
      </c>
      <c r="AV195" s="1">
        <v>29.145753086696502</v>
      </c>
      <c r="AW195" s="1">
        <v>0.96805561075431601</v>
      </c>
      <c r="AX195" s="1">
        <v>14.9560541085834</v>
      </c>
      <c r="AY195" s="1">
        <v>32.792015874282797</v>
      </c>
      <c r="AZ195" s="1">
        <v>0.96974115763719804</v>
      </c>
      <c r="BA195" s="1">
        <v>15.1914769115302</v>
      </c>
      <c r="BB195" s="1">
        <v>138.12562370300199</v>
      </c>
      <c r="BC195" s="1">
        <v>96.124718427657996</v>
      </c>
      <c r="BD195" s="7"/>
      <c r="BE195" s="1"/>
      <c r="BF195" s="1"/>
      <c r="BG195" s="8"/>
      <c r="BH195" s="1"/>
      <c r="BI195" s="1"/>
      <c r="BJ195" s="1"/>
      <c r="BK195" s="8"/>
    </row>
    <row r="196" spans="1:63">
      <c r="A196" s="49"/>
      <c r="B196" s="7" t="s">
        <v>52</v>
      </c>
      <c r="C196" s="17">
        <v>1.5</v>
      </c>
      <c r="D196" s="7">
        <v>19</v>
      </c>
      <c r="E196" s="1">
        <v>1.4561002896972699</v>
      </c>
      <c r="F196" s="1">
        <v>46.749749303362101</v>
      </c>
      <c r="G196" s="1">
        <v>0.99826114285130296</v>
      </c>
      <c r="H196" s="1">
        <v>27.597360948695599</v>
      </c>
      <c r="I196" s="1">
        <v>50.008717603527899</v>
      </c>
      <c r="J196" s="1">
        <v>0.99872666307877001</v>
      </c>
      <c r="K196" s="8">
        <v>28.950566680894699</v>
      </c>
      <c r="L196" s="7">
        <v>16</v>
      </c>
      <c r="M196" s="1">
        <v>1.4505196974028201</v>
      </c>
      <c r="N196" s="1">
        <v>47.1529028886902</v>
      </c>
      <c r="O196" s="1">
        <v>0.99841993273217999</v>
      </c>
      <c r="P196" s="1">
        <v>28.013244235384999</v>
      </c>
      <c r="Q196" s="1">
        <v>50.312943194624303</v>
      </c>
      <c r="R196" s="1">
        <v>0.99886926946315202</v>
      </c>
      <c r="S196" s="8">
        <v>29.466408789856299</v>
      </c>
      <c r="T196" s="13">
        <f>bdrate(E196:E199,F196:F199,M196:M199,N196:N199)</f>
        <v>-9.5299579531338496E-2</v>
      </c>
      <c r="U196" s="12">
        <f>bdrate(E196:E199,H196:H199,M196:M199,P196:P199)</f>
        <v>-8.3312031116987595E-2</v>
      </c>
      <c r="V196" s="12">
        <f>bdrate(E196:E199,I196:I199,M196:M199,Q196:Q199)</f>
        <v>-0.1021818858821395</v>
      </c>
      <c r="W196" s="14">
        <f>bdrate(E196:E199,K196:K199,M196:M199,S196:S199)</f>
        <v>-7.7906387898677543E-2</v>
      </c>
      <c r="X196" s="13">
        <f>bdrate(E198:E201,F198:F201,M198:M201,N198:N201)</f>
        <v>-0.13585788471692828</v>
      </c>
      <c r="Y196" s="12">
        <f>bdrate(E198:E201,H198:H201,M198:M201,P198:P201)</f>
        <v>-0.12927834897991308</v>
      </c>
      <c r="Z196" s="12">
        <f>bdrate(E198:E201,I198:I201,M198:M201,Q198:Q201)</f>
        <v>-0.18831830417174944</v>
      </c>
      <c r="AA196" s="14">
        <f>bdrate(E198:E201,K198:K201,M198:M201,S198:S201)</f>
        <v>-0.12268870080979477</v>
      </c>
      <c r="AB196" s="7">
        <v>256</v>
      </c>
      <c r="AC196" s="1">
        <v>1.30813183409013</v>
      </c>
      <c r="AD196" s="1">
        <v>46.6013680700908</v>
      </c>
      <c r="AE196" s="1">
        <v>0.99806111338353098</v>
      </c>
      <c r="AF196" s="1">
        <v>27.124475871471301</v>
      </c>
      <c r="AG196" s="1">
        <v>49.642214925972802</v>
      </c>
      <c r="AH196" s="1">
        <v>0.99850195791394702</v>
      </c>
      <c r="AI196" s="1">
        <v>28.244759853789901</v>
      </c>
      <c r="AJ196" s="1">
        <v>376.69301176071099</v>
      </c>
      <c r="AK196" s="1">
        <v>208.50770092010401</v>
      </c>
      <c r="AL196" s="13">
        <f>bdrate(E196:E199,F196:F199,AC196:AC199,AD196:AD199)</f>
        <v>-5.0666099596997749E-2</v>
      </c>
      <c r="AM196" s="12">
        <f>bdrate(E196:E199,H196:H199,AC196:AC199,AF196:AF199)</f>
        <v>-4.5099406108657814E-2</v>
      </c>
      <c r="AN196" s="12">
        <f>bdrate(E196:E199,I196:I199,AC196:AC199,AG196:AG199)</f>
        <v>-5.2429348853969326E-2</v>
      </c>
      <c r="AO196" s="14">
        <f>bdrate(E196:E199,K196:K199,AC196:AC199,AI196:AI199)</f>
        <v>-2.8089734880871076E-2</v>
      </c>
      <c r="AP196" s="12">
        <f>bdrate(E198:E201,F198:F201,AC198:AC201,AD198:AD201)</f>
        <v>3.925271917368045E-2</v>
      </c>
      <c r="AQ196" s="12">
        <f>bdrate(E198:E201,H198:H201,AC198:AC201,AF198:AF201)</f>
        <v>4.5228755597338077E-2</v>
      </c>
      <c r="AR196" s="12">
        <f>bdrate(E198:E201,I198:I201,AC198:AC201,AG198:AG201)</f>
        <v>1.9703452450025694E-2</v>
      </c>
      <c r="AS196" s="14">
        <f>bdrate(E198:E201,K198:K201,AC198:AC201,AI198:AI201)</f>
        <v>5.4343672920758479E-2</v>
      </c>
      <c r="AT196" s="7">
        <v>6.4</v>
      </c>
      <c r="AU196" s="1">
        <v>1.4186209812301001</v>
      </c>
      <c r="AV196" s="1">
        <v>46.058937386436398</v>
      </c>
      <c r="AW196" s="1">
        <v>0.99902066050874205</v>
      </c>
      <c r="AX196" s="1">
        <v>30.0906673248532</v>
      </c>
      <c r="AY196" s="1">
        <v>49.351089809968798</v>
      </c>
      <c r="AZ196" s="1">
        <v>0.99921619180331001</v>
      </c>
      <c r="BA196" s="1">
        <v>31.0579019919088</v>
      </c>
      <c r="BB196" s="1">
        <v>609.95218062400795</v>
      </c>
      <c r="BC196" s="1">
        <v>207.054240942001</v>
      </c>
      <c r="BD196" s="13">
        <f>bdrate(E196:E199,F196:F199,AU196:AU199,AV196:AV199)</f>
        <v>9.019218131345097E-2</v>
      </c>
      <c r="BE196" s="12">
        <f>bdrate(E196:E199,H196:H199,AU196:AU199,AX196:AX199)</f>
        <v>-0.19964512953514546</v>
      </c>
      <c r="BF196" s="12">
        <f>bdrate(E196:E199,I196:I199,AU196:AU199,AY196:AY199)</f>
        <v>8.4757467833299405E-2</v>
      </c>
      <c r="BG196" s="14">
        <f>bdrate(E196:E199,K196:K199,AU196:AU199,BA196:BA199)</f>
        <v>-0.17251681088788939</v>
      </c>
      <c r="BH196" s="12">
        <f>bdrate(E198:E201,F198:F201,AU198:AU201,AV198:AV201)</f>
        <v>8.065096331053434E-2</v>
      </c>
      <c r="BI196" s="12">
        <f>bdrate(E198:E201,H198:H201,AU198:AU201,AX198:AX201)</f>
        <v>-0.15391499861346236</v>
      </c>
      <c r="BJ196" s="12">
        <f>bdrate(E198:E201,I198:I201,AU198:AU201,AY198:AY201)</f>
        <v>0.27785464596672393</v>
      </c>
      <c r="BK196" s="14">
        <f>bdrate(E198:E201,K198:K201,AU198:AU201,BA198:BA201)</f>
        <v>-0.14430354763732101</v>
      </c>
    </row>
    <row r="197" spans="1:63">
      <c r="A197" s="49"/>
      <c r="B197" s="7" t="s">
        <v>18</v>
      </c>
      <c r="C197" s="17">
        <v>1</v>
      </c>
      <c r="D197" s="7">
        <v>24</v>
      </c>
      <c r="E197" s="1">
        <v>0.99490394484603195</v>
      </c>
      <c r="F197" s="1">
        <v>43.223255372929401</v>
      </c>
      <c r="G197" s="1">
        <v>0.99565360652192203</v>
      </c>
      <c r="H197" s="1">
        <v>23.618709596485601</v>
      </c>
      <c r="I197" s="1">
        <v>46.705357724663799</v>
      </c>
      <c r="J197" s="1">
        <v>0.996473416841266</v>
      </c>
      <c r="K197" s="8">
        <v>24.526458708004199</v>
      </c>
      <c r="L197" s="7">
        <v>21</v>
      </c>
      <c r="M197" s="1">
        <v>0.99988370602452104</v>
      </c>
      <c r="N197" s="1">
        <v>43.979100613609901</v>
      </c>
      <c r="O197" s="1">
        <v>0.99621172094968002</v>
      </c>
      <c r="P197" s="1">
        <v>24.215580377071699</v>
      </c>
      <c r="Q197" s="1">
        <v>47.324393872057598</v>
      </c>
      <c r="R197" s="1">
        <v>0.99696615794628496</v>
      </c>
      <c r="S197" s="8">
        <v>25.180070329710201</v>
      </c>
      <c r="T197" s="7"/>
      <c r="U197" s="1"/>
      <c r="V197" s="1"/>
      <c r="W197" s="8"/>
      <c r="X197" s="7"/>
      <c r="Y197" s="1"/>
      <c r="Z197" s="1"/>
      <c r="AA197" s="8"/>
      <c r="AB197" s="7">
        <v>128</v>
      </c>
      <c r="AC197" s="1">
        <v>1.0398301171532001</v>
      </c>
      <c r="AD197" s="1">
        <v>44.496249908547099</v>
      </c>
      <c r="AE197" s="1">
        <v>0.99677096781897701</v>
      </c>
      <c r="AF197" s="1">
        <v>24.9092762671686</v>
      </c>
      <c r="AG197" s="1">
        <v>47.753119016604401</v>
      </c>
      <c r="AH197" s="1">
        <v>0.99729883698424904</v>
      </c>
      <c r="AI197" s="1">
        <v>25.684492052591501</v>
      </c>
      <c r="AJ197" s="1">
        <v>341.38119435310301</v>
      </c>
      <c r="AK197" s="1">
        <v>194.87165975570599</v>
      </c>
      <c r="AL197" s="7"/>
      <c r="AM197" s="1"/>
      <c r="AN197" s="1"/>
      <c r="AO197" s="8"/>
      <c r="AP197" s="1"/>
      <c r="AQ197" s="1"/>
      <c r="AR197" s="1"/>
      <c r="AS197" s="8"/>
      <c r="AT197" s="7">
        <v>1.28</v>
      </c>
      <c r="AU197" s="1">
        <v>0.90233242183659101</v>
      </c>
      <c r="AV197" s="1">
        <v>41.348309770210797</v>
      </c>
      <c r="AW197" s="1">
        <v>0.99676242178541197</v>
      </c>
      <c r="AX197" s="1">
        <v>24.897797309405</v>
      </c>
      <c r="AY197" s="1">
        <v>45.130810180988497</v>
      </c>
      <c r="AZ197" s="1">
        <v>0.997181206492325</v>
      </c>
      <c r="BA197" s="1">
        <v>25.499367374530902</v>
      </c>
      <c r="BB197" s="1">
        <v>552.37568330764702</v>
      </c>
      <c r="BC197" s="1">
        <v>239.356253385543</v>
      </c>
      <c r="BD197" s="7"/>
      <c r="BE197" s="1"/>
      <c r="BF197" s="1"/>
      <c r="BG197" s="8"/>
      <c r="BH197" s="1"/>
      <c r="BI197" s="1"/>
      <c r="BJ197" s="1"/>
      <c r="BK197" s="8"/>
    </row>
    <row r="198" spans="1:63">
      <c r="A198" s="49"/>
      <c r="B198" s="7" t="s">
        <v>18</v>
      </c>
      <c r="C198" s="17">
        <v>0.5</v>
      </c>
      <c r="D198" s="7">
        <v>31</v>
      </c>
      <c r="E198" s="1">
        <v>0.489808459140257</v>
      </c>
      <c r="F198" s="1">
        <v>37.727888193841103</v>
      </c>
      <c r="G198" s="1">
        <v>0.98201885185618198</v>
      </c>
      <c r="H198" s="1">
        <v>17.451825808672702</v>
      </c>
      <c r="I198" s="1">
        <v>41.698291927170402</v>
      </c>
      <c r="J198" s="1">
        <v>0.98347814562571001</v>
      </c>
      <c r="K198" s="8">
        <v>17.8194121008314</v>
      </c>
      <c r="L198" s="7">
        <v>28</v>
      </c>
      <c r="M198" s="1">
        <v>0.48715154041430703</v>
      </c>
      <c r="N198" s="1">
        <v>38.450911763159098</v>
      </c>
      <c r="O198" s="1">
        <v>0.98508424061181499</v>
      </c>
      <c r="P198" s="1">
        <v>18.263546310245101</v>
      </c>
      <c r="Q198" s="1">
        <v>42.4648161892327</v>
      </c>
      <c r="R198" s="1">
        <v>0.98621011417114901</v>
      </c>
      <c r="S198" s="8">
        <v>18.604393294808201</v>
      </c>
      <c r="T198" s="7"/>
      <c r="U198" s="1"/>
      <c r="V198" s="1"/>
      <c r="W198" s="8"/>
      <c r="X198" s="7"/>
      <c r="Y198" s="1"/>
      <c r="Z198" s="1"/>
      <c r="AA198" s="8"/>
      <c r="AB198" s="7">
        <v>16</v>
      </c>
      <c r="AC198" s="1">
        <v>0.451015623507175</v>
      </c>
      <c r="AD198" s="1">
        <v>37.221597143076302</v>
      </c>
      <c r="AE198" s="1">
        <v>0.97950642855916303</v>
      </c>
      <c r="AF198" s="1">
        <v>16.883823499498298</v>
      </c>
      <c r="AG198" s="1">
        <v>41.357540569436601</v>
      </c>
      <c r="AH198" s="1">
        <v>0.980574987796067</v>
      </c>
      <c r="AI198" s="1">
        <v>17.116386996776701</v>
      </c>
      <c r="AJ198" s="1">
        <v>220.636569738388</v>
      </c>
      <c r="AK198" s="1">
        <v>134.73649740219099</v>
      </c>
      <c r="AL198" s="7"/>
      <c r="AM198" s="1"/>
      <c r="AN198" s="1"/>
      <c r="AO198" s="8"/>
      <c r="AP198" s="1"/>
      <c r="AQ198" s="1"/>
      <c r="AR198" s="1"/>
      <c r="AS198" s="8"/>
      <c r="AT198" s="7">
        <v>0.32</v>
      </c>
      <c r="AU198" s="1">
        <v>0.57953982764954404</v>
      </c>
      <c r="AV198" s="1">
        <v>38.548209436440999</v>
      </c>
      <c r="AW198" s="1">
        <v>0.991410645333341</v>
      </c>
      <c r="AX198" s="1">
        <v>20.660394642522501</v>
      </c>
      <c r="AY198" s="1">
        <v>42.369534968593896</v>
      </c>
      <c r="AZ198" s="1">
        <v>0.99210484848858005</v>
      </c>
      <c r="BA198" s="1">
        <v>21.026395312741801</v>
      </c>
      <c r="BB198" s="1">
        <v>423.18992829322798</v>
      </c>
      <c r="BC198" s="1">
        <v>223.836204528808</v>
      </c>
      <c r="BD198" s="7"/>
      <c r="BE198" s="1"/>
      <c r="BF198" s="1"/>
      <c r="BG198" s="8"/>
      <c r="BH198" s="1"/>
      <c r="BI198" s="1"/>
      <c r="BJ198" s="1"/>
      <c r="BK198" s="8"/>
    </row>
    <row r="199" spans="1:63">
      <c r="A199" s="49"/>
      <c r="B199" s="7" t="s">
        <v>18</v>
      </c>
      <c r="C199" s="17">
        <v>0.25</v>
      </c>
      <c r="D199" s="7">
        <v>36</v>
      </c>
      <c r="E199" s="1">
        <v>0.217847594657158</v>
      </c>
      <c r="F199" s="1">
        <v>33.672206671822998</v>
      </c>
      <c r="G199" s="1">
        <v>0.94243974354508497</v>
      </c>
      <c r="H199" s="1">
        <v>12.3987727976833</v>
      </c>
      <c r="I199" s="1">
        <v>38.108501134687302</v>
      </c>
      <c r="J199" s="1">
        <v>0.94438660266187402</v>
      </c>
      <c r="K199" s="8">
        <v>12.5482057372126</v>
      </c>
      <c r="L199" s="7">
        <v>34</v>
      </c>
      <c r="M199" s="1">
        <v>0.22293770224110701</v>
      </c>
      <c r="N199" s="1">
        <v>34.307114220394702</v>
      </c>
      <c r="O199" s="1">
        <v>0.95143306482127898</v>
      </c>
      <c r="P199" s="1">
        <v>13.1365930185877</v>
      </c>
      <c r="Q199" s="1">
        <v>38.823996123951098</v>
      </c>
      <c r="R199" s="1">
        <v>0.952907159729386</v>
      </c>
      <c r="S199" s="8">
        <v>13.270451155318799</v>
      </c>
      <c r="T199" s="7"/>
      <c r="U199" s="1"/>
      <c r="V199" s="1"/>
      <c r="W199" s="8"/>
      <c r="X199" s="7"/>
      <c r="Y199" s="1"/>
      <c r="Z199" s="1"/>
      <c r="AA199" s="8"/>
      <c r="AB199" s="7">
        <v>8</v>
      </c>
      <c r="AC199" s="1">
        <v>0.30641121473802702</v>
      </c>
      <c r="AD199" s="1">
        <v>35.036894334907203</v>
      </c>
      <c r="AE199" s="1">
        <v>0.96172500121522897</v>
      </c>
      <c r="AF199" s="1">
        <v>14.1708481441852</v>
      </c>
      <c r="AG199" s="1">
        <v>39.359518126397397</v>
      </c>
      <c r="AH199" s="1">
        <v>0.96299027746440902</v>
      </c>
      <c r="AI199" s="1">
        <v>14.3168417082797</v>
      </c>
      <c r="AJ199" s="1">
        <v>203.121466636657</v>
      </c>
      <c r="AK199" s="1">
        <v>128.727062225341</v>
      </c>
      <c r="AL199" s="7"/>
      <c r="AM199" s="1"/>
      <c r="AN199" s="1"/>
      <c r="AO199" s="8"/>
      <c r="AP199" s="1"/>
      <c r="AQ199" s="1"/>
      <c r="AR199" s="1"/>
      <c r="AS199" s="8"/>
      <c r="AT199" s="7">
        <v>0.16</v>
      </c>
      <c r="AU199" s="1">
        <v>0.45293048796521801</v>
      </c>
      <c r="AV199" s="1">
        <v>36.946687544421202</v>
      </c>
      <c r="AW199" s="1">
        <v>0.98507118213314104</v>
      </c>
      <c r="AX199" s="1">
        <v>18.259745803678101</v>
      </c>
      <c r="AY199" s="1">
        <v>40.6403498896331</v>
      </c>
      <c r="AZ199" s="1">
        <v>0.98594493727430499</v>
      </c>
      <c r="BA199" s="1">
        <v>18.521672118592999</v>
      </c>
      <c r="BB199" s="1">
        <v>219.031759500503</v>
      </c>
      <c r="BC199" s="1">
        <v>142.32422208785999</v>
      </c>
      <c r="BD199" s="7"/>
      <c r="BE199" s="1"/>
      <c r="BF199" s="1"/>
      <c r="BG199" s="8"/>
      <c r="BH199" s="1"/>
      <c r="BI199" s="1"/>
      <c r="BJ199" s="1"/>
      <c r="BK199" s="8"/>
    </row>
    <row r="200" spans="1:63">
      <c r="A200" s="49"/>
      <c r="B200" s="7" t="s">
        <v>18</v>
      </c>
      <c r="C200" s="17">
        <v>0.12</v>
      </c>
      <c r="D200" s="7">
        <v>39</v>
      </c>
      <c r="E200" s="1">
        <v>8.6204839120129106E-2</v>
      </c>
      <c r="F200" s="1">
        <v>31.2135890876689</v>
      </c>
      <c r="G200" s="1">
        <v>0.87158123904458196</v>
      </c>
      <c r="H200" s="1">
        <v>8.9137152467665803</v>
      </c>
      <c r="I200" s="1">
        <v>35.860700536349498</v>
      </c>
      <c r="J200" s="1">
        <v>0.87392796858863897</v>
      </c>
      <c r="K200" s="8">
        <v>8.99381249279031</v>
      </c>
      <c r="L200" s="7">
        <v>37</v>
      </c>
      <c r="M200" s="1">
        <v>0.111932255405866</v>
      </c>
      <c r="N200" s="1">
        <v>32.061434784763101</v>
      </c>
      <c r="O200" s="1">
        <v>0.90483748044424706</v>
      </c>
      <c r="P200" s="1">
        <v>10.215340679517601</v>
      </c>
      <c r="Q200" s="1">
        <v>36.861544385603899</v>
      </c>
      <c r="R200" s="1">
        <v>0.90653598756522202</v>
      </c>
      <c r="S200" s="8">
        <v>10.2935557853449</v>
      </c>
      <c r="T200" s="7"/>
      <c r="U200" s="1"/>
      <c r="V200" s="1"/>
      <c r="W200" s="8"/>
      <c r="X200" s="7"/>
      <c r="Y200" s="1"/>
      <c r="Z200" s="1"/>
      <c r="AA200" s="8"/>
      <c r="AB200" s="7">
        <v>4</v>
      </c>
      <c r="AC200" s="1">
        <v>0.18578234652390399</v>
      </c>
      <c r="AD200" s="1">
        <v>32.623732748944597</v>
      </c>
      <c r="AE200" s="1">
        <v>0.921100153793732</v>
      </c>
      <c r="AF200" s="1">
        <v>11.029238433284</v>
      </c>
      <c r="AG200" s="1">
        <v>37.310219934506101</v>
      </c>
      <c r="AH200" s="1">
        <v>0.92259631023321798</v>
      </c>
      <c r="AI200" s="1">
        <v>11.112383363822399</v>
      </c>
      <c r="AJ200" s="1">
        <v>315.20798516273499</v>
      </c>
      <c r="AK200" s="1">
        <v>228.23391914367599</v>
      </c>
      <c r="AL200" s="7"/>
      <c r="AM200" s="1"/>
      <c r="AN200" s="1"/>
      <c r="AO200" s="8"/>
      <c r="AP200" s="1"/>
      <c r="AQ200" s="1"/>
      <c r="AR200" s="1"/>
      <c r="AS200" s="8"/>
      <c r="AT200" s="7">
        <v>0.08</v>
      </c>
      <c r="AU200" s="1">
        <v>0.32581649063757501</v>
      </c>
      <c r="AV200" s="1">
        <v>34.859166103372601</v>
      </c>
      <c r="AW200" s="1">
        <v>0.97237015296799301</v>
      </c>
      <c r="AX200" s="1">
        <v>15.5862151947507</v>
      </c>
      <c r="AY200" s="1">
        <v>38.246899347401097</v>
      </c>
      <c r="AZ200" s="1">
        <v>0.97347291871317398</v>
      </c>
      <c r="BA200" s="1">
        <v>15.7631053180273</v>
      </c>
      <c r="BB200" s="1">
        <v>189.08722448348999</v>
      </c>
      <c r="BC200" s="1">
        <v>126.46061706542901</v>
      </c>
      <c r="BD200" s="7"/>
      <c r="BE200" s="1"/>
      <c r="BF200" s="1"/>
      <c r="BG200" s="8"/>
      <c r="BH200" s="1"/>
      <c r="BI200" s="1"/>
      <c r="BJ200" s="1"/>
      <c r="BK200" s="8"/>
    </row>
    <row r="201" spans="1:63">
      <c r="A201" s="49"/>
      <c r="B201" s="7" t="s">
        <v>18</v>
      </c>
      <c r="C201" s="17">
        <v>0.06</v>
      </c>
      <c r="D201" s="7">
        <v>40</v>
      </c>
      <c r="E201" s="1">
        <v>5.1204781542589603E-2</v>
      </c>
      <c r="F201" s="1">
        <v>30.493389353045</v>
      </c>
      <c r="G201" s="1">
        <v>0.83304416197823905</v>
      </c>
      <c r="H201" s="1">
        <v>7.7739839016871901</v>
      </c>
      <c r="I201" s="1">
        <v>35.1629336128684</v>
      </c>
      <c r="J201" s="1">
        <v>0.83551803622920395</v>
      </c>
      <c r="K201" s="8">
        <v>7.8388171755757403</v>
      </c>
      <c r="L201" s="7">
        <v>39</v>
      </c>
      <c r="M201" s="1">
        <v>4.57401035914844E-2</v>
      </c>
      <c r="N201" s="1">
        <v>30.562949836069901</v>
      </c>
      <c r="O201" s="1">
        <v>0.838266057623963</v>
      </c>
      <c r="P201" s="1">
        <v>7.9119882709610501</v>
      </c>
      <c r="Q201" s="1">
        <v>35.521427007501998</v>
      </c>
      <c r="R201" s="1">
        <v>0.840120306073183</v>
      </c>
      <c r="S201" s="8">
        <v>7.9620669182312698</v>
      </c>
      <c r="T201" s="7"/>
      <c r="U201" s="1"/>
      <c r="V201" s="1"/>
      <c r="W201" s="8"/>
      <c r="X201" s="7"/>
      <c r="Y201" s="1"/>
      <c r="Z201" s="1"/>
      <c r="AA201" s="8"/>
      <c r="AB201" s="7">
        <v>2</v>
      </c>
      <c r="AC201" s="1">
        <v>3.3438504087435802E-2</v>
      </c>
      <c r="AD201" s="1">
        <v>30.0742422049696</v>
      </c>
      <c r="AE201" s="1">
        <v>0.80360661813839596</v>
      </c>
      <c r="AF201" s="1">
        <v>7.0687315132205102</v>
      </c>
      <c r="AG201" s="1">
        <v>34.673123039888402</v>
      </c>
      <c r="AH201" s="1">
        <v>0.80563311434052298</v>
      </c>
      <c r="AI201" s="1">
        <v>7.1137772397955397</v>
      </c>
      <c r="AJ201" s="1">
        <v>374.40887641906698</v>
      </c>
      <c r="AK201" s="1">
        <v>237.910911560058</v>
      </c>
      <c r="AL201" s="7"/>
      <c r="AM201" s="1"/>
      <c r="AN201" s="1"/>
      <c r="AO201" s="8"/>
      <c r="AP201" s="1"/>
      <c r="AQ201" s="1"/>
      <c r="AR201" s="1"/>
      <c r="AS201" s="8"/>
      <c r="AT201" s="7">
        <v>0.04</v>
      </c>
      <c r="AU201" s="1">
        <v>0.205057535147291</v>
      </c>
      <c r="AV201" s="1">
        <v>32.901255464953401</v>
      </c>
      <c r="AW201" s="1">
        <v>0.94800298117275195</v>
      </c>
      <c r="AX201" s="1">
        <v>12.8402155528808</v>
      </c>
      <c r="AY201" s="1">
        <v>36.675492470968599</v>
      </c>
      <c r="AZ201" s="1">
        <v>0.94940366876236504</v>
      </c>
      <c r="BA201" s="1">
        <v>12.958809729035799</v>
      </c>
      <c r="BB201" s="1">
        <v>230.44016695022501</v>
      </c>
      <c r="BC201" s="1">
        <v>166.481491327285</v>
      </c>
      <c r="BD201" s="7"/>
      <c r="BE201" s="1"/>
      <c r="BF201" s="1"/>
      <c r="BG201" s="8"/>
      <c r="BH201" s="1"/>
      <c r="BI201" s="1"/>
      <c r="BJ201" s="1"/>
      <c r="BK201" s="8"/>
    </row>
    <row r="202" spans="1:63">
      <c r="A202" s="49"/>
      <c r="B202" s="7" t="s">
        <v>53</v>
      </c>
      <c r="C202" s="17">
        <v>1.5</v>
      </c>
      <c r="D202" s="7">
        <v>20</v>
      </c>
      <c r="E202" s="1">
        <v>1.3989952400447101</v>
      </c>
      <c r="F202" s="1">
        <v>43.494180634199601</v>
      </c>
      <c r="G202" s="1">
        <v>0.996367589977882</v>
      </c>
      <c r="H202" s="1">
        <v>24.3980513473998</v>
      </c>
      <c r="I202" s="1">
        <v>47.352123764785098</v>
      </c>
      <c r="J202" s="1">
        <v>0.99837413891386495</v>
      </c>
      <c r="K202" s="8">
        <v>27.889165633559401</v>
      </c>
      <c r="L202" s="7">
        <v>18</v>
      </c>
      <c r="M202" s="1">
        <v>1.3390203291698899</v>
      </c>
      <c r="N202" s="1">
        <v>43.736928863706801</v>
      </c>
      <c r="O202" s="1">
        <v>0.99647271218598699</v>
      </c>
      <c r="P202" s="1">
        <v>24.5255910201736</v>
      </c>
      <c r="Q202" s="1">
        <v>47.691852135053502</v>
      </c>
      <c r="R202" s="1">
        <v>0.99839132656734797</v>
      </c>
      <c r="S202" s="8">
        <v>27.935321105263402</v>
      </c>
      <c r="T202" s="13">
        <f>bdrate(E202:E205,F202:F205,M202:M205,N202:N205)</f>
        <v>-0.1549038016361779</v>
      </c>
      <c r="U202" s="12">
        <f>bdrate(E202:E205,H202:H205,M202:M205,P202:P205)</f>
        <v>-0.1300179678689749</v>
      </c>
      <c r="V202" s="12">
        <f>bdrate(E202:E205,I202:I205,M202:M205,Q202:Q205)</f>
        <v>-0.16434659186057288</v>
      </c>
      <c r="W202" s="14">
        <f>bdrate(E202:E205,K202:K205,M202:M205,S202:S205)</f>
        <v>-0.11922614471003234</v>
      </c>
      <c r="X202" s="13">
        <f>bdrate(E204:E207,F204:F207,M204:M207,N204:N207)</f>
        <v>-0.2460231156881173</v>
      </c>
      <c r="Y202" s="12">
        <f>bdrate(E204:E207,H204:H207,M204:M207,P204:P207)</f>
        <v>-0.21634152303003096</v>
      </c>
      <c r="Z202" s="12">
        <f>bdrate(E204:E207,I204:I207,M204:M207,Q204:Q207)</f>
        <v>-0.23981291813159822</v>
      </c>
      <c r="AA202" s="14">
        <f>bdrate(E204:E207,K204:K207,M204:M207,S204:S207)</f>
        <v>-0.18119388728846109</v>
      </c>
      <c r="AB202" s="7">
        <v>256</v>
      </c>
      <c r="AC202" s="1">
        <v>1.2561158028747099</v>
      </c>
      <c r="AD202" s="1">
        <v>43.407325923779602</v>
      </c>
      <c r="AE202" s="1">
        <v>0.99648441933182297</v>
      </c>
      <c r="AF202" s="1">
        <v>24.5400293233476</v>
      </c>
      <c r="AG202" s="1">
        <v>47.056517474767901</v>
      </c>
      <c r="AH202" s="1">
        <v>0.99836092491365502</v>
      </c>
      <c r="AI202" s="1">
        <v>27.854011508601499</v>
      </c>
      <c r="AJ202" s="1">
        <v>358.70851612091002</v>
      </c>
      <c r="AK202" s="1">
        <v>167.047466039657</v>
      </c>
      <c r="AL202" s="13">
        <f>bdrate(E202:E205,F202:F205,AC202:AC205,AD202:AD205)</f>
        <v>-0.12100306654266746</v>
      </c>
      <c r="AM202" s="12">
        <f>bdrate(E202:E205,H202:H205,AC202:AC205,AF202:AF205)</f>
        <v>-0.15298028470398906</v>
      </c>
      <c r="AN202" s="12">
        <f>bdrate(E202:E205,I202:I205,AC202:AC205,AG202:AG205)</f>
        <v>-8.9305280218348937E-2</v>
      </c>
      <c r="AO202" s="14">
        <f>bdrate(E202:E205,K202:K205,AC202:AC205,AI202:AI205)</f>
        <v>-0.13851755582801395</v>
      </c>
      <c r="AP202" s="12">
        <f>bdrate(E204:E207,F204:F207,AC204:AC207,AD204:AD207)</f>
        <v>-0.19010561902941892</v>
      </c>
      <c r="AQ202" s="12">
        <f>bdrate(E204:E207,H204:H207,AC204:AC207,AF204:AF207)</f>
        <v>-0.23010320704365828</v>
      </c>
      <c r="AR202" s="12">
        <f>bdrate(E204:E207,I204:I207,AC204:AC207,AG204:AG207)</f>
        <v>-0.15804783668417466</v>
      </c>
      <c r="AS202" s="14">
        <f>bdrate(E204:E207,K204:K207,AC204:AC207,AI204:AI207)</f>
        <v>-0.20231173237087441</v>
      </c>
      <c r="AT202" s="7">
        <v>6.4</v>
      </c>
      <c r="AU202" s="1">
        <v>1.4199581306203799</v>
      </c>
      <c r="AV202" s="1">
        <v>42.0997521378101</v>
      </c>
      <c r="AW202" s="1">
        <v>0.99844243587623205</v>
      </c>
      <c r="AX202" s="1">
        <v>28.075540647169198</v>
      </c>
      <c r="AY202" s="1">
        <v>45.3298247936211</v>
      </c>
      <c r="AZ202" s="1">
        <v>0.99920224568409</v>
      </c>
      <c r="BA202" s="1">
        <v>30.981308375628601</v>
      </c>
      <c r="BB202" s="1">
        <v>992.71355128288201</v>
      </c>
      <c r="BC202" s="1">
        <v>174.60796833038299</v>
      </c>
      <c r="BD202" s="13">
        <f>bdrate(E202:E205,F202:F205,AU202:AU205,AV202:AV205)</f>
        <v>0.32587503205273149</v>
      </c>
      <c r="BE202" s="12">
        <f>bdrate(E202:E205,H202:H205,AU202:AU205,AX202:AX205)</f>
        <v>-0.4231046895385846</v>
      </c>
      <c r="BF202" s="12">
        <f>bdrate(E202:E205,I202:I205,AU202:AU205,AY202:AY205)</f>
        <v>0.44190382445194842</v>
      </c>
      <c r="BG202" s="14">
        <f>bdrate(E202:E205,K202:K205,AU202:AU205,BA202:BA205)</f>
        <v>-0.36833859291110704</v>
      </c>
      <c r="BH202" s="12">
        <f>bdrate(E204:E207,F204:F207,AU204:AU207,AV204:AV207)</f>
        <v>0.19705261357013359</v>
      </c>
      <c r="BI202" s="12">
        <f>bdrate(E204:E207,H204:H207,AU204:AU207,AX204:AX207)</f>
        <v>-0.4533452247074381</v>
      </c>
      <c r="BJ202" s="12">
        <f>bdrate(E204:E207,I204:I207,AU204:AU207,AY204:AY207)</f>
        <v>0.26486597875298035</v>
      </c>
      <c r="BK202" s="14">
        <f>bdrate(E204:E207,K204:K207,AU204:AU207,BA204:BA207)</f>
        <v>-0.40566959555499738</v>
      </c>
    </row>
    <row r="203" spans="1:63">
      <c r="A203" s="49"/>
      <c r="B203" s="7" t="s">
        <v>18</v>
      </c>
      <c r="C203" s="17">
        <v>1</v>
      </c>
      <c r="D203" s="7">
        <v>23</v>
      </c>
      <c r="E203" s="1">
        <v>0.99765782253893098</v>
      </c>
      <c r="F203" s="1">
        <v>41.861078794907698</v>
      </c>
      <c r="G203" s="1">
        <v>0.99435338123846795</v>
      </c>
      <c r="H203" s="1">
        <v>22.482115332038699</v>
      </c>
      <c r="I203" s="1">
        <v>45.594466864726201</v>
      </c>
      <c r="J203" s="1">
        <v>0.997340597940651</v>
      </c>
      <c r="K203" s="8">
        <v>25.752159992774299</v>
      </c>
      <c r="L203" s="7">
        <v>21</v>
      </c>
      <c r="M203" s="1">
        <v>0.92518280113144002</v>
      </c>
      <c r="N203" s="1">
        <v>42.0893354616531</v>
      </c>
      <c r="O203" s="1">
        <v>0.994501282558091</v>
      </c>
      <c r="P203" s="1">
        <v>22.597385964797201</v>
      </c>
      <c r="Q203" s="1">
        <v>45.943401446983202</v>
      </c>
      <c r="R203" s="1">
        <v>0.99741539786741795</v>
      </c>
      <c r="S203" s="8">
        <v>25.876063016699199</v>
      </c>
      <c r="T203" s="7"/>
      <c r="U203" s="1"/>
      <c r="V203" s="1"/>
      <c r="W203" s="8"/>
      <c r="X203" s="7"/>
      <c r="Y203" s="1"/>
      <c r="Z203" s="1"/>
      <c r="AA203" s="8"/>
      <c r="AB203" s="7">
        <v>128</v>
      </c>
      <c r="AC203" s="1">
        <v>0.87656849851376295</v>
      </c>
      <c r="AD203" s="1">
        <v>41.741688597621597</v>
      </c>
      <c r="AE203" s="1">
        <v>0.99436818160356</v>
      </c>
      <c r="AF203" s="1">
        <v>22.493513578957</v>
      </c>
      <c r="AG203" s="1">
        <v>45.259115930446697</v>
      </c>
      <c r="AH203" s="1">
        <v>0.99726142121162598</v>
      </c>
      <c r="AI203" s="1">
        <v>25.6247475998852</v>
      </c>
      <c r="AJ203" s="1">
        <v>320.795024871826</v>
      </c>
      <c r="AK203" s="1">
        <v>154.84523487090999</v>
      </c>
      <c r="AL203" s="7"/>
      <c r="AM203" s="1"/>
      <c r="AN203" s="1"/>
      <c r="AO203" s="8"/>
      <c r="AP203" s="1"/>
      <c r="AQ203" s="1"/>
      <c r="AR203" s="1"/>
      <c r="AS203" s="8"/>
      <c r="AT203" s="7">
        <v>3.2</v>
      </c>
      <c r="AU203" s="1">
        <v>1.06188292394818</v>
      </c>
      <c r="AV203" s="1">
        <v>40.553640232088803</v>
      </c>
      <c r="AW203" s="1">
        <v>0.99751563341445304</v>
      </c>
      <c r="AX203" s="1">
        <v>26.047843205995001</v>
      </c>
      <c r="AY203" s="1">
        <v>43.713568366420098</v>
      </c>
      <c r="AZ203" s="1">
        <v>0.99871878561173499</v>
      </c>
      <c r="BA203" s="1">
        <v>28.923781927769699</v>
      </c>
      <c r="BB203" s="1">
        <v>692.61039686203003</v>
      </c>
      <c r="BC203" s="1">
        <v>217.78210735320999</v>
      </c>
      <c r="BD203" s="7"/>
      <c r="BE203" s="1"/>
      <c r="BF203" s="1"/>
      <c r="BG203" s="8"/>
      <c r="BH203" s="1"/>
      <c r="BI203" s="1"/>
      <c r="BJ203" s="1"/>
      <c r="BK203" s="8"/>
    </row>
    <row r="204" spans="1:63">
      <c r="A204" s="49"/>
      <c r="B204" s="7" t="s">
        <v>18</v>
      </c>
      <c r="C204" s="17">
        <v>0.5</v>
      </c>
      <c r="D204" s="7">
        <v>29</v>
      </c>
      <c r="E204" s="1">
        <v>0.48244410491992601</v>
      </c>
      <c r="F204" s="1">
        <v>38.4883386036757</v>
      </c>
      <c r="G204" s="1">
        <v>0.98634494824728203</v>
      </c>
      <c r="H204" s="1">
        <v>18.647066495427701</v>
      </c>
      <c r="I204" s="1">
        <v>42.012110418051797</v>
      </c>
      <c r="J204" s="1">
        <v>0.99301924585801804</v>
      </c>
      <c r="K204" s="8">
        <v>21.560976573182099</v>
      </c>
      <c r="L204" s="7">
        <v>27</v>
      </c>
      <c r="M204" s="1">
        <v>0.44135956705923801</v>
      </c>
      <c r="N204" s="1">
        <v>38.925740573066903</v>
      </c>
      <c r="O204" s="1">
        <v>0.98743227666531697</v>
      </c>
      <c r="P204" s="1">
        <v>19.007433884027702</v>
      </c>
      <c r="Q204" s="1">
        <v>42.501755677658302</v>
      </c>
      <c r="R204" s="1">
        <v>0.99348870616433205</v>
      </c>
      <c r="S204" s="8">
        <v>21.863327057697202</v>
      </c>
      <c r="T204" s="7"/>
      <c r="U204" s="1"/>
      <c r="V204" s="1"/>
      <c r="W204" s="8"/>
      <c r="X204" s="7"/>
      <c r="Y204" s="1"/>
      <c r="Z204" s="1"/>
      <c r="AA204" s="8"/>
      <c r="AB204" s="7">
        <v>32</v>
      </c>
      <c r="AC204" s="1">
        <v>0.40503888798471099</v>
      </c>
      <c r="AD204" s="1">
        <v>38.400348831297997</v>
      </c>
      <c r="AE204" s="1">
        <v>0.98676456577829397</v>
      </c>
      <c r="AF204" s="1">
        <v>18.7826180600619</v>
      </c>
      <c r="AG204" s="1">
        <v>41.781748372743998</v>
      </c>
      <c r="AH204" s="1">
        <v>0.99319007200340104</v>
      </c>
      <c r="AI204" s="1">
        <v>21.668574799881501</v>
      </c>
      <c r="AJ204" s="1">
        <v>215.759382724761</v>
      </c>
      <c r="AK204" s="1">
        <v>109.948419332504</v>
      </c>
      <c r="AL204" s="7"/>
      <c r="AM204" s="1"/>
      <c r="AN204" s="1"/>
      <c r="AO204" s="8"/>
      <c r="AP204" s="1"/>
      <c r="AQ204" s="1"/>
      <c r="AR204" s="1"/>
      <c r="AS204" s="8"/>
      <c r="AT204" s="7">
        <v>0.64</v>
      </c>
      <c r="AU204" s="1">
        <v>0.48354090772540897</v>
      </c>
      <c r="AV204" s="1">
        <v>37.421728567647399</v>
      </c>
      <c r="AW204" s="1">
        <v>0.99284762315712505</v>
      </c>
      <c r="AX204" s="1">
        <v>21.4554961159618</v>
      </c>
      <c r="AY204" s="1">
        <v>40.581569975852801</v>
      </c>
      <c r="AZ204" s="1">
        <v>0.99613729062748901</v>
      </c>
      <c r="BA204" s="1">
        <v>24.131079666320598</v>
      </c>
      <c r="BB204" s="1">
        <v>312.556940555572</v>
      </c>
      <c r="BC204" s="1">
        <v>159.39892792701701</v>
      </c>
      <c r="BD204" s="7"/>
      <c r="BE204" s="1"/>
      <c r="BF204" s="1"/>
      <c r="BG204" s="8"/>
      <c r="BH204" s="1"/>
      <c r="BI204" s="1"/>
      <c r="BJ204" s="1"/>
      <c r="BK204" s="8"/>
    </row>
    <row r="205" spans="1:63">
      <c r="A205" s="49"/>
      <c r="B205" s="7" t="s">
        <v>18</v>
      </c>
      <c r="C205" s="17">
        <v>0.25</v>
      </c>
      <c r="D205" s="7">
        <v>35</v>
      </c>
      <c r="E205" s="1">
        <v>0.22838990574968199</v>
      </c>
      <c r="F205" s="1">
        <v>35.304865502558997</v>
      </c>
      <c r="G205" s="1">
        <v>0.97178449651052101</v>
      </c>
      <c r="H205" s="1">
        <v>15.495121955888299</v>
      </c>
      <c r="I205" s="1">
        <v>38.656884713718398</v>
      </c>
      <c r="J205" s="1">
        <v>0.98397334343569698</v>
      </c>
      <c r="K205" s="8">
        <v>17.951570694813601</v>
      </c>
      <c r="L205" s="7">
        <v>32</v>
      </c>
      <c r="M205" s="1">
        <v>0.233345593498336</v>
      </c>
      <c r="N205" s="1">
        <v>36.465580461584203</v>
      </c>
      <c r="O205" s="1">
        <v>0.97757409471296397</v>
      </c>
      <c r="P205" s="1">
        <v>16.492500163673199</v>
      </c>
      <c r="Q205" s="1">
        <v>39.864436286828699</v>
      </c>
      <c r="R205" s="1">
        <v>0.98724878416949302</v>
      </c>
      <c r="S205" s="8">
        <v>18.9444840320606</v>
      </c>
      <c r="T205" s="7"/>
      <c r="U205" s="1"/>
      <c r="V205" s="1"/>
      <c r="W205" s="8"/>
      <c r="X205" s="7"/>
      <c r="Y205" s="1"/>
      <c r="Z205" s="1"/>
      <c r="AA205" s="8"/>
      <c r="AB205" s="7">
        <v>16</v>
      </c>
      <c r="AC205" s="1">
        <v>0.28317714966538599</v>
      </c>
      <c r="AD205" s="1">
        <v>36.921020501063303</v>
      </c>
      <c r="AE205" s="1">
        <v>0.98135947727971795</v>
      </c>
      <c r="AF205" s="1">
        <v>17.2954191326148</v>
      </c>
      <c r="AG205" s="1">
        <v>40.208606869704099</v>
      </c>
      <c r="AH205" s="1">
        <v>0.98996587495617205</v>
      </c>
      <c r="AI205" s="1">
        <v>19.985204911589801</v>
      </c>
      <c r="AJ205" s="1">
        <v>190.436912298202</v>
      </c>
      <c r="AK205" s="1">
        <v>108.997661828994</v>
      </c>
      <c r="AL205" s="7"/>
      <c r="AM205" s="1"/>
      <c r="AN205" s="1"/>
      <c r="AO205" s="8"/>
      <c r="AP205" s="1"/>
      <c r="AQ205" s="1"/>
      <c r="AR205" s="1"/>
      <c r="AS205" s="8"/>
      <c r="AT205" s="7">
        <v>0.16</v>
      </c>
      <c r="AU205" s="1">
        <v>0.228567713990664</v>
      </c>
      <c r="AV205" s="1">
        <v>34.492256021569297</v>
      </c>
      <c r="AW205" s="1">
        <v>0.98372035927975698</v>
      </c>
      <c r="AX205" s="1">
        <v>17.883551839024602</v>
      </c>
      <c r="AY205" s="1">
        <v>37.5587042544905</v>
      </c>
      <c r="AZ205" s="1">
        <v>0.99058848151967005</v>
      </c>
      <c r="BA205" s="1">
        <v>20.2634030065086</v>
      </c>
      <c r="BB205" s="1">
        <v>198.32422876358001</v>
      </c>
      <c r="BC205" s="1">
        <v>119.986966371536</v>
      </c>
      <c r="BD205" s="7"/>
      <c r="BE205" s="1"/>
      <c r="BF205" s="1"/>
      <c r="BG205" s="8"/>
      <c r="BH205" s="1"/>
      <c r="BI205" s="1"/>
      <c r="BJ205" s="1"/>
      <c r="BK205" s="8"/>
    </row>
    <row r="206" spans="1:63">
      <c r="A206" s="49"/>
      <c r="B206" s="7" t="s">
        <v>18</v>
      </c>
      <c r="C206" s="17">
        <v>0.12</v>
      </c>
      <c r="D206" s="7">
        <v>41</v>
      </c>
      <c r="E206" s="1">
        <v>0.106921384938192</v>
      </c>
      <c r="F206" s="1">
        <v>32.084609491998201</v>
      </c>
      <c r="G206" s="1">
        <v>0.94512562366297803</v>
      </c>
      <c r="H206" s="1">
        <v>12.6063040260274</v>
      </c>
      <c r="I206" s="1">
        <v>35.271634548276801</v>
      </c>
      <c r="J206" s="1">
        <v>0.96337346656908995</v>
      </c>
      <c r="K206" s="8">
        <v>14.362041837943799</v>
      </c>
      <c r="L206" s="7">
        <v>38</v>
      </c>
      <c r="M206" s="1">
        <v>0.109970254561335</v>
      </c>
      <c r="N206" s="1">
        <v>33.523144207889501</v>
      </c>
      <c r="O206" s="1">
        <v>0.95744572911661097</v>
      </c>
      <c r="P206" s="1">
        <v>13.710568462020101</v>
      </c>
      <c r="Q206" s="1">
        <v>36.723924991340802</v>
      </c>
      <c r="R206" s="1">
        <v>0.97183889937448098</v>
      </c>
      <c r="S206" s="8">
        <v>15.5035037558645</v>
      </c>
      <c r="T206" s="7"/>
      <c r="U206" s="1"/>
      <c r="V206" s="1"/>
      <c r="W206" s="8"/>
      <c r="X206" s="7"/>
      <c r="Y206" s="1"/>
      <c r="Z206" s="1"/>
      <c r="AA206" s="8"/>
      <c r="AB206" s="7">
        <v>4</v>
      </c>
      <c r="AC206" s="1">
        <v>0.137977283085298</v>
      </c>
      <c r="AD206" s="1">
        <v>34.239112674020497</v>
      </c>
      <c r="AE206" s="1">
        <v>0.96601270036820597</v>
      </c>
      <c r="AF206" s="1">
        <v>14.686833397299401</v>
      </c>
      <c r="AG206" s="1">
        <v>37.338049121341903</v>
      </c>
      <c r="AH206" s="1">
        <v>0.97858874524227402</v>
      </c>
      <c r="AI206" s="1">
        <v>16.693578811227098</v>
      </c>
      <c r="AJ206" s="1">
        <v>249.96378421783399</v>
      </c>
      <c r="AK206" s="1">
        <v>175.90235280990601</v>
      </c>
      <c r="AL206" s="7"/>
      <c r="AM206" s="1"/>
      <c r="AN206" s="1"/>
      <c r="AO206" s="8"/>
      <c r="AP206" s="1"/>
      <c r="AQ206" s="1"/>
      <c r="AR206" s="1"/>
      <c r="AS206" s="8"/>
      <c r="AT206" s="7">
        <v>0.08</v>
      </c>
      <c r="AU206" s="1">
        <v>0.15091585981795799</v>
      </c>
      <c r="AV206" s="1">
        <v>32.940167940786402</v>
      </c>
      <c r="AW206" s="1">
        <v>0.97638841711618096</v>
      </c>
      <c r="AX206" s="1">
        <v>16.2687489751826</v>
      </c>
      <c r="AY206" s="1">
        <v>35.944437035973898</v>
      </c>
      <c r="AZ206" s="1">
        <v>0.98590979349608499</v>
      </c>
      <c r="BA206" s="1">
        <v>18.5108264189039</v>
      </c>
      <c r="BB206" s="1">
        <v>153.54010486602701</v>
      </c>
      <c r="BC206" s="1">
        <v>102.411808013916</v>
      </c>
      <c r="BD206" s="7"/>
      <c r="BE206" s="1"/>
      <c r="BF206" s="1"/>
      <c r="BG206" s="8"/>
      <c r="BH206" s="1"/>
      <c r="BI206" s="1"/>
      <c r="BJ206" s="1"/>
      <c r="BK206" s="8"/>
    </row>
    <row r="207" spans="1:63">
      <c r="A207" s="49"/>
      <c r="B207" s="7" t="s">
        <v>18</v>
      </c>
      <c r="C207" s="17">
        <v>0.06</v>
      </c>
      <c r="D207" s="7">
        <v>46</v>
      </c>
      <c r="E207" s="1">
        <v>5.6326336754309703E-2</v>
      </c>
      <c r="F207" s="1">
        <v>29.378045744280801</v>
      </c>
      <c r="G207" s="1">
        <v>0.90837189523536899</v>
      </c>
      <c r="H207" s="1">
        <v>10.379712962874899</v>
      </c>
      <c r="I207" s="1">
        <v>32.463996605948999</v>
      </c>
      <c r="J207" s="1">
        <v>0.93084378793207501</v>
      </c>
      <c r="K207" s="8">
        <v>11.6016880260243</v>
      </c>
      <c r="L207" s="7">
        <v>43</v>
      </c>
      <c r="M207" s="1">
        <v>5.9092880030660697E-2</v>
      </c>
      <c r="N207" s="1">
        <v>30.989365945467799</v>
      </c>
      <c r="O207" s="1">
        <v>0.92909923378209602</v>
      </c>
      <c r="P207" s="1">
        <v>11.49349071412</v>
      </c>
      <c r="Q207" s="1">
        <v>34.059252263708103</v>
      </c>
      <c r="R207" s="1">
        <v>0.94671643816529705</v>
      </c>
      <c r="S207" s="8">
        <v>12.7340675167834</v>
      </c>
      <c r="T207" s="7"/>
      <c r="U207" s="1"/>
      <c r="V207" s="1"/>
      <c r="W207" s="8"/>
      <c r="X207" s="7"/>
      <c r="Y207" s="1"/>
      <c r="Z207" s="1"/>
      <c r="AA207" s="8"/>
      <c r="AB207" s="7">
        <v>2</v>
      </c>
      <c r="AC207" s="1">
        <v>9.4221160471220505E-2</v>
      </c>
      <c r="AD207" s="1">
        <v>32.820524470381301</v>
      </c>
      <c r="AE207" s="1">
        <v>0.95390529336734098</v>
      </c>
      <c r="AF207" s="1">
        <v>13.3634894472358</v>
      </c>
      <c r="AG207" s="1">
        <v>35.806519281145</v>
      </c>
      <c r="AH207" s="1">
        <v>0.96810138911264898</v>
      </c>
      <c r="AI207" s="1">
        <v>14.962282290774199</v>
      </c>
      <c r="AJ207" s="1">
        <v>351.41548156738202</v>
      </c>
      <c r="AK207" s="1">
        <v>198.71560287475501</v>
      </c>
      <c r="AL207" s="7"/>
      <c r="AM207" s="1"/>
      <c r="AN207" s="1"/>
      <c r="AO207" s="8"/>
      <c r="AP207" s="1"/>
      <c r="AQ207" s="1"/>
      <c r="AR207" s="1"/>
      <c r="AS207" s="8"/>
      <c r="AT207" s="7">
        <v>0.04</v>
      </c>
      <c r="AU207" s="1">
        <v>9.6213377536844405E-2</v>
      </c>
      <c r="AV207" s="1">
        <v>31.3779282700716</v>
      </c>
      <c r="AW207" s="1">
        <v>0.96677298658385502</v>
      </c>
      <c r="AX207" s="1">
        <v>14.785086931834799</v>
      </c>
      <c r="AY207" s="1">
        <v>34.328663927362001</v>
      </c>
      <c r="AZ207" s="1">
        <v>0.97908434973666802</v>
      </c>
      <c r="BA207" s="1">
        <v>16.795286287459501</v>
      </c>
      <c r="BB207" s="1">
        <v>188.79296040534899</v>
      </c>
      <c r="BC207" s="1">
        <v>131.77705931663499</v>
      </c>
      <c r="BD207" s="7"/>
      <c r="BE207" s="1"/>
      <c r="BF207" s="1"/>
      <c r="BG207" s="8"/>
      <c r="BH207" s="1"/>
      <c r="BI207" s="1"/>
      <c r="BJ207" s="1"/>
      <c r="BK207" s="8"/>
    </row>
    <row r="208" spans="1:63">
      <c r="A208" s="49"/>
      <c r="B208" s="7" t="s">
        <v>54</v>
      </c>
      <c r="C208" s="17">
        <v>1.5</v>
      </c>
      <c r="D208" s="7">
        <v>22</v>
      </c>
      <c r="E208" s="1">
        <v>1.3688180512688599</v>
      </c>
      <c r="F208" s="1">
        <v>41.336371521631399</v>
      </c>
      <c r="G208" s="1">
        <v>0.99289961855758202</v>
      </c>
      <c r="H208" s="1">
        <v>21.487183197475201</v>
      </c>
      <c r="I208" s="1">
        <v>44.923489103978199</v>
      </c>
      <c r="J208" s="1">
        <v>0.99639167225048197</v>
      </c>
      <c r="K208" s="8">
        <v>24.426940217557899</v>
      </c>
      <c r="L208" s="7">
        <v>19</v>
      </c>
      <c r="M208" s="1">
        <v>1.46065672153635</v>
      </c>
      <c r="N208" s="1">
        <v>42.058449880132699</v>
      </c>
      <c r="O208" s="1">
        <v>0.99399670653848604</v>
      </c>
      <c r="P208" s="1">
        <v>22.216104263257801</v>
      </c>
      <c r="Q208" s="1">
        <v>45.827775304694697</v>
      </c>
      <c r="R208" s="1">
        <v>0.997136207794454</v>
      </c>
      <c r="S208" s="8">
        <v>25.430584972785699</v>
      </c>
      <c r="T208" s="13">
        <f>bdrate(E208:E211,F208:F211,M208:M211,N208:N211)</f>
        <v>-0.16613211268328021</v>
      </c>
      <c r="U208" s="12">
        <f>bdrate(E208:E211,H208:H211,M208:M211,P208:P211)</f>
        <v>-0.15025242484450418</v>
      </c>
      <c r="V208" s="12">
        <f>bdrate(E208:E211,I208:I211,M208:M211,Q208:Q211)</f>
        <v>-0.15856675726649361</v>
      </c>
      <c r="W208" s="14">
        <f>bdrate(E208:E211,K208:K211,M208:M211,S208:S211)</f>
        <v>-0.11712554460427449</v>
      </c>
      <c r="X208" s="13">
        <f>bdrate(E210:E213,F210:F213,M210:M213,N210:N213)</f>
        <v>-0.21964642604915818</v>
      </c>
      <c r="Y208" s="12">
        <f>bdrate(E210:E213,H210:H213,M210:M213,P210:P213)</f>
        <v>-0.2030887773963389</v>
      </c>
      <c r="Z208" s="12">
        <f>bdrate(E210:E213,I210:I213,M210:M213,Q210:Q213)</f>
        <v>-0.19791488963604409</v>
      </c>
      <c r="AA208" s="14">
        <f>bdrate(E210:E213,K210:K213,M210:M213,S210:S213)</f>
        <v>-0.12996160078030861</v>
      </c>
      <c r="AB208" s="7">
        <v>256</v>
      </c>
      <c r="AC208" s="1">
        <v>1.42139542609739</v>
      </c>
      <c r="AD208" s="1">
        <v>42.304674053681303</v>
      </c>
      <c r="AE208" s="1">
        <v>0.99520176084336098</v>
      </c>
      <c r="AF208" s="1">
        <v>23.189181094694401</v>
      </c>
      <c r="AG208" s="1">
        <v>45.662452796333298</v>
      </c>
      <c r="AH208" s="1">
        <v>0.99742090817187601</v>
      </c>
      <c r="AI208" s="1">
        <v>25.885331946060202</v>
      </c>
      <c r="AJ208" s="1">
        <v>365.37543416023198</v>
      </c>
      <c r="AK208" s="1">
        <v>196.902145862579</v>
      </c>
      <c r="AL208" s="13">
        <f>bdrate(E208:E211,F208:F211,AC208:AC211,AD208:AD211)</f>
        <v>-0.24040345997281309</v>
      </c>
      <c r="AM208" s="12">
        <f>bdrate(E208:E211,H208:H211,AC208:AC211,AF208:AF211)</f>
        <v>-0.27592937026405251</v>
      </c>
      <c r="AN208" s="12">
        <f>bdrate(E208:E211,I208:I211,AC208:AC211,AG208:AG211)</f>
        <v>-0.18422422750797918</v>
      </c>
      <c r="AO208" s="14">
        <f>bdrate(E208:E211,K208:K211,AC208:AC211,AI208:AI211)</f>
        <v>-0.18511266067801613</v>
      </c>
      <c r="AP208" s="12">
        <f>bdrate(E210:E213,F210:F213,AC210:AC213,AD210:AD213)</f>
        <v>-0.2873987931164429</v>
      </c>
      <c r="AQ208" s="12">
        <f>bdrate(E210:E213,H210:H213,AC210:AC213,AF210:AF213)</f>
        <v>-0.3109950388781888</v>
      </c>
      <c r="AR208" s="12">
        <f>bdrate(E210:E213,I210:I213,AC210:AC213,AG210:AG213)</f>
        <v>-0.22619338523257859</v>
      </c>
      <c r="AS208" s="14">
        <f>bdrate(E210:E213,K210:K213,AC210:AC213,AI210:AI213)</f>
        <v>-0.1963651814333548</v>
      </c>
      <c r="AT208" s="7">
        <v>6.4</v>
      </c>
      <c r="AU208" s="1">
        <v>1.6873247813786001</v>
      </c>
      <c r="AV208" s="1">
        <v>40.948161537152501</v>
      </c>
      <c r="AW208" s="1">
        <v>0.99802046735264904</v>
      </c>
      <c r="AX208" s="1">
        <v>27.0343733127098</v>
      </c>
      <c r="AY208" s="1">
        <v>44.1986149906406</v>
      </c>
      <c r="AZ208" s="1">
        <v>0.99889605878357501</v>
      </c>
      <c r="BA208" s="1">
        <v>29.570540516629698</v>
      </c>
      <c r="BB208" s="1">
        <v>1041.16476821899</v>
      </c>
      <c r="BC208" s="1">
        <v>282.821372509002</v>
      </c>
      <c r="BD208" s="13">
        <f>bdrate(E208:E211,F208:F211,AU208:AU211,AV208:AV211)</f>
        <v>0.22084101008546808</v>
      </c>
      <c r="BE208" s="12">
        <f>bdrate(E208:E211,H208:H211,AU208:AU211,AX208:AX211)</f>
        <v>-0.52049331254423281</v>
      </c>
      <c r="BF208" s="12">
        <f>bdrate(E208:E211,I208:I211,AU208:AU211,AY208:AY211)</f>
        <v>0.31935409045304231</v>
      </c>
      <c r="BG208" s="14">
        <f>bdrate(E208:E211,K208:K211,AU208:AU211,BA208:BA211)</f>
        <v>-0.45230749486684485</v>
      </c>
      <c r="BH208" s="12">
        <f>bdrate(E210:E213,F210:F213,AU210:AU213,AV210:AV213)</f>
        <v>3.4525405799584297E-2</v>
      </c>
      <c r="BI208" s="12">
        <f>bdrate(E210:E213,H210:H213,AU210:AU213,AX210:AX213)</f>
        <v>-0.50709286730472258</v>
      </c>
      <c r="BJ208" s="12">
        <f>bdrate(E210:E213,I210:I213,AU210:AU213,AY210:AY213)</f>
        <v>0.10883282916331427</v>
      </c>
      <c r="BK208" s="14">
        <f>bdrate(E210:E213,K210:K213,AU210:AU213,BA210:BA213)</f>
        <v>-0.40362282401700733</v>
      </c>
    </row>
    <row r="209" spans="1:63">
      <c r="A209" s="49"/>
      <c r="B209" s="7" t="s">
        <v>18</v>
      </c>
      <c r="C209" s="17">
        <v>1</v>
      </c>
      <c r="D209" s="7">
        <v>25</v>
      </c>
      <c r="E209" s="1">
        <v>0.93165455675582898</v>
      </c>
      <c r="F209" s="1">
        <v>39.553931242346302</v>
      </c>
      <c r="G209" s="1">
        <v>0.98892458234962299</v>
      </c>
      <c r="H209" s="1">
        <v>19.556398876932398</v>
      </c>
      <c r="I209" s="1">
        <v>43.0600111457032</v>
      </c>
      <c r="J209" s="1">
        <v>0.99387514996370696</v>
      </c>
      <c r="K209" s="8">
        <v>22.129045403034802</v>
      </c>
      <c r="L209" s="7">
        <v>22</v>
      </c>
      <c r="M209" s="1">
        <v>0.99435388803155</v>
      </c>
      <c r="N209" s="1">
        <v>40.397872977581798</v>
      </c>
      <c r="O209" s="1">
        <v>0.99090416625284605</v>
      </c>
      <c r="P209" s="1">
        <v>20.411574862440101</v>
      </c>
      <c r="Q209" s="1">
        <v>43.997542769052302</v>
      </c>
      <c r="R209" s="1">
        <v>0.99516073173761799</v>
      </c>
      <c r="S209" s="8">
        <v>23.152203023297702</v>
      </c>
      <c r="T209" s="7"/>
      <c r="U209" s="1"/>
      <c r="V209" s="1"/>
      <c r="W209" s="8"/>
      <c r="X209" s="7"/>
      <c r="Y209" s="1"/>
      <c r="Z209" s="1"/>
      <c r="AA209" s="8"/>
      <c r="AB209" s="7">
        <v>128</v>
      </c>
      <c r="AC209" s="1">
        <v>1.0108833804869599</v>
      </c>
      <c r="AD209" s="1">
        <v>40.818834056499099</v>
      </c>
      <c r="AE209" s="1">
        <v>0.99240878512705599</v>
      </c>
      <c r="AF209" s="1">
        <v>21.1968871548859</v>
      </c>
      <c r="AG209" s="1">
        <v>44.066949134551798</v>
      </c>
      <c r="AH209" s="1">
        <v>0.99552775775019897</v>
      </c>
      <c r="AI209" s="1">
        <v>23.494746798751699</v>
      </c>
      <c r="AJ209" s="1">
        <v>324.17846775054898</v>
      </c>
      <c r="AK209" s="1">
        <v>183.613950490951</v>
      </c>
      <c r="AL209" s="7"/>
      <c r="AM209" s="1"/>
      <c r="AN209" s="1"/>
      <c r="AO209" s="8"/>
      <c r="AP209" s="1"/>
      <c r="AQ209" s="1"/>
      <c r="AR209" s="1"/>
      <c r="AS209" s="8"/>
      <c r="AT209" s="7">
        <v>1.28</v>
      </c>
      <c r="AU209" s="1">
        <v>0.82497910236625505</v>
      </c>
      <c r="AV209" s="1">
        <v>37.943355683121801</v>
      </c>
      <c r="AW209" s="1">
        <v>0.99452834088833997</v>
      </c>
      <c r="AX209" s="1">
        <v>22.6188096730708</v>
      </c>
      <c r="AY209" s="1">
        <v>41.049322814575902</v>
      </c>
      <c r="AZ209" s="1">
        <v>0.99686369050784196</v>
      </c>
      <c r="BA209" s="1">
        <v>25.035810875360699</v>
      </c>
      <c r="BB209" s="1">
        <v>511.81492114066998</v>
      </c>
      <c r="BC209" s="1">
        <v>228.18667984008701</v>
      </c>
      <c r="BD209" s="7"/>
      <c r="BE209" s="1"/>
      <c r="BF209" s="1"/>
      <c r="BG209" s="8"/>
      <c r="BH209" s="1"/>
      <c r="BI209" s="1"/>
      <c r="BJ209" s="1"/>
      <c r="BK209" s="8"/>
    </row>
    <row r="210" spans="1:63">
      <c r="A210" s="49"/>
      <c r="B210" s="7" t="s">
        <v>18</v>
      </c>
      <c r="C210" s="17">
        <v>0.5</v>
      </c>
      <c r="D210" s="7">
        <v>30</v>
      </c>
      <c r="E210" s="1">
        <v>0.48941079389574699</v>
      </c>
      <c r="F210" s="1">
        <v>36.8555600763641</v>
      </c>
      <c r="G210" s="1">
        <v>0.98012690353302201</v>
      </c>
      <c r="H210" s="1">
        <v>17.017344593245099</v>
      </c>
      <c r="I210" s="1">
        <v>40.252365194646202</v>
      </c>
      <c r="J210" s="1">
        <v>0.98845778361394798</v>
      </c>
      <c r="K210" s="8">
        <v>19.377107880773199</v>
      </c>
      <c r="L210" s="7">
        <v>28</v>
      </c>
      <c r="M210" s="1">
        <v>0.45317215363511598</v>
      </c>
      <c r="N210" s="1">
        <v>37.370985380886601</v>
      </c>
      <c r="O210" s="1">
        <v>0.98182209752504401</v>
      </c>
      <c r="P210" s="1">
        <v>17.404562309108901</v>
      </c>
      <c r="Q210" s="1">
        <v>40.713103816192799</v>
      </c>
      <c r="R210" s="1">
        <v>0.98889590582523001</v>
      </c>
      <c r="S210" s="8">
        <v>19.5451686358507</v>
      </c>
      <c r="T210" s="7"/>
      <c r="U210" s="1"/>
      <c r="V210" s="1"/>
      <c r="W210" s="8"/>
      <c r="X210" s="7"/>
      <c r="Y210" s="1"/>
      <c r="Z210" s="1"/>
      <c r="AA210" s="8"/>
      <c r="AB210" s="7">
        <v>32</v>
      </c>
      <c r="AC210" s="1">
        <v>0.46114379715363502</v>
      </c>
      <c r="AD210" s="1">
        <v>37.808048819697497</v>
      </c>
      <c r="AE210" s="1">
        <v>0.98446562440576502</v>
      </c>
      <c r="AF210" s="1">
        <v>18.087061985678901</v>
      </c>
      <c r="AG210" s="1">
        <v>40.974489711569497</v>
      </c>
      <c r="AH210" s="1">
        <v>0.990126805560821</v>
      </c>
      <c r="AI210" s="1">
        <v>20.0554231006072</v>
      </c>
      <c r="AJ210" s="1">
        <v>228.73038291931101</v>
      </c>
      <c r="AK210" s="1">
        <v>128.86058521270701</v>
      </c>
      <c r="AL210" s="7"/>
      <c r="AM210" s="1"/>
      <c r="AN210" s="1"/>
      <c r="AO210" s="8"/>
      <c r="AP210" s="1"/>
      <c r="AQ210" s="1"/>
      <c r="AR210" s="1"/>
      <c r="AS210" s="8"/>
      <c r="AT210" s="7">
        <v>0.64</v>
      </c>
      <c r="AU210" s="1">
        <v>0.57000010716735205</v>
      </c>
      <c r="AV210" s="1">
        <v>36.823475412672202</v>
      </c>
      <c r="AW210" s="1">
        <v>0.99158336878602504</v>
      </c>
      <c r="AX210" s="1">
        <v>20.7486170160448</v>
      </c>
      <c r="AY210" s="1">
        <v>39.896182049690204</v>
      </c>
      <c r="AZ210" s="1">
        <v>0.99490370241371695</v>
      </c>
      <c r="BA210" s="1">
        <v>22.927452203298699</v>
      </c>
      <c r="BB210" s="1">
        <v>289.11154556274403</v>
      </c>
      <c r="BC210" s="1">
        <v>184.35858798026999</v>
      </c>
      <c r="BD210" s="7"/>
      <c r="BE210" s="1"/>
      <c r="BF210" s="1"/>
      <c r="BG210" s="8"/>
      <c r="BH210" s="1"/>
      <c r="BI210" s="1"/>
      <c r="BJ210" s="1"/>
      <c r="BK210" s="8"/>
    </row>
    <row r="211" spans="1:63">
      <c r="A211" s="49"/>
      <c r="B211" s="7" t="s">
        <v>18</v>
      </c>
      <c r="C211" s="17">
        <v>0.25</v>
      </c>
      <c r="D211" s="7">
        <v>35</v>
      </c>
      <c r="E211" s="1">
        <v>0.243416709533607</v>
      </c>
      <c r="F211" s="1">
        <v>34.266913502914797</v>
      </c>
      <c r="G211" s="1">
        <v>0.96452111060239099</v>
      </c>
      <c r="H211" s="1">
        <v>14.5002998342992</v>
      </c>
      <c r="I211" s="1">
        <v>37.496701080886297</v>
      </c>
      <c r="J211" s="1">
        <v>0.97725209608136798</v>
      </c>
      <c r="K211" s="8">
        <v>16.430586147655902</v>
      </c>
      <c r="L211" s="7">
        <v>33</v>
      </c>
      <c r="M211" s="1">
        <v>0.22954603909464999</v>
      </c>
      <c r="N211" s="1">
        <v>34.962596717782198</v>
      </c>
      <c r="O211" s="1">
        <v>0.96907646496007604</v>
      </c>
      <c r="P211" s="1">
        <v>15.0971086531718</v>
      </c>
      <c r="Q211" s="1">
        <v>38.109298407449899</v>
      </c>
      <c r="R211" s="1">
        <v>0.97886151134864097</v>
      </c>
      <c r="S211" s="8">
        <v>16.749260668790601</v>
      </c>
      <c r="T211" s="7"/>
      <c r="U211" s="1"/>
      <c r="V211" s="1"/>
      <c r="W211" s="8"/>
      <c r="X211" s="7"/>
      <c r="Y211" s="1"/>
      <c r="Z211" s="1"/>
      <c r="AA211" s="8"/>
      <c r="AB211" s="7">
        <v>8</v>
      </c>
      <c r="AC211" s="1">
        <v>0.21555909207818899</v>
      </c>
      <c r="AD211" s="1">
        <v>35.048682227559901</v>
      </c>
      <c r="AE211" s="1">
        <v>0.970994962482851</v>
      </c>
      <c r="AF211" s="1">
        <v>15.3752656844909</v>
      </c>
      <c r="AG211" s="1">
        <v>38.005032519691802</v>
      </c>
      <c r="AH211" s="1">
        <v>0.97930691024677496</v>
      </c>
      <c r="AI211" s="1">
        <v>16.841746585565001</v>
      </c>
      <c r="AJ211" s="1">
        <v>188.72278428077601</v>
      </c>
      <c r="AK211" s="1">
        <v>122.711925029754</v>
      </c>
      <c r="AL211" s="7"/>
      <c r="AM211" s="1"/>
      <c r="AN211" s="1"/>
      <c r="AO211" s="8"/>
      <c r="AP211" s="1"/>
      <c r="AQ211" s="1"/>
      <c r="AR211" s="1"/>
      <c r="AS211" s="8"/>
      <c r="AT211" s="7">
        <v>0.16</v>
      </c>
      <c r="AU211" s="1">
        <v>0.25609728652263303</v>
      </c>
      <c r="AV211" s="1">
        <v>34.428274083141801</v>
      </c>
      <c r="AW211" s="1">
        <v>0.98109839581551095</v>
      </c>
      <c r="AX211" s="1">
        <v>17.235013355671398</v>
      </c>
      <c r="AY211" s="1">
        <v>37.406965674545503</v>
      </c>
      <c r="AZ211" s="1">
        <v>0.98688762358651405</v>
      </c>
      <c r="BA211" s="1">
        <v>18.8231859208298</v>
      </c>
      <c r="BB211" s="1">
        <v>320.78990459442099</v>
      </c>
      <c r="BC211" s="1">
        <v>176.422443866729</v>
      </c>
      <c r="BD211" s="7"/>
      <c r="BE211" s="1"/>
      <c r="BF211" s="1"/>
      <c r="BG211" s="8"/>
      <c r="BH211" s="1"/>
      <c r="BI211" s="1"/>
      <c r="BJ211" s="1"/>
      <c r="BK211" s="8"/>
    </row>
    <row r="212" spans="1:63">
      <c r="A212" s="49"/>
      <c r="B212" s="7" t="s">
        <v>18</v>
      </c>
      <c r="C212" s="17">
        <v>0.12</v>
      </c>
      <c r="D212" s="7">
        <v>40</v>
      </c>
      <c r="E212" s="1">
        <v>0.113474151234567</v>
      </c>
      <c r="F212" s="1">
        <v>31.794082942666599</v>
      </c>
      <c r="G212" s="1">
        <v>0.93788979400294203</v>
      </c>
      <c r="H212" s="1">
        <v>12.068370303545599</v>
      </c>
      <c r="I212" s="1">
        <v>34.857313449934203</v>
      </c>
      <c r="J212" s="1">
        <v>0.95438351008897604</v>
      </c>
      <c r="K212" s="8">
        <v>13.408781357827801</v>
      </c>
      <c r="L212" s="7">
        <v>38</v>
      </c>
      <c r="M212" s="1">
        <v>0.109092614026063</v>
      </c>
      <c r="N212" s="1">
        <v>32.422424678909401</v>
      </c>
      <c r="O212" s="1">
        <v>0.94555820626590703</v>
      </c>
      <c r="P212" s="1">
        <v>12.640675742110799</v>
      </c>
      <c r="Q212" s="1">
        <v>35.4474672482161</v>
      </c>
      <c r="R212" s="1">
        <v>0.95835273090377904</v>
      </c>
      <c r="S212" s="8">
        <v>13.804134709756999</v>
      </c>
      <c r="T212" s="7"/>
      <c r="U212" s="1"/>
      <c r="V212" s="1"/>
      <c r="W212" s="8"/>
      <c r="X212" s="7"/>
      <c r="Y212" s="1"/>
      <c r="Z212" s="1"/>
      <c r="AA212" s="8"/>
      <c r="AB212" s="7">
        <v>4</v>
      </c>
      <c r="AC212" s="1">
        <v>0.14426172410836699</v>
      </c>
      <c r="AD212" s="1">
        <v>33.623739499120198</v>
      </c>
      <c r="AE212" s="1">
        <v>0.95984970586829998</v>
      </c>
      <c r="AF212" s="1">
        <v>13.963112688334601</v>
      </c>
      <c r="AG212" s="1">
        <v>36.507155532665998</v>
      </c>
      <c r="AH212" s="1">
        <v>0.96909610694924897</v>
      </c>
      <c r="AI212" s="1">
        <v>15.099868078256099</v>
      </c>
      <c r="AJ212" s="1">
        <v>249.70674371719301</v>
      </c>
      <c r="AK212" s="1">
        <v>187.73790144920301</v>
      </c>
      <c r="AL212" s="7"/>
      <c r="AM212" s="1"/>
      <c r="AN212" s="1"/>
      <c r="AO212" s="8"/>
      <c r="AP212" s="1"/>
      <c r="AQ212" s="1"/>
      <c r="AR212" s="1"/>
      <c r="AS212" s="8"/>
      <c r="AT212" s="7">
        <v>0.08</v>
      </c>
      <c r="AU212" s="1">
        <v>0.16542620456104201</v>
      </c>
      <c r="AV212" s="1">
        <v>32.992806830939699</v>
      </c>
      <c r="AW212" s="1">
        <v>0.972646731381551</v>
      </c>
      <c r="AX212" s="1">
        <v>15.629907695814699</v>
      </c>
      <c r="AY212" s="1">
        <v>35.8920557577691</v>
      </c>
      <c r="AZ212" s="1">
        <v>0.97980007351306797</v>
      </c>
      <c r="BA212" s="1">
        <v>16.9465021106714</v>
      </c>
      <c r="BB212" s="1">
        <v>175.87804174423201</v>
      </c>
      <c r="BC212" s="1">
        <v>117.903620481491</v>
      </c>
      <c r="BD212" s="7"/>
      <c r="BE212" s="1"/>
      <c r="BF212" s="1"/>
      <c r="BG212" s="8"/>
      <c r="BH212" s="1"/>
      <c r="BI212" s="1"/>
      <c r="BJ212" s="1"/>
      <c r="BK212" s="8"/>
    </row>
    <row r="213" spans="1:63">
      <c r="A213" s="49"/>
      <c r="B213" s="7" t="s">
        <v>18</v>
      </c>
      <c r="C213" s="17">
        <v>0.06</v>
      </c>
      <c r="D213" s="7">
        <v>44</v>
      </c>
      <c r="E213" s="1">
        <v>5.7391332304526699E-2</v>
      </c>
      <c r="F213" s="1">
        <v>29.9356474079189</v>
      </c>
      <c r="G213" s="1">
        <v>0.90527157069742403</v>
      </c>
      <c r="H213" s="1">
        <v>10.235196636963799</v>
      </c>
      <c r="I213" s="1">
        <v>32.903886397627303</v>
      </c>
      <c r="J213" s="1">
        <v>0.92329582526140797</v>
      </c>
      <c r="K213" s="8">
        <v>11.151809982857801</v>
      </c>
      <c r="L213" s="7">
        <v>42</v>
      </c>
      <c r="M213" s="1">
        <v>5.6322337962962897E-2</v>
      </c>
      <c r="N213" s="1">
        <v>30.539742852288601</v>
      </c>
      <c r="O213" s="1">
        <v>0.91640253872353095</v>
      </c>
      <c r="P213" s="1">
        <v>10.7780691120167</v>
      </c>
      <c r="Q213" s="1">
        <v>33.492253326533302</v>
      </c>
      <c r="R213" s="1">
        <v>0.93027879774891298</v>
      </c>
      <c r="S213" s="8">
        <v>11.5663513265626</v>
      </c>
      <c r="T213" s="7"/>
      <c r="U213" s="1"/>
      <c r="V213" s="1"/>
      <c r="W213" s="8"/>
      <c r="X213" s="7"/>
      <c r="Y213" s="1"/>
      <c r="Z213" s="1"/>
      <c r="AA213" s="8"/>
      <c r="AB213" s="7">
        <v>2</v>
      </c>
      <c r="AC213" s="1">
        <v>8.4491276577503396E-2</v>
      </c>
      <c r="AD213" s="1">
        <v>31.973736759050301</v>
      </c>
      <c r="AE213" s="1">
        <v>0.94239539084282398</v>
      </c>
      <c r="AF213" s="1">
        <v>12.3954276568368</v>
      </c>
      <c r="AG213" s="1">
        <v>34.821848952602899</v>
      </c>
      <c r="AH213" s="1">
        <v>0.95267321636337698</v>
      </c>
      <c r="AI213" s="1">
        <v>13.248930095047699</v>
      </c>
      <c r="AJ213" s="1">
        <v>347.54242491722101</v>
      </c>
      <c r="AK213" s="1">
        <v>234.97644925117399</v>
      </c>
      <c r="AL213" s="7"/>
      <c r="AM213" s="1"/>
      <c r="AN213" s="1"/>
      <c r="AO213" s="8"/>
      <c r="AP213" s="1"/>
      <c r="AQ213" s="1"/>
      <c r="AR213" s="1"/>
      <c r="AS213" s="8"/>
      <c r="AT213" s="7">
        <v>0.04</v>
      </c>
      <c r="AU213" s="1">
        <v>0.106336269718792</v>
      </c>
      <c r="AV213" s="1">
        <v>31.4194350080822</v>
      </c>
      <c r="AW213" s="1">
        <v>0.96088842815396003</v>
      </c>
      <c r="AX213" s="1">
        <v>14.0769472993526</v>
      </c>
      <c r="AY213" s="1">
        <v>34.308771647437403</v>
      </c>
      <c r="AZ213" s="1">
        <v>0.96991646669996801</v>
      </c>
      <c r="BA213" s="1">
        <v>15.216711573559801</v>
      </c>
      <c r="BB213" s="1">
        <v>213.933107852935</v>
      </c>
      <c r="BC213" s="1">
        <v>152.755049705505</v>
      </c>
      <c r="BD213" s="7"/>
      <c r="BE213" s="1"/>
      <c r="BF213" s="1"/>
      <c r="BG213" s="8"/>
      <c r="BH213" s="1"/>
      <c r="BI213" s="1"/>
      <c r="BJ213" s="1"/>
      <c r="BK213" s="8"/>
    </row>
    <row r="214" spans="1:63">
      <c r="A214" s="49"/>
      <c r="B214" s="7" t="s">
        <v>55</v>
      </c>
      <c r="C214" s="17">
        <v>1.5</v>
      </c>
      <c r="D214" s="7">
        <v>22</v>
      </c>
      <c r="E214" s="1">
        <v>1.33389489026063</v>
      </c>
      <c r="F214" s="1">
        <v>41.3393323080657</v>
      </c>
      <c r="G214" s="1">
        <v>0.99257344330376596</v>
      </c>
      <c r="H214" s="1">
        <v>21.292124990849899</v>
      </c>
      <c r="I214" s="1">
        <v>44.704153097522997</v>
      </c>
      <c r="J214" s="1">
        <v>0.99648969702782797</v>
      </c>
      <c r="K214" s="8">
        <v>24.546553982168302</v>
      </c>
      <c r="L214" s="7">
        <v>19</v>
      </c>
      <c r="M214" s="1">
        <v>1.4068083419067201</v>
      </c>
      <c r="N214" s="1">
        <v>42.2063631586296</v>
      </c>
      <c r="O214" s="1">
        <v>0.993693726746262</v>
      </c>
      <c r="P214" s="1">
        <v>22.0022721499959</v>
      </c>
      <c r="Q214" s="1">
        <v>45.770269932507603</v>
      </c>
      <c r="R214" s="1">
        <v>0.99721220503505104</v>
      </c>
      <c r="S214" s="8">
        <v>25.547391706263902</v>
      </c>
      <c r="T214" s="13">
        <f>bdrate(E214:E217,F214:F217,M214:M217,N214:N217)</f>
        <v>-0.20054210764241454</v>
      </c>
      <c r="U214" s="12">
        <f>bdrate(E214:E217,H214:H217,M214:M217,P214:P217)</f>
        <v>-0.16837180793805739</v>
      </c>
      <c r="V214" s="12">
        <f>bdrate(E214:E217,I214:I217,M214:M217,Q214:Q217)</f>
        <v>-0.2006429737627603</v>
      </c>
      <c r="W214" s="14">
        <f>bdrate(E214:E217,K214:K217,M214:M217,S214:S217)</f>
        <v>-0.14876494742053525</v>
      </c>
      <c r="X214" s="13">
        <f>bdrate(E216:E219,F216:F219,M216:M219,N216:N219)</f>
        <v>-0.30095470673976343</v>
      </c>
      <c r="Y214" s="12">
        <f>bdrate(E216:E219,H216:H219,M216:M219,P216:P219)</f>
        <v>-0.27346470708458426</v>
      </c>
      <c r="Z214" s="12">
        <f>bdrate(E216:E219,I216:I219,M216:M219,Q216:Q219)</f>
        <v>-0.2789494118697855</v>
      </c>
      <c r="AA214" s="14">
        <f>bdrate(E216:E219,K216:K219,M216:M219,S216:S219)</f>
        <v>-0.20303758195255739</v>
      </c>
      <c r="AB214" s="7">
        <v>256</v>
      </c>
      <c r="AC214" s="1">
        <v>1.4654272762345599</v>
      </c>
      <c r="AD214" s="1">
        <v>42.7685642035011</v>
      </c>
      <c r="AE214" s="1">
        <v>0.99517384874988701</v>
      </c>
      <c r="AF214" s="1">
        <v>23.163990715569501</v>
      </c>
      <c r="AG214" s="1">
        <v>45.875157463707602</v>
      </c>
      <c r="AH214" s="1">
        <v>0.99756185324759905</v>
      </c>
      <c r="AI214" s="1">
        <v>26.1294015768419</v>
      </c>
      <c r="AJ214" s="1">
        <v>346.51067161560002</v>
      </c>
      <c r="AK214" s="1">
        <v>196.458485364913</v>
      </c>
      <c r="AL214" s="13">
        <f>bdrate(E214:E217,F214:F217,AC214:AC217,AD214:AD217)</f>
        <v>-0.25306638821544858</v>
      </c>
      <c r="AM214" s="12">
        <f>bdrate(E214:E217,H214:H217,AC214:AC217,AF214:AF217)</f>
        <v>-0.27647936502994397</v>
      </c>
      <c r="AN214" s="12">
        <f>bdrate(E214:E217,I214:I217,AC214:AC217,AG214:AG217)</f>
        <v>-0.19139105847850624</v>
      </c>
      <c r="AO214" s="14">
        <f>bdrate(E214:E217,K214:K217,AC214:AC217,AI214:AI217)</f>
        <v>-0.19290107217201247</v>
      </c>
      <c r="AP214" s="12">
        <f>bdrate(E216:E219,F216:F219,AC216:AC219,AD216:AD219)</f>
        <v>-0.31389131385295865</v>
      </c>
      <c r="AQ214" s="12">
        <f>bdrate(E216:E219,H216:H219,AC216:AC219,AF216:AF219)</f>
        <v>-0.32773302608853205</v>
      </c>
      <c r="AR214" s="12">
        <f>bdrate(E216:E219,I216:I219,AC216:AC219,AG216:AG219)</f>
        <v>-0.24687166283399009</v>
      </c>
      <c r="AS214" s="14">
        <f>bdrate(E216:E219,K216:K219,AC216:AC219,AI216:AI219)</f>
        <v>-0.21702523191631218</v>
      </c>
      <c r="AT214" s="7">
        <v>6.4</v>
      </c>
      <c r="AU214" s="1">
        <v>1.6977028677983499</v>
      </c>
      <c r="AV214" s="1">
        <v>41.526218860921901</v>
      </c>
      <c r="AW214" s="1">
        <v>0.99776743608619001</v>
      </c>
      <c r="AX214" s="1">
        <v>26.511960992849701</v>
      </c>
      <c r="AY214" s="1">
        <v>44.288280494463997</v>
      </c>
      <c r="AZ214" s="1">
        <v>0.99867975828366495</v>
      </c>
      <c r="BA214" s="1">
        <v>28.793465487486898</v>
      </c>
      <c r="BB214" s="1">
        <v>971.45964241027798</v>
      </c>
      <c r="BC214" s="1">
        <v>311.16970133781399</v>
      </c>
      <c r="BD214" s="13">
        <f>bdrate(E214:E217,F214:F217,AU214:AU217,AV214:AV217)</f>
        <v>0.13177114087178565</v>
      </c>
      <c r="BE214" s="12">
        <f>bdrate(E214:E217,H214:H217,AU214:AU217,AX214:AX217)</f>
        <v>-0.49480546826246674</v>
      </c>
      <c r="BF214" s="12">
        <f>bdrate(E214:E217,I214:I217,AU214:AU217,AY214:AY217)</f>
        <v>0.28979565239401683</v>
      </c>
      <c r="BG214" s="14">
        <f>bdrate(E214:E217,K214:K217,AU214:AU217,BA214:BA217)</f>
        <v>-0.39013233887120635</v>
      </c>
      <c r="BH214" s="12">
        <f>bdrate(E216:E219,F216:F219,AU216:AU219,AV216:AV219)</f>
        <v>6.7965815530681706E-3</v>
      </c>
      <c r="BI214" s="12">
        <f>bdrate(E216:E219,H216:H219,AU216:AU219,AX216:AX219)</f>
        <v>-0.48478037142625785</v>
      </c>
      <c r="BJ214" s="12">
        <f>bdrate(E216:E219,I216:I219,AU216:AU219,AY216:AY219)</f>
        <v>0.13494610031337895</v>
      </c>
      <c r="BK214" s="14">
        <f>bdrate(E216:E219,K216:K219,AU216:AU219,BA216:BA219)</f>
        <v>-0.3843281007912881</v>
      </c>
    </row>
    <row r="215" spans="1:63">
      <c r="A215" s="49"/>
      <c r="B215" s="7" t="s">
        <v>18</v>
      </c>
      <c r="C215" s="17">
        <v>1</v>
      </c>
      <c r="D215" s="7">
        <v>25</v>
      </c>
      <c r="E215" s="1">
        <v>0.869285836762688</v>
      </c>
      <c r="F215" s="1">
        <v>39.474813010757501</v>
      </c>
      <c r="G215" s="1">
        <v>0.98830422728197098</v>
      </c>
      <c r="H215" s="1">
        <v>19.319710798753601</v>
      </c>
      <c r="I215" s="1">
        <v>42.680042576558698</v>
      </c>
      <c r="J215" s="1">
        <v>0.99406716390864402</v>
      </c>
      <c r="K215" s="8">
        <v>22.267376499101999</v>
      </c>
      <c r="L215" s="7">
        <v>22</v>
      </c>
      <c r="M215" s="1">
        <v>0.92907343106995799</v>
      </c>
      <c r="N215" s="1">
        <v>40.447109302233898</v>
      </c>
      <c r="O215" s="1">
        <v>0.99030920193809502</v>
      </c>
      <c r="P215" s="1">
        <v>20.136404562196599</v>
      </c>
      <c r="Q215" s="1">
        <v>43.786682183690701</v>
      </c>
      <c r="R215" s="1">
        <v>0.99525612502202299</v>
      </c>
      <c r="S215" s="8">
        <v>23.238667650675499</v>
      </c>
      <c r="T215" s="7"/>
      <c r="U215" s="1"/>
      <c r="V215" s="1"/>
      <c r="W215" s="8"/>
      <c r="X215" s="7"/>
      <c r="Y215" s="1"/>
      <c r="Z215" s="1"/>
      <c r="AA215" s="8"/>
      <c r="AB215" s="7">
        <v>128</v>
      </c>
      <c r="AC215" s="1">
        <v>0.99577814214677596</v>
      </c>
      <c r="AD215" s="1">
        <v>41.088216938463297</v>
      </c>
      <c r="AE215" s="1">
        <v>0.99237821970125595</v>
      </c>
      <c r="AF215" s="1">
        <v>21.1794357411781</v>
      </c>
      <c r="AG215" s="1">
        <v>44.067284055788498</v>
      </c>
      <c r="AH215" s="1">
        <v>0.99589653901319697</v>
      </c>
      <c r="AI215" s="1">
        <v>23.868496912274502</v>
      </c>
      <c r="AJ215" s="1">
        <v>305.48363733291598</v>
      </c>
      <c r="AK215" s="1">
        <v>180.59126210212699</v>
      </c>
      <c r="AL215" s="7"/>
      <c r="AM215" s="1"/>
      <c r="AN215" s="1"/>
      <c r="AO215" s="8"/>
      <c r="AP215" s="1"/>
      <c r="AQ215" s="1"/>
      <c r="AR215" s="1"/>
      <c r="AS215" s="8"/>
      <c r="AT215" s="7">
        <v>1.28</v>
      </c>
      <c r="AU215" s="1">
        <v>0.81051847565157698</v>
      </c>
      <c r="AV215" s="1">
        <v>38.623977440072501</v>
      </c>
      <c r="AW215" s="1">
        <v>0.99402040375815603</v>
      </c>
      <c r="AX215" s="1">
        <v>22.2332813973388</v>
      </c>
      <c r="AY215" s="1">
        <v>41.283724172198902</v>
      </c>
      <c r="AZ215" s="1">
        <v>0.99639193815212401</v>
      </c>
      <c r="BA215" s="1">
        <v>24.427260265733398</v>
      </c>
      <c r="BB215" s="1">
        <v>479.87678527832003</v>
      </c>
      <c r="BC215" s="1">
        <v>216.82905149459799</v>
      </c>
      <c r="BD215" s="7"/>
      <c r="BE215" s="1"/>
      <c r="BF215" s="1"/>
      <c r="BG215" s="8"/>
      <c r="BH215" s="1"/>
      <c r="BI215" s="1"/>
      <c r="BJ215" s="1"/>
      <c r="BK215" s="8"/>
    </row>
    <row r="216" spans="1:63">
      <c r="A216" s="49"/>
      <c r="B216" s="7" t="s">
        <v>18</v>
      </c>
      <c r="C216" s="17">
        <v>0.5</v>
      </c>
      <c r="D216" s="7">
        <v>29</v>
      </c>
      <c r="E216" s="1">
        <v>0.49025045010287999</v>
      </c>
      <c r="F216" s="1">
        <v>37.368267230922299</v>
      </c>
      <c r="G216" s="1">
        <v>0.97971270672273003</v>
      </c>
      <c r="H216" s="1">
        <v>16.927758925014299</v>
      </c>
      <c r="I216" s="1">
        <v>40.455763245826198</v>
      </c>
      <c r="J216" s="1">
        <v>0.98890007784518597</v>
      </c>
      <c r="K216" s="8">
        <v>19.546800669659099</v>
      </c>
      <c r="L216" s="7">
        <v>27</v>
      </c>
      <c r="M216" s="1">
        <v>0.43727655606995802</v>
      </c>
      <c r="N216" s="1">
        <v>37.839616667079603</v>
      </c>
      <c r="O216" s="1">
        <v>0.98161090603558998</v>
      </c>
      <c r="P216" s="1">
        <v>17.354396680403699</v>
      </c>
      <c r="Q216" s="1">
        <v>40.924982607652801</v>
      </c>
      <c r="R216" s="1">
        <v>0.989648339258974</v>
      </c>
      <c r="S216" s="8">
        <v>19.8498996974288</v>
      </c>
      <c r="T216" s="7"/>
      <c r="U216" s="1"/>
      <c r="V216" s="1"/>
      <c r="W216" s="8"/>
      <c r="X216" s="7"/>
      <c r="Y216" s="1"/>
      <c r="Z216" s="1"/>
      <c r="AA216" s="8"/>
      <c r="AB216" s="7">
        <v>32</v>
      </c>
      <c r="AC216" s="1">
        <v>0.39661083247599399</v>
      </c>
      <c r="AD216" s="1">
        <v>37.7148402442768</v>
      </c>
      <c r="AE216" s="1">
        <v>0.98214702935250997</v>
      </c>
      <c r="AF216" s="1">
        <v>17.482895090492399</v>
      </c>
      <c r="AG216" s="1">
        <v>40.537388087271097</v>
      </c>
      <c r="AH216" s="1">
        <v>0.98924336624210996</v>
      </c>
      <c r="AI216" s="1">
        <v>19.683236179914999</v>
      </c>
      <c r="AJ216" s="1">
        <v>222.51509881019501</v>
      </c>
      <c r="AK216" s="1">
        <v>131.175634622573</v>
      </c>
      <c r="AL216" s="7"/>
      <c r="AM216" s="1"/>
      <c r="AN216" s="1"/>
      <c r="AO216" s="8"/>
      <c r="AP216" s="1"/>
      <c r="AQ216" s="1"/>
      <c r="AR216" s="1"/>
      <c r="AS216" s="8"/>
      <c r="AT216" s="7">
        <v>0.64</v>
      </c>
      <c r="AU216" s="1">
        <v>0.55451013803155003</v>
      </c>
      <c r="AV216" s="1">
        <v>37.427061730223997</v>
      </c>
      <c r="AW216" s="1">
        <v>0.99090047608009602</v>
      </c>
      <c r="AX216" s="1">
        <v>20.4098132903795</v>
      </c>
      <c r="AY216" s="1">
        <v>40.087607333090702</v>
      </c>
      <c r="AZ216" s="1">
        <v>0.99441081651955798</v>
      </c>
      <c r="BA216" s="1">
        <v>22.526516332297899</v>
      </c>
      <c r="BB216" s="1">
        <v>277.46566319465597</v>
      </c>
      <c r="BC216" s="1">
        <v>181.433238506317</v>
      </c>
      <c r="BD216" s="7"/>
      <c r="BE216" s="1"/>
      <c r="BF216" s="1"/>
      <c r="BG216" s="8"/>
      <c r="BH216" s="1"/>
      <c r="BI216" s="1"/>
      <c r="BJ216" s="1"/>
      <c r="BK216" s="8"/>
    </row>
    <row r="217" spans="1:63">
      <c r="A217" s="49"/>
      <c r="B217" s="7" t="s">
        <v>18</v>
      </c>
      <c r="C217" s="17">
        <v>0.25</v>
      </c>
      <c r="D217" s="7">
        <v>34</v>
      </c>
      <c r="E217" s="1">
        <v>0.24348154578189299</v>
      </c>
      <c r="F217" s="1">
        <v>35.103602189115001</v>
      </c>
      <c r="G217" s="1">
        <v>0.96314996772942296</v>
      </c>
      <c r="H217" s="1">
        <v>14.3356212748125</v>
      </c>
      <c r="I217" s="1">
        <v>38.0662065269984</v>
      </c>
      <c r="J217" s="1">
        <v>0.97785414871974097</v>
      </c>
      <c r="K217" s="8">
        <v>16.547076209013099</v>
      </c>
      <c r="L217" s="7">
        <v>31</v>
      </c>
      <c r="M217" s="1">
        <v>0.24317933384773599</v>
      </c>
      <c r="N217" s="1">
        <v>36.117141940128</v>
      </c>
      <c r="O217" s="1">
        <v>0.97105723048080395</v>
      </c>
      <c r="P217" s="1">
        <v>15.3845991380595</v>
      </c>
      <c r="Q217" s="1">
        <v>39.0658362565161</v>
      </c>
      <c r="R217" s="1">
        <v>0.98202247807142096</v>
      </c>
      <c r="S217" s="8">
        <v>17.452701728316299</v>
      </c>
      <c r="T217" s="7"/>
      <c r="U217" s="1"/>
      <c r="V217" s="1"/>
      <c r="W217" s="8"/>
      <c r="X217" s="7"/>
      <c r="Y217" s="1"/>
      <c r="Z217" s="1"/>
      <c r="AA217" s="8"/>
      <c r="AB217" s="7">
        <v>16</v>
      </c>
      <c r="AC217" s="1">
        <v>0.25487557870370298</v>
      </c>
      <c r="AD217" s="1">
        <v>36.369738328107999</v>
      </c>
      <c r="AE217" s="1">
        <v>0.97430265029458196</v>
      </c>
      <c r="AF217" s="1">
        <v>15.901116652938001</v>
      </c>
      <c r="AG217" s="1">
        <v>39.114313105941697</v>
      </c>
      <c r="AH217" s="1">
        <v>0.98346418165821103</v>
      </c>
      <c r="AI217" s="1">
        <v>17.8157430740109</v>
      </c>
      <c r="AJ217" s="1">
        <v>191.55891799926701</v>
      </c>
      <c r="AK217" s="1">
        <v>119.925081968307</v>
      </c>
      <c r="AL217" s="7"/>
      <c r="AM217" s="1"/>
      <c r="AN217" s="1"/>
      <c r="AO217" s="8"/>
      <c r="AP217" s="1"/>
      <c r="AQ217" s="1"/>
      <c r="AR217" s="1"/>
      <c r="AS217" s="8"/>
      <c r="AT217" s="7">
        <v>0.16</v>
      </c>
      <c r="AU217" s="1">
        <v>0.25220068158436199</v>
      </c>
      <c r="AV217" s="1">
        <v>35.230533534092103</v>
      </c>
      <c r="AW217" s="1">
        <v>0.97965870015001599</v>
      </c>
      <c r="AX217" s="1">
        <v>16.916212982353901</v>
      </c>
      <c r="AY217" s="1">
        <v>37.796912596927498</v>
      </c>
      <c r="AZ217" s="1">
        <v>0.98660741878742897</v>
      </c>
      <c r="BA217" s="1">
        <v>18.7313571138674</v>
      </c>
      <c r="BB217" s="1">
        <v>357.95408844947798</v>
      </c>
      <c r="BC217" s="1">
        <v>203.54257655143701</v>
      </c>
      <c r="BD217" s="7"/>
      <c r="BE217" s="1"/>
      <c r="BF217" s="1"/>
      <c r="BG217" s="8"/>
      <c r="BH217" s="1"/>
      <c r="BI217" s="1"/>
      <c r="BJ217" s="1"/>
      <c r="BK217" s="8"/>
    </row>
    <row r="218" spans="1:63">
      <c r="A218" s="49"/>
      <c r="B218" s="7" t="s">
        <v>18</v>
      </c>
      <c r="C218" s="17">
        <v>0.12</v>
      </c>
      <c r="D218" s="7">
        <v>39</v>
      </c>
      <c r="E218" s="1">
        <v>0.116479659636488</v>
      </c>
      <c r="F218" s="1">
        <v>32.915842777281597</v>
      </c>
      <c r="G218" s="1">
        <v>0.93702491564127599</v>
      </c>
      <c r="H218" s="1">
        <v>12.0083124206718</v>
      </c>
      <c r="I218" s="1">
        <v>35.738910917847299</v>
      </c>
      <c r="J218" s="1">
        <v>0.95696128990061602</v>
      </c>
      <c r="K218" s="8">
        <v>13.661407532597501</v>
      </c>
      <c r="L218" s="7">
        <v>36</v>
      </c>
      <c r="M218" s="1">
        <v>0.117817644032921</v>
      </c>
      <c r="N218" s="1">
        <v>34.072319656466902</v>
      </c>
      <c r="O218" s="1">
        <v>0.95094243715047599</v>
      </c>
      <c r="P218" s="1">
        <v>13.0929403108467</v>
      </c>
      <c r="Q218" s="1">
        <v>36.856341823738099</v>
      </c>
      <c r="R218" s="1">
        <v>0.965329129662716</v>
      </c>
      <c r="S218" s="8">
        <v>14.600352561822101</v>
      </c>
      <c r="T218" s="7"/>
      <c r="U218" s="1"/>
      <c r="V218" s="1"/>
      <c r="W218" s="8"/>
      <c r="X218" s="7"/>
      <c r="Y218" s="1"/>
      <c r="Z218" s="1"/>
      <c r="AA218" s="8"/>
      <c r="AB218" s="7">
        <v>4</v>
      </c>
      <c r="AC218" s="1">
        <v>0.112747020747599</v>
      </c>
      <c r="AD218" s="1">
        <v>33.981049738840603</v>
      </c>
      <c r="AE218" s="1">
        <v>0.951445201806426</v>
      </c>
      <c r="AF218" s="1">
        <v>13.137678465793201</v>
      </c>
      <c r="AG218" s="1">
        <v>36.574890511213098</v>
      </c>
      <c r="AH218" s="1">
        <v>0.96392836770485701</v>
      </c>
      <c r="AI218" s="1">
        <v>14.4283420476415</v>
      </c>
      <c r="AJ218" s="1">
        <v>247.48513197898799</v>
      </c>
      <c r="AK218" s="1">
        <v>192.729649305343</v>
      </c>
      <c r="AL218" s="7"/>
      <c r="AM218" s="1"/>
      <c r="AN218" s="1"/>
      <c r="AO218" s="8"/>
      <c r="AP218" s="1"/>
      <c r="AQ218" s="1"/>
      <c r="AR218" s="1"/>
      <c r="AS218" s="8"/>
      <c r="AT218" s="7">
        <v>0.08</v>
      </c>
      <c r="AU218" s="1">
        <v>0.17233957047325099</v>
      </c>
      <c r="AV218" s="1">
        <v>34.103809115353599</v>
      </c>
      <c r="AW218" s="1">
        <v>0.97125629033142602</v>
      </c>
      <c r="AX218" s="1">
        <v>15.4145718245708</v>
      </c>
      <c r="AY218" s="1">
        <v>36.640898260039798</v>
      </c>
      <c r="AZ218" s="1">
        <v>0.98028818336043</v>
      </c>
      <c r="BA218" s="1">
        <v>17.0527334932865</v>
      </c>
      <c r="BB218" s="1">
        <v>174.10264396667401</v>
      </c>
      <c r="BC218" s="1">
        <v>118.46386098861601</v>
      </c>
      <c r="BD218" s="7"/>
      <c r="BE218" s="1"/>
      <c r="BF218" s="1"/>
      <c r="BG218" s="8"/>
      <c r="BH218" s="1"/>
      <c r="BI218" s="1"/>
      <c r="BJ218" s="1"/>
      <c r="BK218" s="8"/>
    </row>
    <row r="219" spans="1:63">
      <c r="A219" s="49"/>
      <c r="B219" s="7" t="s">
        <v>18</v>
      </c>
      <c r="C219" s="17">
        <v>0.06</v>
      </c>
      <c r="D219" s="7">
        <v>44</v>
      </c>
      <c r="E219" s="1">
        <v>5.1739326131687198E-2</v>
      </c>
      <c r="F219" s="1">
        <v>30.764676292265602</v>
      </c>
      <c r="G219" s="1">
        <v>0.89635189356650302</v>
      </c>
      <c r="H219" s="1">
        <v>9.8443862770417994</v>
      </c>
      <c r="I219" s="1">
        <v>33.438377569569703</v>
      </c>
      <c r="J219" s="1">
        <v>0.91933805229484</v>
      </c>
      <c r="K219" s="8">
        <v>10.9333129550233</v>
      </c>
      <c r="L219" s="7">
        <v>41</v>
      </c>
      <c r="M219" s="1">
        <v>5.4877722050754398E-2</v>
      </c>
      <c r="N219" s="1">
        <v>31.905345944151001</v>
      </c>
      <c r="O219" s="1">
        <v>0.91743378566477396</v>
      </c>
      <c r="P219" s="1">
        <v>10.831976273698301</v>
      </c>
      <c r="Q219" s="1">
        <v>34.543434489738502</v>
      </c>
      <c r="R219" s="1">
        <v>0.93502854659039403</v>
      </c>
      <c r="S219" s="8">
        <v>11.8727741797048</v>
      </c>
      <c r="T219" s="7"/>
      <c r="U219" s="1"/>
      <c r="V219" s="1"/>
      <c r="W219" s="8"/>
      <c r="X219" s="7"/>
      <c r="Y219" s="1"/>
      <c r="Z219" s="1"/>
      <c r="AA219" s="8"/>
      <c r="AB219" s="7">
        <v>2</v>
      </c>
      <c r="AC219" s="1">
        <v>7.0520940500685803E-2</v>
      </c>
      <c r="AD219" s="1">
        <v>32.579033434675701</v>
      </c>
      <c r="AE219" s="1">
        <v>0.93164740627565601</v>
      </c>
      <c r="AF219" s="1">
        <v>11.6524500093818</v>
      </c>
      <c r="AG219" s="1">
        <v>35.091118646851903</v>
      </c>
      <c r="AH219" s="1">
        <v>0.94520237678983399</v>
      </c>
      <c r="AI219" s="1">
        <v>12.6123827817795</v>
      </c>
      <c r="AJ219" s="1">
        <v>277.57533931732098</v>
      </c>
      <c r="AK219" s="1">
        <v>196.797007083892</v>
      </c>
      <c r="AL219" s="7"/>
      <c r="AM219" s="1"/>
      <c r="AN219" s="1"/>
      <c r="AO219" s="8"/>
      <c r="AP219" s="1"/>
      <c r="AQ219" s="1"/>
      <c r="AR219" s="1"/>
      <c r="AS219" s="8"/>
      <c r="AT219" s="7">
        <v>0.04</v>
      </c>
      <c r="AU219" s="1">
        <v>0.106223743998628</v>
      </c>
      <c r="AV219" s="1">
        <v>32.765199726391103</v>
      </c>
      <c r="AW219" s="1">
        <v>0.95934636854180499</v>
      </c>
      <c r="AX219" s="1">
        <v>13.909006542073399</v>
      </c>
      <c r="AY219" s="1">
        <v>35.297322439299002</v>
      </c>
      <c r="AZ219" s="1">
        <v>0.97119253230627101</v>
      </c>
      <c r="BA219" s="1">
        <v>15.404949164844499</v>
      </c>
      <c r="BB219" s="1">
        <v>211.945700407028</v>
      </c>
      <c r="BC219" s="1">
        <v>152.17002010345399</v>
      </c>
      <c r="BD219" s="7"/>
      <c r="BE219" s="1"/>
      <c r="BF219" s="1"/>
      <c r="BG219" s="8"/>
      <c r="BH219" s="1"/>
      <c r="BI219" s="1"/>
      <c r="BJ219" s="1"/>
      <c r="BK219" s="8"/>
    </row>
    <row r="220" spans="1:63">
      <c r="A220" s="49"/>
      <c r="B220" s="7" t="s">
        <v>56</v>
      </c>
      <c r="C220" s="17">
        <v>1.5</v>
      </c>
      <c r="D220" s="7">
        <v>24</v>
      </c>
      <c r="E220" s="1">
        <v>1.3721437792177</v>
      </c>
      <c r="F220" s="1">
        <v>39.968959615666499</v>
      </c>
      <c r="G220" s="1">
        <v>0.991412787972204</v>
      </c>
      <c r="H220" s="1">
        <v>20.661478137561001</v>
      </c>
      <c r="I220" s="1">
        <v>43.083900575091</v>
      </c>
      <c r="J220" s="1">
        <v>0.99323690610895898</v>
      </c>
      <c r="K220" s="8">
        <v>21.698545832862301</v>
      </c>
      <c r="L220" s="7">
        <v>21</v>
      </c>
      <c r="M220" s="1">
        <v>1.4017184858281699</v>
      </c>
      <c r="N220" s="1">
        <v>41.133893374223298</v>
      </c>
      <c r="O220" s="1">
        <v>0.99371298909059202</v>
      </c>
      <c r="P220" s="1">
        <v>22.015557860484801</v>
      </c>
      <c r="Q220" s="1">
        <v>44.300166210799397</v>
      </c>
      <c r="R220" s="1">
        <v>0.99525759705578898</v>
      </c>
      <c r="S220" s="8">
        <v>23.240015484150899</v>
      </c>
      <c r="T220" s="13">
        <f>bdrate(E220:E223,F220:F223,M220:M223,N220:N223)</f>
        <v>-0.19379785576339015</v>
      </c>
      <c r="U220" s="12">
        <f>bdrate(E220:E223,H220:H223,M220:M223,P220:P223)</f>
        <v>-0.19380438031468172</v>
      </c>
      <c r="V220" s="12">
        <f>bdrate(E220:E223,I220:I223,M220:M223,Q220:Q223)</f>
        <v>-0.22542433699629094</v>
      </c>
      <c r="W220" s="14">
        <f>bdrate(E220:E223,K220:K223,M220:M223,S220:S223)</f>
        <v>-0.16504057121448401</v>
      </c>
      <c r="X220" s="13">
        <f>bdrate(E222:E225,F222:F225,M222:M225,N222:N225)</f>
        <v>-0.2155406750356571</v>
      </c>
      <c r="Y220" s="12">
        <f>bdrate(E222:E225,H222:H225,M222:M225,P222:P225)</f>
        <v>-0.21493458762256612</v>
      </c>
      <c r="Z220" s="12">
        <f>bdrate(E222:E225,I222:I225,M222:M225,Q222:Q225)</f>
        <v>-0.29161884921224379</v>
      </c>
      <c r="AA220" s="14">
        <f>bdrate(E222:E225,K222:K225,M222:M225,S222:S225)</f>
        <v>-0.15028042968705169</v>
      </c>
      <c r="AB220" s="7">
        <v>128</v>
      </c>
      <c r="AC220" s="1">
        <v>1.41352240849582</v>
      </c>
      <c r="AD220" s="1">
        <v>41.518251251483598</v>
      </c>
      <c r="AE220" s="1">
        <v>0.99441393889263496</v>
      </c>
      <c r="AF220" s="1">
        <v>22.528943177495901</v>
      </c>
      <c r="AG220" s="1">
        <v>44.402818781264301</v>
      </c>
      <c r="AH220" s="1">
        <v>0.995282424819383</v>
      </c>
      <c r="AI220" s="1">
        <v>23.262811700677901</v>
      </c>
      <c r="AJ220" s="1">
        <v>330.36212182044898</v>
      </c>
      <c r="AK220" s="1">
        <v>175.55187559127799</v>
      </c>
      <c r="AL220" s="13">
        <f>bdrate(E220:E223,F220:F223,AC220:AC223,AD220:AD223)</f>
        <v>-0.21219134575617782</v>
      </c>
      <c r="AM220" s="12">
        <f>bdrate(E220:E223,H220:H223,AC220:AC223,AF220:AF223)</f>
        <v>-0.27277335537173186</v>
      </c>
      <c r="AN220" s="12">
        <f>bdrate(E220:E223,I220:I223,AC220:AC223,AG220:AG223)</f>
        <v>-0.23280396028661621</v>
      </c>
      <c r="AO220" s="14">
        <f>bdrate(E220:E223,K220:K223,AC220:AC223,AI220:AI223)</f>
        <v>-0.21380388521245064</v>
      </c>
      <c r="AP220" s="12">
        <f>bdrate(E222:E225,F222:F225,AC222:AC225,AD222:AD225)</f>
        <v>-0.18618121055453341</v>
      </c>
      <c r="AQ220" s="12">
        <f>bdrate(E222:E225,H222:H225,AC222:AC225,AF222:AF225)</f>
        <v>-0.28999684825832894</v>
      </c>
      <c r="AR220" s="12">
        <f>bdrate(E222:E225,I222:I225,AC222:AC225,AG222:AG225)</f>
        <v>-0.25487495778485492</v>
      </c>
      <c r="AS220" s="14">
        <f>bdrate(E222:E225,K222:K225,AC222:AC225,AI222:AI225)</f>
        <v>-0.19703562063818503</v>
      </c>
      <c r="AT220" s="7">
        <v>3.2</v>
      </c>
      <c r="AU220" s="1">
        <v>1.2713021941447999</v>
      </c>
      <c r="AV220" s="1">
        <v>37.494296067681198</v>
      </c>
      <c r="AW220" s="1">
        <v>0.997150657544154</v>
      </c>
      <c r="AX220" s="1">
        <v>25.4525535077942</v>
      </c>
      <c r="AY220" s="1">
        <v>40.911041924682699</v>
      </c>
      <c r="AZ220" s="1">
        <v>0.99781137342443604</v>
      </c>
      <c r="BA220" s="1">
        <v>26.598283316284199</v>
      </c>
      <c r="BB220" s="1">
        <v>726.12014746665898</v>
      </c>
      <c r="BC220" s="1">
        <v>267.931633472442</v>
      </c>
      <c r="BD220" s="13">
        <f>bdrate(E220:E223,F220:F223,AU220:AU223,AV220:AV223)</f>
        <v>0.62217719244258785</v>
      </c>
      <c r="BE220" s="12">
        <f>bdrate(E220:E223,H220:H223,AU220:AU223,AX220:AX223)</f>
        <v>-0.61558958109608919</v>
      </c>
      <c r="BF220" s="12">
        <f>bdrate(E220:E223,I220:I223,AU220:AU223,AY220:AY223)</f>
        <v>0.45157055955386682</v>
      </c>
      <c r="BG220" s="14">
        <f>bdrate(E220:E223,K220:K223,AU220:AU223,BA220:BA223)</f>
        <v>-0.59655966207799183</v>
      </c>
      <c r="BH220" s="12">
        <f>bdrate(E222:E225,F222:F225,AU222:AU225,AV222:AV225)</f>
        <v>0.31197637978395631</v>
      </c>
      <c r="BI220" s="12">
        <f>bdrate(E222:E225,H222:H225,AU222:AU225,AX222:AX225)</f>
        <v>-0.48074947191243123</v>
      </c>
      <c r="BJ220" s="12">
        <f>bdrate(E222:E225,I222:I225,AU222:AU225,AY222:AY225)</f>
        <v>0.22062976231873366</v>
      </c>
      <c r="BK220" s="14">
        <f>bdrate(E222:E225,K222:K225,AU222:AU225,BA222:BA225)</f>
        <v>-0.43297600831608352</v>
      </c>
    </row>
    <row r="221" spans="1:63">
      <c r="A221" s="49"/>
      <c r="B221" s="7" t="s">
        <v>18</v>
      </c>
      <c r="C221" s="17">
        <v>1</v>
      </c>
      <c r="D221" s="7">
        <v>27</v>
      </c>
      <c r="E221" s="1">
        <v>0.908345760197104</v>
      </c>
      <c r="F221" s="1">
        <v>37.730025250990202</v>
      </c>
      <c r="G221" s="1">
        <v>0.98404386415720002</v>
      </c>
      <c r="H221" s="1">
        <v>17.970722749739402</v>
      </c>
      <c r="I221" s="1">
        <v>40.859745955461797</v>
      </c>
      <c r="J221" s="1">
        <v>0.98603323838973</v>
      </c>
      <c r="K221" s="8">
        <v>18.549042794854</v>
      </c>
      <c r="L221" s="7">
        <v>24</v>
      </c>
      <c r="M221" s="1">
        <v>0.97887879170356795</v>
      </c>
      <c r="N221" s="1">
        <v>39.080776326630598</v>
      </c>
      <c r="O221" s="1">
        <v>0.98910071967327295</v>
      </c>
      <c r="P221" s="1">
        <v>19.6260217733</v>
      </c>
      <c r="Q221" s="1">
        <v>42.2583050316494</v>
      </c>
      <c r="R221" s="1">
        <v>0.99074766636045397</v>
      </c>
      <c r="S221" s="8">
        <v>20.337487149415299</v>
      </c>
      <c r="T221" s="7"/>
      <c r="U221" s="1"/>
      <c r="V221" s="1"/>
      <c r="W221" s="8"/>
      <c r="X221" s="7"/>
      <c r="Y221" s="1"/>
      <c r="Z221" s="1"/>
      <c r="AA221" s="8"/>
      <c r="AB221" s="7">
        <v>64</v>
      </c>
      <c r="AC221" s="1">
        <v>0.944109842167416</v>
      </c>
      <c r="AD221" s="1">
        <v>39.113894058367499</v>
      </c>
      <c r="AE221" s="1">
        <v>0.98944416864628904</v>
      </c>
      <c r="AF221" s="1">
        <v>19.765075569455501</v>
      </c>
      <c r="AG221" s="1">
        <v>42.1806215746277</v>
      </c>
      <c r="AH221" s="1">
        <v>0.99041717420638498</v>
      </c>
      <c r="AI221" s="1">
        <v>20.1850640682825</v>
      </c>
      <c r="AJ221" s="1">
        <v>230.16770863533</v>
      </c>
      <c r="AK221" s="1">
        <v>119.17841982841399</v>
      </c>
      <c r="AL221" s="7"/>
      <c r="AM221" s="1"/>
      <c r="AN221" s="1"/>
      <c r="AO221" s="8"/>
      <c r="AP221" s="1"/>
      <c r="AQ221" s="1"/>
      <c r="AR221" s="1"/>
      <c r="AS221" s="8"/>
      <c r="AT221" s="7">
        <v>1.28</v>
      </c>
      <c r="AU221" s="1">
        <v>0.81532925376797105</v>
      </c>
      <c r="AV221" s="1">
        <v>35.074697621386399</v>
      </c>
      <c r="AW221" s="1">
        <v>0.99471379495661205</v>
      </c>
      <c r="AX221" s="1">
        <v>22.7685599529343</v>
      </c>
      <c r="AY221" s="1">
        <v>38.749462953700899</v>
      </c>
      <c r="AZ221" s="1">
        <v>0.99558511419029205</v>
      </c>
      <c r="BA221" s="1">
        <v>23.550805248961801</v>
      </c>
      <c r="BB221" s="1">
        <v>517.59352731704701</v>
      </c>
      <c r="BC221" s="1">
        <v>214.536338806152</v>
      </c>
      <c r="BD221" s="7"/>
      <c r="BE221" s="1"/>
      <c r="BF221" s="1"/>
      <c r="BG221" s="8"/>
      <c r="BH221" s="1"/>
      <c r="BI221" s="1"/>
      <c r="BJ221" s="1"/>
      <c r="BK221" s="8"/>
    </row>
    <row r="222" spans="1:63">
      <c r="A222" s="49"/>
      <c r="B222" s="7" t="s">
        <v>18</v>
      </c>
      <c r="C222" s="17">
        <v>0.5</v>
      </c>
      <c r="D222" s="7">
        <v>32</v>
      </c>
      <c r="E222" s="1">
        <v>0.48842459676872702</v>
      </c>
      <c r="F222" s="1">
        <v>34.963927279008701</v>
      </c>
      <c r="G222" s="1">
        <v>0.97555995987487099</v>
      </c>
      <c r="H222" s="1">
        <v>16.118980854136201</v>
      </c>
      <c r="I222" s="1">
        <v>38.194963958799597</v>
      </c>
      <c r="J222" s="1">
        <v>0.97830969863945505</v>
      </c>
      <c r="K222" s="8">
        <v>16.637344139465</v>
      </c>
      <c r="L222" s="7">
        <v>29</v>
      </c>
      <c r="M222" s="1">
        <v>0.49599794230662098</v>
      </c>
      <c r="N222" s="1">
        <v>36.016521183042201</v>
      </c>
      <c r="O222" s="1">
        <v>0.97801112753310404</v>
      </c>
      <c r="P222" s="1">
        <v>16.577970395778198</v>
      </c>
      <c r="Q222" s="1">
        <v>39.387029312096097</v>
      </c>
      <c r="R222" s="1">
        <v>0.97968333749181902</v>
      </c>
      <c r="S222" s="8">
        <v>16.921476336581801</v>
      </c>
      <c r="T222" s="7"/>
      <c r="U222" s="1"/>
      <c r="V222" s="1"/>
      <c r="W222" s="8"/>
      <c r="X222" s="7"/>
      <c r="Y222" s="1"/>
      <c r="Z222" s="1"/>
      <c r="AA222" s="8"/>
      <c r="AB222" s="7">
        <v>16</v>
      </c>
      <c r="AC222" s="1">
        <v>0.41742687044405302</v>
      </c>
      <c r="AD222" s="1">
        <v>35.338318625006401</v>
      </c>
      <c r="AE222" s="1">
        <v>0.97781134634643296</v>
      </c>
      <c r="AF222" s="1">
        <v>16.5386904876238</v>
      </c>
      <c r="AG222" s="1">
        <v>38.7714394218617</v>
      </c>
      <c r="AH222" s="1">
        <v>0.97895404421142096</v>
      </c>
      <c r="AI222" s="1">
        <v>16.768313462628299</v>
      </c>
      <c r="AJ222" s="1">
        <v>189.447597503662</v>
      </c>
      <c r="AK222" s="1">
        <v>116.270147323608</v>
      </c>
      <c r="AL222" s="7"/>
      <c r="AM222" s="1"/>
      <c r="AN222" s="1"/>
      <c r="AO222" s="8"/>
      <c r="AP222" s="1"/>
      <c r="AQ222" s="1"/>
      <c r="AR222" s="1"/>
      <c r="AS222" s="8"/>
      <c r="AT222" s="7">
        <v>0.32</v>
      </c>
      <c r="AU222" s="1">
        <v>0.46053166959102698</v>
      </c>
      <c r="AV222" s="1">
        <v>32.4900862398162</v>
      </c>
      <c r="AW222" s="1">
        <v>0.98867507527375598</v>
      </c>
      <c r="AX222" s="1">
        <v>19.459646759452198</v>
      </c>
      <c r="AY222" s="1">
        <v>36.312565840005199</v>
      </c>
      <c r="AZ222" s="1">
        <v>0.98988064710371704</v>
      </c>
      <c r="BA222" s="1">
        <v>19.9484725850009</v>
      </c>
      <c r="BB222" s="1">
        <v>320.09517431259098</v>
      </c>
      <c r="BC222" s="1">
        <v>205.09323883056601</v>
      </c>
      <c r="BD222" s="7"/>
      <c r="BE222" s="1"/>
      <c r="BF222" s="1"/>
      <c r="BG222" s="8"/>
      <c r="BH222" s="1"/>
      <c r="BI222" s="1"/>
      <c r="BJ222" s="1"/>
      <c r="BK222" s="8"/>
    </row>
    <row r="223" spans="1:63">
      <c r="A223" s="49"/>
      <c r="B223" s="7" t="s">
        <v>18</v>
      </c>
      <c r="C223" s="17">
        <v>0.25</v>
      </c>
      <c r="D223" s="7">
        <v>38</v>
      </c>
      <c r="E223" s="1">
        <v>0.22129756194660699</v>
      </c>
      <c r="F223" s="1">
        <v>31.673805065032202</v>
      </c>
      <c r="G223" s="1">
        <v>0.96248971018487095</v>
      </c>
      <c r="H223" s="1">
        <v>14.258495803540701</v>
      </c>
      <c r="I223" s="1">
        <v>35.098577001603402</v>
      </c>
      <c r="J223" s="1">
        <v>0.96659970330018996</v>
      </c>
      <c r="K223" s="8">
        <v>14.762496752687399</v>
      </c>
      <c r="L223" s="7">
        <v>35</v>
      </c>
      <c r="M223" s="1">
        <v>0.233622931762136</v>
      </c>
      <c r="N223" s="1">
        <v>32.8340675681482</v>
      </c>
      <c r="O223" s="1">
        <v>0.96849280634571899</v>
      </c>
      <c r="P223" s="1">
        <v>15.015902777126</v>
      </c>
      <c r="Q223" s="1">
        <v>36.503922662327597</v>
      </c>
      <c r="R223" s="1">
        <v>0.97066906384004004</v>
      </c>
      <c r="S223" s="8">
        <v>15.326740753550601</v>
      </c>
      <c r="T223" s="7"/>
      <c r="U223" s="1"/>
      <c r="V223" s="1"/>
      <c r="W223" s="8"/>
      <c r="X223" s="7"/>
      <c r="Y223" s="1"/>
      <c r="Z223" s="1"/>
      <c r="AA223" s="8"/>
      <c r="AB223" s="7">
        <v>8</v>
      </c>
      <c r="AC223" s="1">
        <v>0.29333481114152099</v>
      </c>
      <c r="AD223" s="1">
        <v>33.751006471437798</v>
      </c>
      <c r="AE223" s="1">
        <v>0.97361146383674801</v>
      </c>
      <c r="AF223" s="1">
        <v>15.7858470049063</v>
      </c>
      <c r="AG223" s="1">
        <v>37.343420151971799</v>
      </c>
      <c r="AH223" s="1">
        <v>0.97488000762849503</v>
      </c>
      <c r="AI223" s="1">
        <v>15.9998049682233</v>
      </c>
      <c r="AJ223" s="1">
        <v>231.325553178787</v>
      </c>
      <c r="AK223" s="1">
        <v>117.553453445434</v>
      </c>
      <c r="AL223" s="7"/>
      <c r="AM223" s="1"/>
      <c r="AN223" s="1"/>
      <c r="AO223" s="8"/>
      <c r="AP223" s="1"/>
      <c r="AQ223" s="1"/>
      <c r="AR223" s="1"/>
      <c r="AS223" s="8"/>
      <c r="AT223" s="7">
        <v>0.16</v>
      </c>
      <c r="AU223" s="1">
        <v>0.28242375433377398</v>
      </c>
      <c r="AV223" s="1">
        <v>31.313521191824599</v>
      </c>
      <c r="AW223" s="1">
        <v>0.98051504241938003</v>
      </c>
      <c r="AX223" s="1">
        <v>17.103005353433399</v>
      </c>
      <c r="AY223" s="1">
        <v>35.181099839233099</v>
      </c>
      <c r="AZ223" s="1">
        <v>0.98191093096689697</v>
      </c>
      <c r="BA223" s="1">
        <v>17.425837838416999</v>
      </c>
      <c r="BB223" s="1">
        <v>344.95109248161299</v>
      </c>
      <c r="BC223" s="1">
        <v>199.23135972022999</v>
      </c>
      <c r="BD223" s="7"/>
      <c r="BE223" s="1"/>
      <c r="BF223" s="1"/>
      <c r="BG223" s="8"/>
      <c r="BH223" s="1"/>
      <c r="BI223" s="1"/>
      <c r="BJ223" s="1"/>
      <c r="BK223" s="8"/>
    </row>
    <row r="224" spans="1:63">
      <c r="A224" s="49"/>
      <c r="B224" s="7" t="s">
        <v>18</v>
      </c>
      <c r="C224" s="17">
        <v>0.12</v>
      </c>
      <c r="D224" s="7">
        <v>43</v>
      </c>
      <c r="E224" s="1">
        <v>0.10519016209603201</v>
      </c>
      <c r="F224" s="1">
        <v>29.036311489919701</v>
      </c>
      <c r="G224" s="1">
        <v>0.93840620927124796</v>
      </c>
      <c r="H224" s="1">
        <v>12.1046306686414</v>
      </c>
      <c r="I224" s="1">
        <v>32.641556711858399</v>
      </c>
      <c r="J224" s="1">
        <v>0.94434095267182205</v>
      </c>
      <c r="K224" s="8">
        <v>12.544642314129799</v>
      </c>
      <c r="L224" s="7">
        <v>40</v>
      </c>
      <c r="M224" s="1">
        <v>0.115132495969566</v>
      </c>
      <c r="N224" s="1">
        <v>30.176881383671098</v>
      </c>
      <c r="O224" s="1">
        <v>0.95081023086939997</v>
      </c>
      <c r="P224" s="1">
        <v>13.0812521577248</v>
      </c>
      <c r="Q224" s="1">
        <v>34.070025445728298</v>
      </c>
      <c r="R224" s="1">
        <v>0.95346780888120197</v>
      </c>
      <c r="S224" s="8">
        <v>13.3224649682417</v>
      </c>
      <c r="T224" s="7"/>
      <c r="U224" s="1"/>
      <c r="V224" s="1"/>
      <c r="W224" s="8"/>
      <c r="X224" s="7"/>
      <c r="Y224" s="1"/>
      <c r="Z224" s="1"/>
      <c r="AA224" s="8"/>
      <c r="AB224" s="7">
        <v>4</v>
      </c>
      <c r="AC224" s="1">
        <v>0.19589836584897599</v>
      </c>
      <c r="AD224" s="1">
        <v>31.907861435333601</v>
      </c>
      <c r="AE224" s="1">
        <v>0.966814300013221</v>
      </c>
      <c r="AF224" s="1">
        <v>14.7904901734123</v>
      </c>
      <c r="AG224" s="1">
        <v>35.689318052136201</v>
      </c>
      <c r="AH224" s="1">
        <v>0.968236814489153</v>
      </c>
      <c r="AI224" s="1">
        <v>14.980759489273099</v>
      </c>
      <c r="AJ224" s="1">
        <v>255.37309956550499</v>
      </c>
      <c r="AK224" s="1">
        <v>186.31014037132201</v>
      </c>
      <c r="AL224" s="7"/>
      <c r="AM224" s="1"/>
      <c r="AN224" s="1"/>
      <c r="AO224" s="8"/>
      <c r="AP224" s="1"/>
      <c r="AQ224" s="1"/>
      <c r="AR224" s="1"/>
      <c r="AS224" s="8"/>
      <c r="AT224" s="7">
        <v>0.08</v>
      </c>
      <c r="AU224" s="1">
        <v>0.161093454440557</v>
      </c>
      <c r="AV224" s="1">
        <v>29.860801270086998</v>
      </c>
      <c r="AW224" s="1">
        <v>0.96902452146514995</v>
      </c>
      <c r="AX224" s="1">
        <v>15.089819755591799</v>
      </c>
      <c r="AY224" s="1">
        <v>33.645963988997998</v>
      </c>
      <c r="AZ224" s="1">
        <v>0.97074861771196397</v>
      </c>
      <c r="BA224" s="1">
        <v>15.3385360630378</v>
      </c>
      <c r="BB224" s="1">
        <v>172.32396268844599</v>
      </c>
      <c r="BC224" s="1">
        <v>113.175203561782</v>
      </c>
      <c r="BD224" s="7"/>
      <c r="BE224" s="1"/>
      <c r="BF224" s="1"/>
      <c r="BG224" s="8"/>
      <c r="BH224" s="1"/>
      <c r="BI224" s="1"/>
      <c r="BJ224" s="1"/>
      <c r="BK224" s="8"/>
    </row>
    <row r="225" spans="1:63">
      <c r="A225" s="49"/>
      <c r="B225" s="7" t="s">
        <v>18</v>
      </c>
      <c r="C225" s="17">
        <v>0.06</v>
      </c>
      <c r="D225" s="7">
        <v>47</v>
      </c>
      <c r="E225" s="1">
        <v>5.4056874965276003E-2</v>
      </c>
      <c r="F225" s="1">
        <v>27.0542988020721</v>
      </c>
      <c r="G225" s="1">
        <v>0.90451218581302495</v>
      </c>
      <c r="H225" s="1">
        <v>10.2005204798722</v>
      </c>
      <c r="I225" s="1">
        <v>30.790430526801501</v>
      </c>
      <c r="J225" s="1">
        <v>0.91190216721934403</v>
      </c>
      <c r="K225" s="8">
        <v>10.550347751632</v>
      </c>
      <c r="L225" s="7">
        <v>45</v>
      </c>
      <c r="M225" s="1">
        <v>5.2242486128515501E-2</v>
      </c>
      <c r="N225" s="1">
        <v>27.652443901528901</v>
      </c>
      <c r="O225" s="1">
        <v>0.91614757771604804</v>
      </c>
      <c r="P225" s="1">
        <v>10.7648438720984</v>
      </c>
      <c r="Q225" s="1">
        <v>31.756021946110401</v>
      </c>
      <c r="R225" s="1">
        <v>0.91939493598322397</v>
      </c>
      <c r="S225" s="8">
        <v>10.936376727674199</v>
      </c>
      <c r="T225" s="7"/>
      <c r="U225" s="1"/>
      <c r="V225" s="1"/>
      <c r="W225" s="8"/>
      <c r="X225" s="7"/>
      <c r="Y225" s="1"/>
      <c r="Z225" s="1"/>
      <c r="AA225" s="8"/>
      <c r="AB225" s="7">
        <v>2</v>
      </c>
      <c r="AC225" s="1">
        <v>0.115381981458423</v>
      </c>
      <c r="AD225" s="1">
        <v>29.992610456708402</v>
      </c>
      <c r="AE225" s="1">
        <v>0.95457867301468802</v>
      </c>
      <c r="AF225" s="1">
        <v>13.4274018200576</v>
      </c>
      <c r="AG225" s="1">
        <v>33.870116579099502</v>
      </c>
      <c r="AH225" s="1">
        <v>0.95640076288408604</v>
      </c>
      <c r="AI225" s="1">
        <v>13.605211097967301</v>
      </c>
      <c r="AJ225" s="1">
        <v>250.076127290725</v>
      </c>
      <c r="AK225" s="1">
        <v>197.116842031478</v>
      </c>
      <c r="AL225" s="7"/>
      <c r="AM225" s="1"/>
      <c r="AN225" s="1"/>
      <c r="AO225" s="8"/>
      <c r="AP225" s="1"/>
      <c r="AQ225" s="1"/>
      <c r="AR225" s="1"/>
      <c r="AS225" s="8"/>
      <c r="AT225" s="7">
        <v>0.04</v>
      </c>
      <c r="AU225" s="1">
        <v>0.101502946380075</v>
      </c>
      <c r="AV225" s="1">
        <v>28.250172960233702</v>
      </c>
      <c r="AW225" s="1">
        <v>0.95761143327633302</v>
      </c>
      <c r="AX225" s="1">
        <v>13.7275126789807</v>
      </c>
      <c r="AY225" s="1">
        <v>31.6162573589049</v>
      </c>
      <c r="AZ225" s="1">
        <v>0.95995234012994701</v>
      </c>
      <c r="BA225" s="1">
        <v>13.974228562393099</v>
      </c>
      <c r="BB225" s="1">
        <v>205.487922668457</v>
      </c>
      <c r="BC225" s="1">
        <v>148.363899230957</v>
      </c>
      <c r="BD225" s="7"/>
      <c r="BE225" s="1"/>
      <c r="BF225" s="1"/>
      <c r="BG225" s="8"/>
      <c r="BH225" s="1"/>
      <c r="BI225" s="1"/>
      <c r="BJ225" s="1"/>
      <c r="BK225" s="8"/>
    </row>
    <row r="226" spans="1:63">
      <c r="A226" s="49"/>
      <c r="B226" s="7" t="s">
        <v>57</v>
      </c>
      <c r="C226" s="17">
        <v>1.5</v>
      </c>
      <c r="D226" s="7">
        <v>24</v>
      </c>
      <c r="E226" s="1">
        <v>1.2873145522705001</v>
      </c>
      <c r="F226" s="1">
        <v>38.094711980636298</v>
      </c>
      <c r="G226" s="1">
        <v>0.98418597432189103</v>
      </c>
      <c r="H226" s="1">
        <v>18.009575603499599</v>
      </c>
      <c r="I226" s="1">
        <v>41.806646680307999</v>
      </c>
      <c r="J226" s="1">
        <v>0.99203142084483098</v>
      </c>
      <c r="K226" s="8">
        <v>20.9861910897779</v>
      </c>
      <c r="L226" s="7">
        <v>21</v>
      </c>
      <c r="M226" s="1">
        <v>1.4422815513359599</v>
      </c>
      <c r="N226" s="1">
        <v>39.393597522122903</v>
      </c>
      <c r="O226" s="1">
        <v>0.98868588586120698</v>
      </c>
      <c r="P226" s="1">
        <v>19.4637944433365</v>
      </c>
      <c r="Q226" s="1">
        <v>43.1467820914513</v>
      </c>
      <c r="R226" s="1">
        <v>0.99415736530881205</v>
      </c>
      <c r="S226" s="8">
        <v>22.3339126696048</v>
      </c>
      <c r="T226" s="13">
        <f>bdrate(E226:E229,F226:F229,M226:M229,N226:N229)</f>
        <v>-0.22323810539614863</v>
      </c>
      <c r="U226" s="12">
        <f>bdrate(E226:E229,H226:H229,M226:M229,P226:P229)</f>
        <v>-0.23669763879739858</v>
      </c>
      <c r="V226" s="12">
        <f>bdrate(E226:E229,I226:I229,M226:M229,Q226:Q229)</f>
        <v>-0.2080468601959129</v>
      </c>
      <c r="W226" s="14">
        <f>bdrate(E226:E229,K226:K229,M226:M229,S226:S229)</f>
        <v>-0.14972528306370436</v>
      </c>
      <c r="X226" s="13">
        <f>bdrate(E228:E231,F228:F231,M228:M231,N228:N231)</f>
        <v>-0.35360974767052689</v>
      </c>
      <c r="Y226" s="12">
        <f>bdrate(E228:E231,H228:H231,M228:M231,P228:P231)</f>
        <v>-0.35132514785371349</v>
      </c>
      <c r="Z226" s="12">
        <f>bdrate(E228:E231,I228:I231,M228:M231,Q228:Q231)</f>
        <v>-0.36510227613361879</v>
      </c>
      <c r="AA226" s="14">
        <f>bdrate(E228:E231,K228:K231,M228:M231,S228:S231)</f>
        <v>-0.30222759338904392</v>
      </c>
      <c r="AB226" s="7">
        <v>128</v>
      </c>
      <c r="AC226" s="1">
        <v>1.69614382885179</v>
      </c>
      <c r="AD226" s="1">
        <v>40.008630898605198</v>
      </c>
      <c r="AE226" s="1">
        <v>0.99103338545542996</v>
      </c>
      <c r="AF226" s="1">
        <v>20.473714992233599</v>
      </c>
      <c r="AG226" s="1">
        <v>43.374841742689497</v>
      </c>
      <c r="AH226" s="1">
        <v>0.99505749361621498</v>
      </c>
      <c r="AI226" s="1">
        <v>23.060527610753201</v>
      </c>
      <c r="AJ226" s="1">
        <v>240.00706982612601</v>
      </c>
      <c r="AK226" s="1">
        <v>148.37745642662</v>
      </c>
      <c r="AL226" s="13">
        <f>bdrate(E226:E229,F226:F229,AC226:AC229,AD226:AD229)</f>
        <v>-4.7117690645592791E-2</v>
      </c>
      <c r="AM226" s="12">
        <f>bdrate(E226:E229,H226:H229,AC226:AC229,AF226:AF229)</f>
        <v>-0.17001054904080137</v>
      </c>
      <c r="AN226" s="12">
        <f>bdrate(E226:E229,I226:I229,AC226:AC229,AG226:AG229)</f>
        <v>2.1897530527929421E-2</v>
      </c>
      <c r="AO226" s="14">
        <f>bdrate(E226:E229,K226:K229,AC226:AC229,AI226:AI229)</f>
        <v>-3.3544041545514269E-2</v>
      </c>
      <c r="AP226" s="12">
        <f>bdrate(E228:E231,F228:F231,AC228:AC231,AD228:AD231)</f>
        <v>8.4686204218213934E-2</v>
      </c>
      <c r="AQ226" s="12">
        <f>bdrate(E228:E231,H228:H231,AC228:AC231,AF228:AF231)</f>
        <v>-0.12730588592433623</v>
      </c>
      <c r="AR226" s="12">
        <f>bdrate(E228:E231,I228:I231,AC228:AC231,AG228:AG231)</f>
        <v>0.12049572148727705</v>
      </c>
      <c r="AS226" s="14">
        <f>bdrate(E228:E231,K228:K231,AC228:AC231,AI228:AI231)</f>
        <v>-2.7965080217975724E-2</v>
      </c>
      <c r="AT226" s="7">
        <v>3.2</v>
      </c>
      <c r="AU226" s="1">
        <v>1.7829206225309</v>
      </c>
      <c r="AV226" s="1">
        <v>38.659082822248003</v>
      </c>
      <c r="AW226" s="1">
        <v>0.99483007275862001</v>
      </c>
      <c r="AX226" s="1">
        <v>22.865155688769899</v>
      </c>
      <c r="AY226" s="1">
        <v>41.8028242935249</v>
      </c>
      <c r="AZ226" s="1">
        <v>0.99717396077533804</v>
      </c>
      <c r="BA226" s="1">
        <v>25.488218145553901</v>
      </c>
      <c r="BB226" s="1">
        <v>417.73408722877502</v>
      </c>
      <c r="BC226" s="1">
        <v>239.363060951232</v>
      </c>
      <c r="BD226" s="13">
        <f>bdrate(E226:E229,F226:F229,AU226:AU229,AV226:AV229)</f>
        <v>0.60387846722834926</v>
      </c>
      <c r="BE226" s="12">
        <f>bdrate(E226:E229,H226:H229,AU226:AU229,AX226:AX229)</f>
        <v>-0.54335140345487054</v>
      </c>
      <c r="BF226" s="12">
        <f>bdrate(E226:E229,I226:I229,AU226:AU229,AY226:AY229)</f>
        <v>0.66451036215422343</v>
      </c>
      <c r="BG226" s="14">
        <f>bdrate(E226:E229,K226:K229,AU226:AU229,BA226:BA229)</f>
        <v>-0.42244996292489323</v>
      </c>
      <c r="BH226" s="12">
        <f>bdrate(E228:E231,F228:F231,AU228:AU231,AV228:AV231)</f>
        <v>2.0361045296541587</v>
      </c>
      <c r="BI226" s="12">
        <f>bdrate(E228:E231,H228:H231,AU228:AU231,AX228:AX231)</f>
        <v>-0.48926026198290695</v>
      </c>
      <c r="BJ226" s="12">
        <f>bdrate(E228:E231,I228:I231,AU228:AU231,AY228:AY231)</f>
        <v>2.1414190213810138</v>
      </c>
      <c r="BK226" s="14">
        <f>bdrate(E228:E231,K228:K231,AU228:AU231,BA228:BA231)</f>
        <v>-0.4299292454525081</v>
      </c>
    </row>
    <row r="227" spans="1:63">
      <c r="A227" s="49"/>
      <c r="B227" s="7" t="s">
        <v>18</v>
      </c>
      <c r="C227" s="17">
        <v>1</v>
      </c>
      <c r="D227" s="7">
        <v>26</v>
      </c>
      <c r="E227" s="1">
        <v>0.89184096363790799</v>
      </c>
      <c r="F227" s="1">
        <v>36.803363488364703</v>
      </c>
      <c r="G227" s="1">
        <v>0.97809698949734603</v>
      </c>
      <c r="H227" s="1">
        <v>16.5949618859213</v>
      </c>
      <c r="I227" s="1">
        <v>40.258929662993303</v>
      </c>
      <c r="J227" s="1">
        <v>0.98722777708004394</v>
      </c>
      <c r="K227" s="8">
        <v>18.937335101089499</v>
      </c>
      <c r="L227" s="7">
        <v>23</v>
      </c>
      <c r="M227" s="1">
        <v>0.689155356611868</v>
      </c>
      <c r="N227" s="1">
        <v>36.715371643099502</v>
      </c>
      <c r="O227" s="1">
        <v>0.97794207724369897</v>
      </c>
      <c r="P227" s="1">
        <v>16.564353884485399</v>
      </c>
      <c r="Q227" s="1">
        <v>40.084454533803203</v>
      </c>
      <c r="R227" s="1">
        <v>0.98540883078027797</v>
      </c>
      <c r="S227" s="8">
        <v>18.359099058222501</v>
      </c>
      <c r="T227" s="7"/>
      <c r="U227" s="1"/>
      <c r="V227" s="1"/>
      <c r="W227" s="8"/>
      <c r="X227" s="7"/>
      <c r="Y227" s="1"/>
      <c r="Z227" s="1"/>
      <c r="AA227" s="8"/>
      <c r="AB227" s="7">
        <v>64</v>
      </c>
      <c r="AC227" s="1">
        <v>1.1101701552610299</v>
      </c>
      <c r="AD227" s="1">
        <v>37.878550563006897</v>
      </c>
      <c r="AE227" s="1">
        <v>0.98538238387974697</v>
      </c>
      <c r="AF227" s="1">
        <v>18.3512344750369</v>
      </c>
      <c r="AG227" s="1">
        <v>41.067415936151903</v>
      </c>
      <c r="AH227" s="1">
        <v>0.99074302787452895</v>
      </c>
      <c r="AI227" s="1">
        <v>20.335310440132499</v>
      </c>
      <c r="AJ227" s="1">
        <v>175.440539836883</v>
      </c>
      <c r="AK227" s="1">
        <v>103.86456298828099</v>
      </c>
      <c r="AL227" s="7"/>
      <c r="AM227" s="1"/>
      <c r="AN227" s="1"/>
      <c r="AO227" s="8"/>
      <c r="AP227" s="1"/>
      <c r="AQ227" s="1"/>
      <c r="AR227" s="1"/>
      <c r="AS227" s="8"/>
      <c r="AT227" s="7">
        <v>1.28</v>
      </c>
      <c r="AU227" s="1">
        <v>1.06082871373348</v>
      </c>
      <c r="AV227" s="1">
        <v>36.211505644836002</v>
      </c>
      <c r="AW227" s="1">
        <v>0.990789549432324</v>
      </c>
      <c r="AX227" s="1">
        <v>20.357191239541901</v>
      </c>
      <c r="AY227" s="1">
        <v>39.361991972844201</v>
      </c>
      <c r="AZ227" s="1">
        <v>0.99423773944512495</v>
      </c>
      <c r="BA227" s="1">
        <v>22.394071079115701</v>
      </c>
      <c r="BB227" s="1">
        <v>356.66157865524201</v>
      </c>
      <c r="BC227" s="1">
        <v>186.04664969444201</v>
      </c>
      <c r="BD227" s="7"/>
      <c r="BE227" s="1"/>
      <c r="BF227" s="1"/>
      <c r="BG227" s="8"/>
      <c r="BH227" s="1"/>
      <c r="BI227" s="1"/>
      <c r="BJ227" s="1"/>
      <c r="BK227" s="8"/>
    </row>
    <row r="228" spans="1:63">
      <c r="A228" s="49"/>
      <c r="B228" s="7" t="s">
        <v>18</v>
      </c>
      <c r="C228" s="17">
        <v>0.5</v>
      </c>
      <c r="D228" s="7">
        <v>29</v>
      </c>
      <c r="E228" s="1">
        <v>0.449100770995284</v>
      </c>
      <c r="F228" s="1">
        <v>34.920855946783497</v>
      </c>
      <c r="G228" s="1">
        <v>0.96385870899298298</v>
      </c>
      <c r="H228" s="1">
        <v>14.4199633801722</v>
      </c>
      <c r="I228" s="1">
        <v>38.2292289597885</v>
      </c>
      <c r="J228" s="1">
        <v>0.97475076954694695</v>
      </c>
      <c r="K228" s="8">
        <v>15.9775185378634</v>
      </c>
      <c r="L228" s="7">
        <v>25</v>
      </c>
      <c r="M228" s="1">
        <v>0.43025200713648498</v>
      </c>
      <c r="N228" s="1">
        <v>35.458422351346499</v>
      </c>
      <c r="O228" s="1">
        <v>0.96915982509234999</v>
      </c>
      <c r="P228" s="1">
        <v>15.1088316754677</v>
      </c>
      <c r="Q228" s="1">
        <v>38.780972467296799</v>
      </c>
      <c r="R228" s="1">
        <v>0.977753418738602</v>
      </c>
      <c r="S228" s="8">
        <v>16.527367196667601</v>
      </c>
      <c r="T228" s="7"/>
      <c r="U228" s="1"/>
      <c r="V228" s="1"/>
      <c r="W228" s="8"/>
      <c r="X228" s="7"/>
      <c r="Y228" s="1"/>
      <c r="Z228" s="1"/>
      <c r="AA228" s="8"/>
      <c r="AB228" s="7">
        <v>32</v>
      </c>
      <c r="AC228" s="1">
        <v>0.61890757083386405</v>
      </c>
      <c r="AD228" s="1">
        <v>35.877090755802101</v>
      </c>
      <c r="AE228" s="1">
        <v>0.97470001396334205</v>
      </c>
      <c r="AF228" s="1">
        <v>15.968797185160501</v>
      </c>
      <c r="AG228" s="1">
        <v>39.037849865378398</v>
      </c>
      <c r="AH228" s="1">
        <v>0.98159644029860404</v>
      </c>
      <c r="AI228" s="1">
        <v>17.350981656235898</v>
      </c>
      <c r="AJ228" s="1">
        <v>176.877673864364</v>
      </c>
      <c r="AK228" s="1">
        <v>104.318793773651</v>
      </c>
      <c r="AL228" s="7"/>
      <c r="AM228" s="1"/>
      <c r="AN228" s="1"/>
      <c r="AO228" s="8"/>
      <c r="AP228" s="1"/>
      <c r="AQ228" s="1"/>
      <c r="AR228" s="1"/>
      <c r="AS228" s="8"/>
      <c r="AT228" s="7">
        <v>0.32</v>
      </c>
      <c r="AU228" s="1">
        <v>0.49358101291363998</v>
      </c>
      <c r="AV228" s="1">
        <v>33.456929547028203</v>
      </c>
      <c r="AW228" s="1">
        <v>0.98142485145522396</v>
      </c>
      <c r="AX228" s="1">
        <v>17.3106770451659</v>
      </c>
      <c r="AY228" s="1">
        <v>36.750023490511502</v>
      </c>
      <c r="AZ228" s="1">
        <v>0.98679448772105105</v>
      </c>
      <c r="BA228" s="1">
        <v>18.7924474662629</v>
      </c>
      <c r="BB228" s="1">
        <v>192.80465555191</v>
      </c>
      <c r="BC228" s="1">
        <v>134.09817862510599</v>
      </c>
      <c r="BD228" s="7"/>
      <c r="BE228" s="1"/>
      <c r="BF228" s="1"/>
      <c r="BG228" s="8"/>
      <c r="BH228" s="1"/>
      <c r="BI228" s="1"/>
      <c r="BJ228" s="1"/>
      <c r="BK228" s="8"/>
    </row>
    <row r="229" spans="1:63">
      <c r="A229" s="49"/>
      <c r="B229" s="7" t="s">
        <v>18</v>
      </c>
      <c r="C229" s="17">
        <v>0.25</v>
      </c>
      <c r="D229" s="7">
        <v>32</v>
      </c>
      <c r="E229" s="1">
        <v>0.19730072002038901</v>
      </c>
      <c r="F229" s="1">
        <v>33.501959934924301</v>
      </c>
      <c r="G229" s="1">
        <v>0.94412134743891796</v>
      </c>
      <c r="H229" s="1">
        <v>12.5275407486176</v>
      </c>
      <c r="I229" s="1">
        <v>36.829615905098898</v>
      </c>
      <c r="J229" s="1">
        <v>0.95689258599581895</v>
      </c>
      <c r="K229" s="8">
        <v>13.6544802950984</v>
      </c>
      <c r="L229" s="7">
        <v>27</v>
      </c>
      <c r="M229" s="1">
        <v>0.243065954080115</v>
      </c>
      <c r="N229" s="1">
        <v>34.3693942572719</v>
      </c>
      <c r="O229" s="1">
        <v>0.95751115278210397</v>
      </c>
      <c r="P229" s="1">
        <v>13.7172505176994</v>
      </c>
      <c r="Q229" s="1">
        <v>37.701904870678703</v>
      </c>
      <c r="R229" s="1">
        <v>0.96761423631622401</v>
      </c>
      <c r="S229" s="8">
        <v>14.896458574571099</v>
      </c>
      <c r="T229" s="7"/>
      <c r="U229" s="1"/>
      <c r="V229" s="1"/>
      <c r="W229" s="8"/>
      <c r="X229" s="7"/>
      <c r="Y229" s="1"/>
      <c r="Z229" s="1"/>
      <c r="AA229" s="8"/>
      <c r="AB229" s="7">
        <v>16</v>
      </c>
      <c r="AC229" s="1">
        <v>0.28948496771589899</v>
      </c>
      <c r="AD229" s="1">
        <v>33.964721572457101</v>
      </c>
      <c r="AE229" s="1">
        <v>0.95698139699082896</v>
      </c>
      <c r="AF229" s="1">
        <v>13.6634369704616</v>
      </c>
      <c r="AG229" s="1">
        <v>37.208061781460998</v>
      </c>
      <c r="AH229" s="1">
        <v>0.96602411097289798</v>
      </c>
      <c r="AI229" s="1">
        <v>14.6882917051856</v>
      </c>
      <c r="AJ229" s="1">
        <v>153.036182403564</v>
      </c>
      <c r="AK229" s="1">
        <v>98.980991840362506</v>
      </c>
      <c r="AL229" s="7"/>
      <c r="AM229" s="1"/>
      <c r="AN229" s="1"/>
      <c r="AO229" s="8"/>
      <c r="AP229" s="1"/>
      <c r="AQ229" s="1"/>
      <c r="AR229" s="1"/>
      <c r="AS229" s="8"/>
      <c r="AT229" s="7">
        <v>0.16</v>
      </c>
      <c r="AU229" s="1">
        <v>0.33779031795590603</v>
      </c>
      <c r="AV229" s="1">
        <v>32.841224508585498</v>
      </c>
      <c r="AW229" s="1">
        <v>0.97452449384258599</v>
      </c>
      <c r="AX229" s="1">
        <v>15.938771785016</v>
      </c>
      <c r="AY229" s="1">
        <v>36.139815937924602</v>
      </c>
      <c r="AZ229" s="1">
        <v>0.98108495280538299</v>
      </c>
      <c r="BA229" s="1">
        <v>17.231925707690099</v>
      </c>
      <c r="BB229" s="1">
        <v>278.65322113037098</v>
      </c>
      <c r="BC229" s="1">
        <v>171.73750853538499</v>
      </c>
      <c r="BD229" s="7"/>
      <c r="BE229" s="1"/>
      <c r="BF229" s="1"/>
      <c r="BG229" s="8"/>
      <c r="BH229" s="1"/>
      <c r="BI229" s="1"/>
      <c r="BJ229" s="1"/>
      <c r="BK229" s="8"/>
    </row>
    <row r="230" spans="1:63">
      <c r="A230" s="49"/>
      <c r="B230" s="7" t="s">
        <v>18</v>
      </c>
      <c r="C230" s="17">
        <v>0.12</v>
      </c>
      <c r="D230" s="7">
        <v>35</v>
      </c>
      <c r="E230" s="1">
        <v>0.10725635593220301</v>
      </c>
      <c r="F230" s="1">
        <v>32.780261279581602</v>
      </c>
      <c r="G230" s="1">
        <v>0.93004234055062895</v>
      </c>
      <c r="H230" s="1">
        <v>11.5516472899935</v>
      </c>
      <c r="I230" s="1">
        <v>36.114929768967301</v>
      </c>
      <c r="J230" s="1">
        <v>0.94438925818804098</v>
      </c>
      <c r="K230" s="8">
        <v>12.548413116720299</v>
      </c>
      <c r="L230" s="7">
        <v>30</v>
      </c>
      <c r="M230" s="1">
        <v>9.8714742364385502E-2</v>
      </c>
      <c r="N230" s="1">
        <v>33.3027480001141</v>
      </c>
      <c r="O230" s="1">
        <v>0.93986967379777997</v>
      </c>
      <c r="P230" s="1">
        <v>12.2090644013521</v>
      </c>
      <c r="Q230" s="1">
        <v>36.663539801229298</v>
      </c>
      <c r="R230" s="1">
        <v>0.95189189056310297</v>
      </c>
      <c r="S230" s="8">
        <v>13.177817097625001</v>
      </c>
      <c r="T230" s="7"/>
      <c r="U230" s="1"/>
      <c r="V230" s="1"/>
      <c r="W230" s="8"/>
      <c r="X230" s="7"/>
      <c r="Y230" s="1"/>
      <c r="Z230" s="1"/>
      <c r="AA230" s="8"/>
      <c r="AB230" s="7">
        <v>8</v>
      </c>
      <c r="AC230" s="1">
        <v>0.12588210462597099</v>
      </c>
      <c r="AD230" s="1">
        <v>32.814392634975199</v>
      </c>
      <c r="AE230" s="1">
        <v>0.93605027103195404</v>
      </c>
      <c r="AF230" s="1">
        <v>11.9416129180974</v>
      </c>
      <c r="AG230" s="1">
        <v>36.1381578876438</v>
      </c>
      <c r="AH230" s="1">
        <v>0.94754107368800899</v>
      </c>
      <c r="AI230" s="1">
        <v>12.8018060245229</v>
      </c>
      <c r="AJ230" s="1">
        <v>149.03629279136601</v>
      </c>
      <c r="AK230" s="1">
        <v>99.205725431442204</v>
      </c>
      <c r="AL230" s="7"/>
      <c r="AM230" s="1"/>
      <c r="AN230" s="1"/>
      <c r="AO230" s="8"/>
      <c r="AP230" s="1"/>
      <c r="AQ230" s="1"/>
      <c r="AR230" s="1"/>
      <c r="AS230" s="8"/>
      <c r="AT230" s="7">
        <v>0.08</v>
      </c>
      <c r="AU230" s="1">
        <v>0.203415716197272</v>
      </c>
      <c r="AV230" s="1">
        <v>32.046990639153599</v>
      </c>
      <c r="AW230" s="1">
        <v>0.96046666403312797</v>
      </c>
      <c r="AX230" s="1">
        <v>14.0303653676061</v>
      </c>
      <c r="AY230" s="1">
        <v>35.312309596567502</v>
      </c>
      <c r="AZ230" s="1">
        <v>0.96897971748220302</v>
      </c>
      <c r="BA230" s="1">
        <v>15.0835425115937</v>
      </c>
      <c r="BB230" s="1">
        <v>139.554606676101</v>
      </c>
      <c r="BC230" s="1">
        <v>97.156512022018404</v>
      </c>
      <c r="BD230" s="7"/>
      <c r="BE230" s="1"/>
      <c r="BF230" s="1"/>
      <c r="BG230" s="8"/>
      <c r="BH230" s="1"/>
      <c r="BI230" s="1"/>
      <c r="BJ230" s="1"/>
      <c r="BK230" s="8"/>
    </row>
    <row r="231" spans="1:63">
      <c r="A231" s="49"/>
      <c r="B231" s="7" t="s">
        <v>18</v>
      </c>
      <c r="C231" s="17">
        <v>0.06</v>
      </c>
      <c r="D231" s="7">
        <v>39</v>
      </c>
      <c r="E231" s="1">
        <v>5.5988753663820501E-2</v>
      </c>
      <c r="F231" s="1">
        <v>31.933692094335299</v>
      </c>
      <c r="G231" s="1">
        <v>0.914417560372911</v>
      </c>
      <c r="H231" s="1">
        <v>10.676153376057499</v>
      </c>
      <c r="I231" s="1">
        <v>35.2789863135961</v>
      </c>
      <c r="J231" s="1">
        <v>0.93023199885777896</v>
      </c>
      <c r="K231" s="8">
        <v>11.563437194078199</v>
      </c>
      <c r="L231" s="7">
        <v>33</v>
      </c>
      <c r="M231" s="1">
        <v>5.9029990229811799E-2</v>
      </c>
      <c r="N231" s="1">
        <v>32.824454760418497</v>
      </c>
      <c r="O231" s="1">
        <v>0.92977817343829805</v>
      </c>
      <c r="P231" s="1">
        <v>11.5352787815533</v>
      </c>
      <c r="Q231" s="1">
        <v>36.187213190802503</v>
      </c>
      <c r="R231" s="1">
        <v>0.94304207929429196</v>
      </c>
      <c r="S231" s="8">
        <v>12.4444587334802</v>
      </c>
      <c r="T231" s="7"/>
      <c r="U231" s="1"/>
      <c r="V231" s="1"/>
      <c r="W231" s="8"/>
      <c r="X231" s="7"/>
      <c r="Y231" s="1"/>
      <c r="Z231" s="1"/>
      <c r="AA231" s="8"/>
      <c r="AB231" s="7">
        <v>4</v>
      </c>
      <c r="AC231" s="1">
        <v>7.4242146680259899E-2</v>
      </c>
      <c r="AD231" s="1">
        <v>32.1917857263049</v>
      </c>
      <c r="AE231" s="1">
        <v>0.92541079902173096</v>
      </c>
      <c r="AF231" s="1">
        <v>11.273240451149601</v>
      </c>
      <c r="AG231" s="1">
        <v>35.516958741848001</v>
      </c>
      <c r="AH231" s="1">
        <v>0.93825956157919999</v>
      </c>
      <c r="AI231" s="1">
        <v>12.0943029090416</v>
      </c>
      <c r="AJ231" s="1">
        <v>200.78792095184301</v>
      </c>
      <c r="AK231" s="1">
        <v>159.540803432464</v>
      </c>
      <c r="AL231" s="7"/>
      <c r="AM231" s="1"/>
      <c r="AN231" s="1"/>
      <c r="AO231" s="8"/>
      <c r="AP231" s="1"/>
      <c r="AQ231" s="1"/>
      <c r="AR231" s="1"/>
      <c r="AS231" s="8"/>
      <c r="AT231" s="7">
        <v>0.04</v>
      </c>
      <c r="AU231" s="1">
        <v>8.5807075952593306E-2</v>
      </c>
      <c r="AV231" s="1">
        <v>31.226834606151399</v>
      </c>
      <c r="AW231" s="1">
        <v>0.94127247722010798</v>
      </c>
      <c r="AX231" s="1">
        <v>12.311583180011301</v>
      </c>
      <c r="AY231" s="1">
        <v>34.437413401485003</v>
      </c>
      <c r="AZ231" s="1">
        <v>0.95248231331337696</v>
      </c>
      <c r="BA231" s="1">
        <v>13.2314471036039</v>
      </c>
      <c r="BB231" s="1">
        <v>170.82487964630101</v>
      </c>
      <c r="BC231" s="1">
        <v>123.16448688507</v>
      </c>
      <c r="BD231" s="7"/>
      <c r="BE231" s="1"/>
      <c r="BF231" s="1"/>
      <c r="BG231" s="8"/>
      <c r="BH231" s="1"/>
      <c r="BI231" s="1"/>
      <c r="BJ231" s="1"/>
      <c r="BK231" s="8"/>
    </row>
    <row r="232" spans="1:63">
      <c r="A232" s="49"/>
      <c r="B232" s="7" t="s">
        <v>58</v>
      </c>
      <c r="C232" s="17">
        <v>1.5</v>
      </c>
      <c r="D232" s="7">
        <v>23</v>
      </c>
      <c r="E232" s="1">
        <v>1.47444622417203</v>
      </c>
      <c r="F232" s="1">
        <v>43.201443303663503</v>
      </c>
      <c r="G232" s="1">
        <v>0.99458410160645605</v>
      </c>
      <c r="H232" s="1">
        <v>22.663294919479601</v>
      </c>
      <c r="I232" s="1">
        <v>46.322609659055402</v>
      </c>
      <c r="J232" s="1">
        <v>0.99605568209002604</v>
      </c>
      <c r="K232" s="8">
        <v>24.0402808841053</v>
      </c>
      <c r="L232" s="7">
        <v>21</v>
      </c>
      <c r="M232" s="1">
        <v>1.3908347536085499</v>
      </c>
      <c r="N232" s="1">
        <v>42.928004890429598</v>
      </c>
      <c r="O232" s="1">
        <v>0.99424327211127805</v>
      </c>
      <c r="P232" s="1">
        <v>22.3982429846209</v>
      </c>
      <c r="Q232" s="1">
        <v>46.147673668275701</v>
      </c>
      <c r="R232" s="1">
        <v>0.99609634076671905</v>
      </c>
      <c r="S232" s="8">
        <v>24.085281007300601</v>
      </c>
      <c r="T232" s="13">
        <f>bdrate(E232:E235,F232:F235,M232:M235,N232:N235)</f>
        <v>-9.1419240766198895E-2</v>
      </c>
      <c r="U232" s="12">
        <f>bdrate(E232:E235,H232:H235,M232:M235,P232:P235)</f>
        <v>-0.10720534974513451</v>
      </c>
      <c r="V232" s="12">
        <f>bdrate(E232:E235,I232:I235,M232:M235,Q232:Q235)</f>
        <v>-0.10496686978306646</v>
      </c>
      <c r="W232" s="14">
        <f>bdrate(E232:E235,K232:K235,M232:M235,S232:S235)</f>
        <v>-0.11639230837717329</v>
      </c>
      <c r="X232" s="13">
        <f>bdrate(E234:E237,F234:F237,M234:M237,N234:N237)</f>
        <v>-0.2316877459526977</v>
      </c>
      <c r="Y232" s="12">
        <f>bdrate(E234:E237,H234:H237,M234:M237,P234:P237)</f>
        <v>-0.20748251555168729</v>
      </c>
      <c r="Z232" s="12">
        <f>bdrate(E234:E237,I234:I237,M234:M237,Q234:Q237)</f>
        <v>-0.26128521945462291</v>
      </c>
      <c r="AA232" s="14">
        <f>bdrate(E234:E237,K234:K237,M234:M237,S234:S237)</f>
        <v>-0.1859557173390135</v>
      </c>
      <c r="AB232" s="7">
        <v>128</v>
      </c>
      <c r="AC232" s="1">
        <v>1.42627127782687</v>
      </c>
      <c r="AD232" s="1">
        <v>40.852204328533297</v>
      </c>
      <c r="AE232" s="1">
        <v>0.993879022308228</v>
      </c>
      <c r="AF232" s="1">
        <v>22.1317920330726</v>
      </c>
      <c r="AG232" s="1">
        <v>43.617802809863498</v>
      </c>
      <c r="AH232" s="1">
        <v>0.99555823067357596</v>
      </c>
      <c r="AI232" s="1">
        <v>23.524439993361199</v>
      </c>
      <c r="AJ232" s="1">
        <v>311.19817829132</v>
      </c>
      <c r="AK232" s="1">
        <v>149.50554513931201</v>
      </c>
      <c r="AL232" s="13">
        <f>bdrate(E232:E235,F232:F235,AC232:AC235,AD232:AD235)</f>
        <v>6.9466303829867959E-2</v>
      </c>
      <c r="AM232" s="12">
        <f>bdrate(E232:E235,H232:H235,AC232:AC235,AF232:AF235)</f>
        <v>-0.21989560034203681</v>
      </c>
      <c r="AN232" s="12">
        <f>bdrate(E232:E235,I232:I235,AC232:AC235,AG232:AG235)</f>
        <v>0.11342385880579586</v>
      </c>
      <c r="AO232" s="14">
        <f>bdrate(E232:E235,K232:K235,AC232:AC235,AI232:AI235)</f>
        <v>-0.20017413588075084</v>
      </c>
      <c r="AP232" s="12">
        <f>bdrate(E234:E237,F234:F237,AC234:AC237,AD234:AD237)</f>
        <v>-0.1255257092086266</v>
      </c>
      <c r="AQ232" s="12">
        <f>bdrate(E234:E237,H234:H237,AC234:AC237,AF234:AF237)</f>
        <v>-0.29028839472566992</v>
      </c>
      <c r="AR232" s="12">
        <f>bdrate(E234:E237,I234:I237,AC234:AC237,AG234:AG237)</f>
        <v>-0.10951184709301731</v>
      </c>
      <c r="AS232" s="14">
        <f>bdrate(E234:E237,K234:K237,AC234:AC237,AI234:AI237)</f>
        <v>-0.23579120777550078</v>
      </c>
      <c r="AT232" s="7">
        <v>3.2</v>
      </c>
      <c r="AU232" s="1">
        <v>1.32839458927744</v>
      </c>
      <c r="AV232" s="1">
        <v>36.957036877236497</v>
      </c>
      <c r="AW232" s="1">
        <v>0.99698200906955403</v>
      </c>
      <c r="AX232" s="1">
        <v>25.2028206968413</v>
      </c>
      <c r="AY232" s="1">
        <v>40.117161951705199</v>
      </c>
      <c r="AZ232" s="1">
        <v>0.99761893663752699</v>
      </c>
      <c r="BA232" s="1">
        <v>26.232290474317601</v>
      </c>
      <c r="BB232" s="1">
        <v>931.42195081710804</v>
      </c>
      <c r="BC232" s="1">
        <v>226.85244011878899</v>
      </c>
      <c r="BD232" s="13">
        <f>bdrate(E232:E235,F232:F235,AU232:AU235,AV232:AV235)</f>
        <v>1.2140357711722802</v>
      </c>
      <c r="BE232" s="12">
        <f>bdrate(E232:E235,H232:H235,AU232:AU235,AX232:AX235)</f>
        <v>-0.56133167908026005</v>
      </c>
      <c r="BF232" s="12">
        <f>bdrate(E232:E235,I232:I235,AU232:AU235,AY232:AY235)</f>
        <v>1.1794429468986056</v>
      </c>
      <c r="BG232" s="14">
        <f>bdrate(E232:E235,K232:K235,AU232:AU235,BA232:BA235)</f>
        <v>-0.53957826388184338</v>
      </c>
      <c r="BH232" s="12">
        <f>bdrate(E234:E237,F234:F237,AU234:AU237,AV234:AV237)</f>
        <v>0.80190627711690787</v>
      </c>
      <c r="BI232" s="12">
        <f>bdrate(E234:E237,H234:H237,AU234:AU237,AX234:AX237)</f>
        <v>-0.60574128347088096</v>
      </c>
      <c r="BJ232" s="12">
        <f>bdrate(E234:E237,I234:I237,AU234:AU237,AY234:AY237)</f>
        <v>0.74281809480860983</v>
      </c>
      <c r="BK232" s="14">
        <f>bdrate(E234:E237,K234:K237,AU234:AU237,BA234:BA237)</f>
        <v>-0.58508087048760471</v>
      </c>
    </row>
    <row r="233" spans="1:63">
      <c r="A233" s="49"/>
      <c r="B233" s="7" t="s">
        <v>18</v>
      </c>
      <c r="C233" s="17">
        <v>1</v>
      </c>
      <c r="D233" s="7">
        <v>27</v>
      </c>
      <c r="E233" s="1">
        <v>0.96551164099650699</v>
      </c>
      <c r="F233" s="1">
        <v>39.552850514201701</v>
      </c>
      <c r="G233" s="1">
        <v>0.98686494562279903</v>
      </c>
      <c r="H233" s="1">
        <v>18.815681249586699</v>
      </c>
      <c r="I233" s="1">
        <v>42.639270128926199</v>
      </c>
      <c r="J233" s="1">
        <v>0.98946839193172498</v>
      </c>
      <c r="K233" s="8">
        <v>19.7750531144905</v>
      </c>
      <c r="L233" s="7">
        <v>25</v>
      </c>
      <c r="M233" s="1">
        <v>0.91420354121954295</v>
      </c>
      <c r="N233" s="1">
        <v>39.561861163360298</v>
      </c>
      <c r="O233" s="1">
        <v>0.98753093049915996</v>
      </c>
      <c r="P233" s="1">
        <v>19.041659543585698</v>
      </c>
      <c r="Q233" s="1">
        <v>42.720772431894503</v>
      </c>
      <c r="R233" s="1">
        <v>0.99034712880974096</v>
      </c>
      <c r="S233" s="8">
        <v>20.153434890790301</v>
      </c>
      <c r="T233" s="7"/>
      <c r="U233" s="1"/>
      <c r="V233" s="1"/>
      <c r="W233" s="8"/>
      <c r="X233" s="7"/>
      <c r="Y233" s="1"/>
      <c r="Z233" s="1"/>
      <c r="AA233" s="8"/>
      <c r="AB233" s="7">
        <v>64</v>
      </c>
      <c r="AC233" s="1">
        <v>0.92376870029036695</v>
      </c>
      <c r="AD233" s="1">
        <v>38.210257445337099</v>
      </c>
      <c r="AE233" s="1">
        <v>0.98952576513749901</v>
      </c>
      <c r="AF233" s="1">
        <v>19.798776921927399</v>
      </c>
      <c r="AG233" s="1">
        <v>41.094399916584798</v>
      </c>
      <c r="AH233" s="1">
        <v>0.99169929528748801</v>
      </c>
      <c r="AI233" s="1">
        <v>20.808850353633201</v>
      </c>
      <c r="AJ233" s="1">
        <v>214.556266069412</v>
      </c>
      <c r="AK233" s="1">
        <v>99.7215220928192</v>
      </c>
      <c r="AL233" s="7"/>
      <c r="AM233" s="1"/>
      <c r="AN233" s="1"/>
      <c r="AO233" s="8"/>
      <c r="AP233" s="1"/>
      <c r="AQ233" s="1"/>
      <c r="AR233" s="1"/>
      <c r="AS233" s="8"/>
      <c r="AT233" s="7">
        <v>1.28</v>
      </c>
      <c r="AU233" s="1">
        <v>0.83129300277742701</v>
      </c>
      <c r="AV233" s="1">
        <v>34.776990348732298</v>
      </c>
      <c r="AW233" s="1">
        <v>0.99436321075961198</v>
      </c>
      <c r="AX233" s="1">
        <v>22.4896820315174</v>
      </c>
      <c r="AY233" s="1">
        <v>38.104247445600201</v>
      </c>
      <c r="AZ233" s="1">
        <v>0.99544680350556802</v>
      </c>
      <c r="BA233" s="1">
        <v>23.416836071910101</v>
      </c>
      <c r="BB233" s="1">
        <v>540.744704246521</v>
      </c>
      <c r="BC233" s="1">
        <v>188.45471644401499</v>
      </c>
      <c r="BD233" s="7"/>
      <c r="BE233" s="1"/>
      <c r="BF233" s="1"/>
      <c r="BG233" s="8"/>
      <c r="BH233" s="1"/>
      <c r="BI233" s="1"/>
      <c r="BJ233" s="1"/>
      <c r="BK233" s="8"/>
    </row>
    <row r="234" spans="1:63">
      <c r="A234" s="49"/>
      <c r="B234" s="7" t="s">
        <v>18</v>
      </c>
      <c r="C234" s="17">
        <v>0.5</v>
      </c>
      <c r="D234" s="7">
        <v>31</v>
      </c>
      <c r="E234" s="1">
        <v>0.477319651348735</v>
      </c>
      <c r="F234" s="1">
        <v>35.705068631120902</v>
      </c>
      <c r="G234" s="1">
        <v>0.97306873007253802</v>
      </c>
      <c r="H234" s="1">
        <v>15.6974316721658</v>
      </c>
      <c r="I234" s="1">
        <v>38.938591441116898</v>
      </c>
      <c r="J234" s="1">
        <v>0.97713112823885995</v>
      </c>
      <c r="K234" s="8">
        <v>16.4075526084135</v>
      </c>
      <c r="L234" s="7">
        <v>29</v>
      </c>
      <c r="M234" s="1">
        <v>0.44698756996170502</v>
      </c>
      <c r="N234" s="1">
        <v>36.025932555996</v>
      </c>
      <c r="O234" s="1">
        <v>0.97503155266772401</v>
      </c>
      <c r="P234" s="1">
        <v>16.026084634952898</v>
      </c>
      <c r="Q234" s="1">
        <v>39.3414186828903</v>
      </c>
      <c r="R234" s="1">
        <v>0.97891709389161896</v>
      </c>
      <c r="S234" s="8">
        <v>16.7606952534545</v>
      </c>
      <c r="T234" s="7"/>
      <c r="U234" s="1"/>
      <c r="V234" s="1"/>
      <c r="W234" s="8"/>
      <c r="X234" s="7"/>
      <c r="Y234" s="1"/>
      <c r="Z234" s="1"/>
      <c r="AA234" s="8"/>
      <c r="AB234" s="7">
        <v>32</v>
      </c>
      <c r="AC234" s="1">
        <v>0.57290417350502798</v>
      </c>
      <c r="AD234" s="1">
        <v>36.400985709374197</v>
      </c>
      <c r="AE234" s="1">
        <v>0.982541464233184</v>
      </c>
      <c r="AF234" s="1">
        <v>17.579921830278099</v>
      </c>
      <c r="AG234" s="1">
        <v>39.428863104941101</v>
      </c>
      <c r="AH234" s="1">
        <v>0.98518138936740096</v>
      </c>
      <c r="AI234" s="1">
        <v>18.291925131503099</v>
      </c>
      <c r="AJ234" s="1">
        <v>210.99376273155201</v>
      </c>
      <c r="AK234" s="1">
        <v>103.53468370437599</v>
      </c>
      <c r="AL234" s="7"/>
      <c r="AM234" s="1"/>
      <c r="AN234" s="1"/>
      <c r="AO234" s="8"/>
      <c r="AP234" s="1"/>
      <c r="AQ234" s="1"/>
      <c r="AR234" s="1"/>
      <c r="AS234" s="8"/>
      <c r="AT234" s="7">
        <v>0.64</v>
      </c>
      <c r="AU234" s="1">
        <v>0.57932960379581699</v>
      </c>
      <c r="AV234" s="1">
        <v>33.645113095052601</v>
      </c>
      <c r="AW234" s="1">
        <v>0.99157371589458798</v>
      </c>
      <c r="AX234" s="1">
        <v>20.743639020412999</v>
      </c>
      <c r="AY234" s="1">
        <v>37.022202446166901</v>
      </c>
      <c r="AZ234" s="1">
        <v>0.99309732048659005</v>
      </c>
      <c r="BA234" s="1">
        <v>21.609822901331601</v>
      </c>
      <c r="BB234" s="1">
        <v>257.46621942520102</v>
      </c>
      <c r="BC234" s="1">
        <v>143.99118447303701</v>
      </c>
      <c r="BD234" s="7"/>
      <c r="BE234" s="1"/>
      <c r="BF234" s="1"/>
      <c r="BG234" s="8"/>
      <c r="BH234" s="1"/>
      <c r="BI234" s="1"/>
      <c r="BJ234" s="1"/>
      <c r="BK234" s="8"/>
    </row>
    <row r="235" spans="1:63">
      <c r="A235" s="49"/>
      <c r="B235" s="7" t="s">
        <v>18</v>
      </c>
      <c r="C235" s="17">
        <v>0.25</v>
      </c>
      <c r="D235" s="7">
        <v>35</v>
      </c>
      <c r="E235" s="1">
        <v>0.232959327525985</v>
      </c>
      <c r="F235" s="1">
        <v>33.374581893083402</v>
      </c>
      <c r="G235" s="1">
        <v>0.96146201576017798</v>
      </c>
      <c r="H235" s="1">
        <v>14.1411100520773</v>
      </c>
      <c r="I235" s="1">
        <v>36.667340133190201</v>
      </c>
      <c r="J235" s="1">
        <v>0.96710919124191097</v>
      </c>
      <c r="K235" s="8">
        <v>14.8292544743991</v>
      </c>
      <c r="L235" s="7">
        <v>33</v>
      </c>
      <c r="M235" s="1">
        <v>0.21911295922231999</v>
      </c>
      <c r="N235" s="1">
        <v>33.867984798866999</v>
      </c>
      <c r="O235" s="1">
        <v>0.96347751779528701</v>
      </c>
      <c r="P235" s="1">
        <v>14.374397138547099</v>
      </c>
      <c r="Q235" s="1">
        <v>37.248112769094298</v>
      </c>
      <c r="R235" s="1">
        <v>0.96861149300349303</v>
      </c>
      <c r="S235" s="8">
        <v>15.032293411524201</v>
      </c>
      <c r="T235" s="7"/>
      <c r="U235" s="1"/>
      <c r="V235" s="1"/>
      <c r="W235" s="8"/>
      <c r="X235" s="7"/>
      <c r="Y235" s="1"/>
      <c r="Z235" s="1"/>
      <c r="AA235" s="8"/>
      <c r="AB235" s="7">
        <v>8</v>
      </c>
      <c r="AC235" s="1">
        <v>0.20524489226949399</v>
      </c>
      <c r="AD235" s="1">
        <v>33.4205169731176</v>
      </c>
      <c r="AE235" s="1">
        <v>0.96463094304016195</v>
      </c>
      <c r="AF235" s="1">
        <v>14.5137651956321</v>
      </c>
      <c r="AG235" s="1">
        <v>36.660527045809197</v>
      </c>
      <c r="AH235" s="1">
        <v>0.96872277184073197</v>
      </c>
      <c r="AI235" s="1">
        <v>15.0477174181661</v>
      </c>
      <c r="AJ235" s="1">
        <v>163.4433157444</v>
      </c>
      <c r="AK235" s="1">
        <v>99.719533920288001</v>
      </c>
      <c r="AL235" s="7"/>
      <c r="AM235" s="1"/>
      <c r="AN235" s="1"/>
      <c r="AO235" s="8"/>
      <c r="AP235" s="1"/>
      <c r="AQ235" s="1"/>
      <c r="AR235" s="1"/>
      <c r="AS235" s="8"/>
      <c r="AT235" s="7">
        <v>0.16</v>
      </c>
      <c r="AU235" s="1">
        <v>0.26283573728064602</v>
      </c>
      <c r="AV235" s="1">
        <v>31.874166819693201</v>
      </c>
      <c r="AW235" s="1">
        <v>0.98102836949208105</v>
      </c>
      <c r="AX235" s="1">
        <v>17.218953422709902</v>
      </c>
      <c r="AY235" s="1">
        <v>35.218330438868499</v>
      </c>
      <c r="AZ235" s="1">
        <v>0.98377205735360695</v>
      </c>
      <c r="BA235" s="1">
        <v>17.897365358702999</v>
      </c>
      <c r="BB235" s="1">
        <v>186.84884977340599</v>
      </c>
      <c r="BC235" s="1">
        <v>125.675406694412</v>
      </c>
      <c r="BD235" s="7"/>
      <c r="BE235" s="1"/>
      <c r="BF235" s="1"/>
      <c r="BG235" s="8"/>
      <c r="BH235" s="1"/>
      <c r="BI235" s="1"/>
      <c r="BJ235" s="1"/>
      <c r="BK235" s="8"/>
    </row>
    <row r="236" spans="1:63">
      <c r="A236" s="49"/>
      <c r="B236" s="7" t="s">
        <v>18</v>
      </c>
      <c r="C236" s="17">
        <v>0.12</v>
      </c>
      <c r="D236" s="7">
        <v>40</v>
      </c>
      <c r="E236" s="1">
        <v>0.11492393637167</v>
      </c>
      <c r="F236" s="1">
        <v>31.364117245634102</v>
      </c>
      <c r="G236" s="1">
        <v>0.94634502484413097</v>
      </c>
      <c r="H236" s="1">
        <v>12.703900018888399</v>
      </c>
      <c r="I236" s="1">
        <v>34.606492046271903</v>
      </c>
      <c r="J236" s="1">
        <v>0.95429036754089003</v>
      </c>
      <c r="K236" s="8">
        <v>13.399922707610401</v>
      </c>
      <c r="L236" s="7">
        <v>37</v>
      </c>
      <c r="M236" s="1">
        <v>0.11800843222657</v>
      </c>
      <c r="N236" s="1">
        <v>32.2853552625917</v>
      </c>
      <c r="O236" s="1">
        <v>0.95323882973738705</v>
      </c>
      <c r="P236" s="1">
        <v>13.301146285573401</v>
      </c>
      <c r="Q236" s="1">
        <v>35.6697736659467</v>
      </c>
      <c r="R236" s="1">
        <v>0.95953861925044404</v>
      </c>
      <c r="S236" s="8">
        <v>13.929593009601399</v>
      </c>
      <c r="T236" s="7"/>
      <c r="U236" s="1"/>
      <c r="V236" s="1"/>
      <c r="W236" s="8"/>
      <c r="X236" s="7"/>
      <c r="Y236" s="1"/>
      <c r="Z236" s="1"/>
      <c r="AA236" s="8"/>
      <c r="AB236" s="7">
        <v>4</v>
      </c>
      <c r="AC236" s="1">
        <v>0.13366433636325301</v>
      </c>
      <c r="AD236" s="1">
        <v>32.273384273327501</v>
      </c>
      <c r="AE236" s="1">
        <v>0.95796793130874702</v>
      </c>
      <c r="AF236" s="1">
        <v>13.764192348081099</v>
      </c>
      <c r="AG236" s="1">
        <v>35.530020150988598</v>
      </c>
      <c r="AH236" s="1">
        <v>0.96275317227983603</v>
      </c>
      <c r="AI236" s="1">
        <v>14.289107098229399</v>
      </c>
      <c r="AJ236" s="1">
        <v>223.86910486221299</v>
      </c>
      <c r="AK236" s="1">
        <v>160.04545855522099</v>
      </c>
      <c r="AL236" s="7"/>
      <c r="AM236" s="1"/>
      <c r="AN236" s="1"/>
      <c r="AO236" s="8"/>
      <c r="AP236" s="1"/>
      <c r="AQ236" s="1"/>
      <c r="AR236" s="1"/>
      <c r="AS236" s="8"/>
      <c r="AT236" s="7">
        <v>0.08</v>
      </c>
      <c r="AU236" s="1">
        <v>0.150463036022387</v>
      </c>
      <c r="AV236" s="1">
        <v>30.7261322134521</v>
      </c>
      <c r="AW236" s="1">
        <v>0.97032845243562904</v>
      </c>
      <c r="AX236" s="1">
        <v>15.2765980180789</v>
      </c>
      <c r="AY236" s="1">
        <v>34.063486091901801</v>
      </c>
      <c r="AZ236" s="1">
        <v>0.97406207071360196</v>
      </c>
      <c r="BA236" s="1">
        <v>15.860646980818199</v>
      </c>
      <c r="BB236" s="1">
        <v>147.620838880538</v>
      </c>
      <c r="BC236" s="1">
        <v>99.708561420440603</v>
      </c>
      <c r="BD236" s="7"/>
      <c r="BE236" s="1"/>
      <c r="BF236" s="1"/>
      <c r="BG236" s="8"/>
      <c r="BH236" s="1"/>
      <c r="BI236" s="1"/>
      <c r="BJ236" s="1"/>
      <c r="BK236" s="8"/>
    </row>
    <row r="237" spans="1:63">
      <c r="A237" s="49"/>
      <c r="B237" s="7" t="s">
        <v>18</v>
      </c>
      <c r="C237" s="17">
        <v>0.06</v>
      </c>
      <c r="D237" s="7">
        <v>45</v>
      </c>
      <c r="E237" s="1">
        <v>5.8289146993224697E-2</v>
      </c>
      <c r="F237" s="1">
        <v>29.280992095657702</v>
      </c>
      <c r="G237" s="1">
        <v>0.92187190539136599</v>
      </c>
      <c r="H237" s="1">
        <v>11.071927671539701</v>
      </c>
      <c r="I237" s="1">
        <v>32.462234976914303</v>
      </c>
      <c r="J237" s="1">
        <v>0.93306050830223197</v>
      </c>
      <c r="K237" s="8">
        <v>11.743175897627101</v>
      </c>
      <c r="L237" s="7">
        <v>43</v>
      </c>
      <c r="M237" s="1">
        <v>5.2482456970921097E-2</v>
      </c>
      <c r="N237" s="1">
        <v>30.069372759555201</v>
      </c>
      <c r="O237" s="1">
        <v>0.93130266668654704</v>
      </c>
      <c r="P237" s="1">
        <v>11.6306012101512</v>
      </c>
      <c r="Q237" s="1">
        <v>33.427896707063802</v>
      </c>
      <c r="R237" s="1">
        <v>0.93921387788349497</v>
      </c>
      <c r="S237" s="8">
        <v>12.161955617828999</v>
      </c>
      <c r="T237" s="7"/>
      <c r="U237" s="1"/>
      <c r="V237" s="1"/>
      <c r="W237" s="8"/>
      <c r="X237" s="7"/>
      <c r="Y237" s="1"/>
      <c r="Z237" s="1"/>
      <c r="AA237" s="8"/>
      <c r="AB237" s="7">
        <v>2</v>
      </c>
      <c r="AC237" s="1">
        <v>8.3491799225686905E-2</v>
      </c>
      <c r="AD237" s="1">
        <v>30.976371843071099</v>
      </c>
      <c r="AE237" s="1">
        <v>0.94811549481097102</v>
      </c>
      <c r="AF237" s="1">
        <v>12.849623206799601</v>
      </c>
      <c r="AG237" s="1">
        <v>34.232225127743398</v>
      </c>
      <c r="AH237" s="1">
        <v>0.95402349067397196</v>
      </c>
      <c r="AI237" s="1">
        <v>13.3746400474989</v>
      </c>
      <c r="AJ237" s="1">
        <v>195.43617820739701</v>
      </c>
      <c r="AK237" s="1">
        <v>136.63993525505001</v>
      </c>
      <c r="AL237" s="7"/>
      <c r="AM237" s="1"/>
      <c r="AN237" s="1"/>
      <c r="AO237" s="8"/>
      <c r="AP237" s="1"/>
      <c r="AQ237" s="1"/>
      <c r="AR237" s="1"/>
      <c r="AS237" s="8"/>
      <c r="AT237" s="7">
        <v>0.04</v>
      </c>
      <c r="AU237" s="1">
        <v>8.4292676640154801E-2</v>
      </c>
      <c r="AV237" s="1">
        <v>29.520492408507099</v>
      </c>
      <c r="AW237" s="1">
        <v>0.95890061524041004</v>
      </c>
      <c r="AX237" s="1">
        <v>13.861646792800199</v>
      </c>
      <c r="AY237" s="1">
        <v>32.723530399291697</v>
      </c>
      <c r="AZ237" s="1">
        <v>0.96379845730022096</v>
      </c>
      <c r="BA237" s="1">
        <v>14.412729219606</v>
      </c>
      <c r="BB237" s="1">
        <v>176.518139123916</v>
      </c>
      <c r="BC237" s="1">
        <v>126.217848539352</v>
      </c>
      <c r="BD237" s="7"/>
      <c r="BE237" s="1"/>
      <c r="BF237" s="1"/>
      <c r="BG237" s="8"/>
      <c r="BH237" s="1"/>
      <c r="BI237" s="1"/>
      <c r="BJ237" s="1"/>
      <c r="BK237" s="8"/>
    </row>
    <row r="238" spans="1:63">
      <c r="A238" s="49"/>
      <c r="B238" s="7" t="s">
        <v>59</v>
      </c>
      <c r="C238" s="17">
        <v>1.5</v>
      </c>
      <c r="D238" s="7">
        <v>22</v>
      </c>
      <c r="E238" s="1">
        <v>1.40218806068178</v>
      </c>
      <c r="F238" s="1">
        <v>42.631437553336603</v>
      </c>
      <c r="G238" s="1">
        <v>0.99239384453181501</v>
      </c>
      <c r="H238" s="1">
        <v>21.1883480194778</v>
      </c>
      <c r="I238" s="1">
        <v>45.669039152482</v>
      </c>
      <c r="J238" s="1">
        <v>0.99614450036626401</v>
      </c>
      <c r="K238" s="8">
        <v>24.139193337961899</v>
      </c>
      <c r="L238" s="7">
        <v>16</v>
      </c>
      <c r="M238" s="1">
        <v>1.4577826637190801</v>
      </c>
      <c r="N238" s="1">
        <v>45.194410322787903</v>
      </c>
      <c r="O238" s="1">
        <v>0.99617289269488296</v>
      </c>
      <c r="P238" s="1">
        <v>24.171293607786598</v>
      </c>
      <c r="Q238" s="1">
        <v>48.268747115997698</v>
      </c>
      <c r="R238" s="1">
        <v>0.99807259302796902</v>
      </c>
      <c r="S238" s="8">
        <v>27.1502657437096</v>
      </c>
      <c r="T238" s="13">
        <f>bdrate(E238:E241,F238:F241,M238:M241,N238:N241)</f>
        <v>-0.41995873579653742</v>
      </c>
      <c r="U238" s="12">
        <f>bdrate(E238:E241,H238:H241,M238:M241,P238:P241)</f>
        <v>-0.49888157956343204</v>
      </c>
      <c r="V238" s="12">
        <f>bdrate(E238:E241,I238:I241,M238:M241,Q238:Q241)</f>
        <v>-0.37877275169841151</v>
      </c>
      <c r="W238" s="14">
        <f>bdrate(E238:E241,K238:K241,M238:M241,S238:S241)</f>
        <v>-0.33806914330669791</v>
      </c>
      <c r="X238" s="13">
        <f>bdrate(E240:E243,F240:F243,M240:M243,N240:N243)</f>
        <v>-0.44233911272397697</v>
      </c>
      <c r="Y238" s="12">
        <f>bdrate(E240:E243,H240:H243,M240:M243,P240:P243)</f>
        <v>-0.56327264401300836</v>
      </c>
      <c r="Z238" s="12">
        <f>bdrate(E240:E243,I240:I243,M240:M243,Q240:Q243)</f>
        <v>-0.39075593209302972</v>
      </c>
      <c r="AA238" s="14">
        <f>bdrate(E240:E243,K240:K243,M240:M243,S240:S243)</f>
        <v>-0.32147107418407361</v>
      </c>
      <c r="AB238" s="7">
        <v>256</v>
      </c>
      <c r="AC238" s="1">
        <v>1.1293137455145399</v>
      </c>
      <c r="AD238" s="1">
        <v>44.282936970567498</v>
      </c>
      <c r="AE238" s="1">
        <v>0.99618616227234502</v>
      </c>
      <c r="AF238" s="1">
        <v>24.186377893925901</v>
      </c>
      <c r="AG238" s="1">
        <v>46.660585695787603</v>
      </c>
      <c r="AH238" s="1">
        <v>0.99732256588278101</v>
      </c>
      <c r="AI238" s="1">
        <v>25.722812069127102</v>
      </c>
      <c r="AJ238" s="1">
        <v>427.16208624839697</v>
      </c>
      <c r="AK238" s="1">
        <v>207.44929718971201</v>
      </c>
      <c r="AL238" s="13">
        <f>bdrate(E238:E241,F238:F241,AC238:AC241,AD238:AD241)</f>
        <v>-0.46740365033290532</v>
      </c>
      <c r="AM238" s="12">
        <f>bdrate(E238:E241,H238:H241,AC238:AC241,AF238:AF241)</f>
        <v>-0.60915773989427779</v>
      </c>
      <c r="AN238" s="12">
        <f>bdrate(E238:E241,I238:I241,AC238:AC241,AG238:AG241)</f>
        <v>-0.38563182261557016</v>
      </c>
      <c r="AO238" s="14">
        <f>bdrate(E238:E241,K238:K241,AC238:AC241,AI238:AI241)</f>
        <v>-0.39032783808619753</v>
      </c>
      <c r="AP238" s="12">
        <f>bdrate(E240:E243,F240:F243,AC240:AC243,AD240:AD243)</f>
        <v>-0.40570216220956734</v>
      </c>
      <c r="AQ238" s="12">
        <f>bdrate(E240:E243,H240:H243,AC240:AC243,AF240:AF243)</f>
        <v>-0.60021906217759047</v>
      </c>
      <c r="AR238" s="12">
        <f>bdrate(E240:E243,I240:I243,AC240:AC243,AG240:AG243)</f>
        <v>-0.32584017966388645</v>
      </c>
      <c r="AS238" s="14">
        <f>bdrate(E240:E243,K240:K243,AC240:AC243,AI240:AI243)</f>
        <v>-0.30730778939924919</v>
      </c>
      <c r="AT238" s="7">
        <v>6.4</v>
      </c>
      <c r="AU238" s="1">
        <v>1.24649223455722</v>
      </c>
      <c r="AV238" s="1">
        <v>42.5702394429726</v>
      </c>
      <c r="AW238" s="1">
        <v>0.99800314216165498</v>
      </c>
      <c r="AX238" s="1">
        <v>26.996528526155998</v>
      </c>
      <c r="AY238" s="1">
        <v>44.595767679470796</v>
      </c>
      <c r="AZ238" s="1">
        <v>0.99870030553737099</v>
      </c>
      <c r="BA238" s="1">
        <v>28.861587313779498</v>
      </c>
      <c r="BB238" s="1">
        <v>444.57213449478098</v>
      </c>
      <c r="BC238" s="1">
        <v>219.65947389602599</v>
      </c>
      <c r="BD238" s="13">
        <f>bdrate(E238:E241,F238:F241,AU238:AU241,AV238:AV241)</f>
        <v>-0.11367486537642368</v>
      </c>
      <c r="BE238" s="12">
        <f>bdrate(E238:E241,H238:H241,AU238:AU241,AX238:AX241)</f>
        <v>-0.74501485089913566</v>
      </c>
      <c r="BF238" s="12">
        <f>bdrate(E238:E241,I238:I241,AU238:AU241,AY238:AY241)</f>
        <v>3.472261403653687E-2</v>
      </c>
      <c r="BG238" s="14">
        <f>bdrate(E238:E241,K238:K241,AU238:AU241,BA238:BA241)</f>
        <v>-0.60128313281607371</v>
      </c>
      <c r="BH238" s="12">
        <f>bdrate(E240:E243,F240:F243,AU240:AU243,AV240:AV243)</f>
        <v>-0.19093236232237709</v>
      </c>
      <c r="BI238" s="12">
        <f>bdrate(E240:E243,H240:H243,AU240:AU243,AX240:AX243)</f>
        <v>-0.69916147381987226</v>
      </c>
      <c r="BJ238" s="12">
        <f>bdrate(E240:E243,I240:I243,AU240:AU243,AY240:AY243)</f>
        <v>-6.6614243834699716E-2</v>
      </c>
      <c r="BK238" s="14">
        <f>bdrate(E240:E243,K240:K243,AU240:AU243,BA240:BA243)</f>
        <v>-0.48118516200419192</v>
      </c>
    </row>
    <row r="239" spans="1:63">
      <c r="A239" s="49"/>
      <c r="B239" s="7" t="s">
        <v>18</v>
      </c>
      <c r="C239" s="17">
        <v>1</v>
      </c>
      <c r="D239" s="7">
        <v>25</v>
      </c>
      <c r="E239" s="1">
        <v>0.94524291538510796</v>
      </c>
      <c r="F239" s="1">
        <v>40.771212581127202</v>
      </c>
      <c r="G239" s="1">
        <v>0.98856082035229598</v>
      </c>
      <c r="H239" s="1">
        <v>19.4160511953338</v>
      </c>
      <c r="I239" s="1">
        <v>43.576992344988597</v>
      </c>
      <c r="J239" s="1">
        <v>0.99360142925269201</v>
      </c>
      <c r="K239" s="8">
        <v>21.939170238094199</v>
      </c>
      <c r="L239" s="7">
        <v>20</v>
      </c>
      <c r="M239" s="1">
        <v>0.95671186162373401</v>
      </c>
      <c r="N239" s="1">
        <v>43.160531999235701</v>
      </c>
      <c r="O239" s="1">
        <v>0.99379338414325302</v>
      </c>
      <c r="P239" s="1">
        <v>22.071451333737599</v>
      </c>
      <c r="Q239" s="1">
        <v>45.948999909479802</v>
      </c>
      <c r="R239" s="1">
        <v>0.99621526804095295</v>
      </c>
      <c r="S239" s="8">
        <v>24.2196487252561</v>
      </c>
      <c r="T239" s="7"/>
      <c r="U239" s="1"/>
      <c r="V239" s="1"/>
      <c r="W239" s="8"/>
      <c r="X239" s="7"/>
      <c r="Y239" s="1"/>
      <c r="Z239" s="1"/>
      <c r="AA239" s="8"/>
      <c r="AB239" s="7">
        <v>128</v>
      </c>
      <c r="AC239" s="1">
        <v>0.75071937475970696</v>
      </c>
      <c r="AD239" s="1">
        <v>42.441608540886598</v>
      </c>
      <c r="AE239" s="1">
        <v>0.99397758366341804</v>
      </c>
      <c r="AF239" s="1">
        <v>22.202292245074599</v>
      </c>
      <c r="AG239" s="1">
        <v>44.700070504088004</v>
      </c>
      <c r="AH239" s="1">
        <v>0.99532130072324598</v>
      </c>
      <c r="AI239" s="1">
        <v>23.298748681747</v>
      </c>
      <c r="AJ239" s="1">
        <v>344.95533967018099</v>
      </c>
      <c r="AK239" s="1">
        <v>194.26131772994901</v>
      </c>
      <c r="AL239" s="7"/>
      <c r="AM239" s="1"/>
      <c r="AN239" s="1"/>
      <c r="AO239" s="8"/>
      <c r="AP239" s="1"/>
      <c r="AQ239" s="1"/>
      <c r="AR239" s="1"/>
      <c r="AS239" s="8"/>
      <c r="AT239" s="7">
        <v>3.2</v>
      </c>
      <c r="AU239" s="1">
        <v>0.896487628956811</v>
      </c>
      <c r="AV239" s="1">
        <v>40.973268050157301</v>
      </c>
      <c r="AW239" s="1">
        <v>0.99716010748149797</v>
      </c>
      <c r="AX239" s="1">
        <v>25.4669809639839</v>
      </c>
      <c r="AY239" s="1">
        <v>42.984381538703403</v>
      </c>
      <c r="AZ239" s="1">
        <v>0.99800470212769399</v>
      </c>
      <c r="BA239" s="1">
        <v>26.999922605578099</v>
      </c>
      <c r="BB239" s="1">
        <v>654.36873173713605</v>
      </c>
      <c r="BC239" s="1">
        <v>306.02453589439301</v>
      </c>
      <c r="BD239" s="7"/>
      <c r="BE239" s="1"/>
      <c r="BF239" s="1"/>
      <c r="BG239" s="8"/>
      <c r="BH239" s="1"/>
      <c r="BI239" s="1"/>
      <c r="BJ239" s="1"/>
      <c r="BK239" s="8"/>
    </row>
    <row r="240" spans="1:63">
      <c r="A240" s="49"/>
      <c r="B240" s="7" t="s">
        <v>18</v>
      </c>
      <c r="C240" s="17">
        <v>0.5</v>
      </c>
      <c r="D240" s="7">
        <v>31</v>
      </c>
      <c r="E240" s="1">
        <v>0.44876419726387201</v>
      </c>
      <c r="F240" s="1">
        <v>37.660303728393004</v>
      </c>
      <c r="G240" s="1">
        <v>0.97857361684782096</v>
      </c>
      <c r="H240" s="1">
        <v>16.690511331867999</v>
      </c>
      <c r="I240" s="1">
        <v>40.2001070455809</v>
      </c>
      <c r="J240" s="1">
        <v>0.987201883737852</v>
      </c>
      <c r="K240" s="8">
        <v>18.928539488801601</v>
      </c>
      <c r="L240" s="7">
        <v>26</v>
      </c>
      <c r="M240" s="1">
        <v>0.44269782054978801</v>
      </c>
      <c r="N240" s="1">
        <v>39.843322760290903</v>
      </c>
      <c r="O240" s="1">
        <v>0.98783131467075103</v>
      </c>
      <c r="P240" s="1">
        <v>19.147563391975201</v>
      </c>
      <c r="Q240" s="1">
        <v>42.249014398983299</v>
      </c>
      <c r="R240" s="1">
        <v>0.99095806367316597</v>
      </c>
      <c r="S240" s="8">
        <v>20.437385555855101</v>
      </c>
      <c r="T240" s="7"/>
      <c r="U240" s="1"/>
      <c r="V240" s="1"/>
      <c r="W240" s="8"/>
      <c r="X240" s="7"/>
      <c r="Y240" s="1"/>
      <c r="Z240" s="1"/>
      <c r="AA240" s="8"/>
      <c r="AB240" s="7">
        <v>64</v>
      </c>
      <c r="AC240" s="1">
        <v>0.50915963811995302</v>
      </c>
      <c r="AD240" s="1">
        <v>40.833829838284899</v>
      </c>
      <c r="AE240" s="1">
        <v>0.991381875674749</v>
      </c>
      <c r="AF240" s="1">
        <v>20.6458724506072</v>
      </c>
      <c r="AG240" s="1">
        <v>42.993828010132901</v>
      </c>
      <c r="AH240" s="1">
        <v>0.99285609811137598</v>
      </c>
      <c r="AI240" s="1">
        <v>21.460645184982599</v>
      </c>
      <c r="AJ240" s="1">
        <v>233.84618234634399</v>
      </c>
      <c r="AK240" s="1">
        <v>136.852503538131</v>
      </c>
      <c r="AL240" s="7"/>
      <c r="AM240" s="1"/>
      <c r="AN240" s="1"/>
      <c r="AO240" s="8"/>
      <c r="AP240" s="1"/>
      <c r="AQ240" s="1"/>
      <c r="AR240" s="1"/>
      <c r="AS240" s="8"/>
      <c r="AT240" s="7">
        <v>0.64</v>
      </c>
      <c r="AU240" s="1">
        <v>0.42340536091887698</v>
      </c>
      <c r="AV240" s="1">
        <v>37.984301348490497</v>
      </c>
      <c r="AW240" s="1">
        <v>0.99360622190263004</v>
      </c>
      <c r="AX240" s="1">
        <v>21.942424404384401</v>
      </c>
      <c r="AY240" s="1">
        <v>39.961934989361197</v>
      </c>
      <c r="AZ240" s="1">
        <v>0.99448964156837405</v>
      </c>
      <c r="BA240" s="1">
        <v>22.588201507282299</v>
      </c>
      <c r="BB240" s="1">
        <v>291.17037153244002</v>
      </c>
      <c r="BC240" s="1">
        <v>191.22157001495299</v>
      </c>
      <c r="BD240" s="7"/>
      <c r="BE240" s="1"/>
      <c r="BF240" s="1"/>
      <c r="BG240" s="8"/>
      <c r="BH240" s="1"/>
      <c r="BI240" s="1"/>
      <c r="BJ240" s="1"/>
      <c r="BK240" s="8"/>
    </row>
    <row r="241" spans="1:63">
      <c r="A241" s="49"/>
      <c r="B241" s="7" t="s">
        <v>18</v>
      </c>
      <c r="C241" s="17">
        <v>0.25</v>
      </c>
      <c r="D241" s="7">
        <v>36</v>
      </c>
      <c r="E241" s="1">
        <v>0.22830161476355201</v>
      </c>
      <c r="F241" s="1">
        <v>35.116743324439902</v>
      </c>
      <c r="G241" s="1">
        <v>0.96360361009062401</v>
      </c>
      <c r="H241" s="1">
        <v>14.3894169108145</v>
      </c>
      <c r="I241" s="1">
        <v>37.523992685873701</v>
      </c>
      <c r="J241" s="1">
        <v>0.97708208715872502</v>
      </c>
      <c r="K241" s="8">
        <v>16.3982493656464</v>
      </c>
      <c r="L241" s="7">
        <v>31</v>
      </c>
      <c r="M241" s="1">
        <v>0.23760743063565201</v>
      </c>
      <c r="N241" s="1">
        <v>37.510448869449803</v>
      </c>
      <c r="O241" s="1">
        <v>0.98134457017573995</v>
      </c>
      <c r="P241" s="1">
        <v>17.2919474028953</v>
      </c>
      <c r="Q241" s="1">
        <v>39.6965554266705</v>
      </c>
      <c r="R241" s="1">
        <v>0.98479222566145497</v>
      </c>
      <c r="S241" s="8">
        <v>18.1793434039906</v>
      </c>
      <c r="T241" s="7"/>
      <c r="U241" s="1"/>
      <c r="V241" s="1"/>
      <c r="W241" s="8"/>
      <c r="X241" s="7"/>
      <c r="Y241" s="1"/>
      <c r="Z241" s="1"/>
      <c r="AA241" s="8"/>
      <c r="AB241" s="7">
        <v>16</v>
      </c>
      <c r="AC241" s="1">
        <v>0.25442888552479798</v>
      </c>
      <c r="AD241" s="1">
        <v>37.954705216304298</v>
      </c>
      <c r="AE241" s="1">
        <v>0.984837354887241</v>
      </c>
      <c r="AF241" s="1">
        <v>18.1922502972842</v>
      </c>
      <c r="AG241" s="1">
        <v>39.9512927327008</v>
      </c>
      <c r="AH241" s="1">
        <v>0.986098042851137</v>
      </c>
      <c r="AI241" s="1">
        <v>18.569240544856601</v>
      </c>
      <c r="AJ241" s="1">
        <v>208.39181852340599</v>
      </c>
      <c r="AK241" s="1">
        <v>130.51614308357199</v>
      </c>
      <c r="AL241" s="7"/>
      <c r="AM241" s="1"/>
      <c r="AN241" s="1"/>
      <c r="AO241" s="8"/>
      <c r="AP241" s="1"/>
      <c r="AQ241" s="1"/>
      <c r="AR241" s="1"/>
      <c r="AS241" s="8"/>
      <c r="AT241" s="7">
        <v>0.32</v>
      </c>
      <c r="AU241" s="1">
        <v>0.28772437283737001</v>
      </c>
      <c r="AV241" s="1">
        <v>36.819215413112303</v>
      </c>
      <c r="AW241" s="1">
        <v>0.99040332405718101</v>
      </c>
      <c r="AX241" s="1">
        <v>20.178791700521099</v>
      </c>
      <c r="AY241" s="1">
        <v>38.7781603460081</v>
      </c>
      <c r="AZ241" s="1">
        <v>0.99120547379103396</v>
      </c>
      <c r="BA241" s="1">
        <v>20.5578755249695</v>
      </c>
      <c r="BB241" s="1">
        <v>278.32851314544598</v>
      </c>
      <c r="BC241" s="1">
        <v>187.05837130546499</v>
      </c>
      <c r="BD241" s="7"/>
      <c r="BE241" s="1"/>
      <c r="BF241" s="1"/>
      <c r="BG241" s="8"/>
      <c r="BH241" s="1"/>
      <c r="BI241" s="1"/>
      <c r="BJ241" s="1"/>
      <c r="BK241" s="8"/>
    </row>
    <row r="242" spans="1:63">
      <c r="A242" s="49"/>
      <c r="B242" s="7" t="s">
        <v>18</v>
      </c>
      <c r="C242" s="17">
        <v>0.12</v>
      </c>
      <c r="D242" s="7">
        <v>40</v>
      </c>
      <c r="E242" s="1">
        <v>0.118968665897731</v>
      </c>
      <c r="F242" s="1">
        <v>32.9805434316267</v>
      </c>
      <c r="G242" s="1">
        <v>0.94382652537204603</v>
      </c>
      <c r="H242" s="1">
        <v>12.504687118711299</v>
      </c>
      <c r="I242" s="1">
        <v>35.271293655878303</v>
      </c>
      <c r="J242" s="1">
        <v>0.96021686650322602</v>
      </c>
      <c r="K242" s="8">
        <v>14.0030101289677</v>
      </c>
      <c r="L242" s="7">
        <v>37</v>
      </c>
      <c r="M242" s="1">
        <v>0.108830838299372</v>
      </c>
      <c r="N242" s="1">
        <v>34.560290927239102</v>
      </c>
      <c r="O242" s="1">
        <v>0.96611990301651496</v>
      </c>
      <c r="P242" s="1">
        <v>14.700553551497199</v>
      </c>
      <c r="Q242" s="1">
        <v>36.608327082669597</v>
      </c>
      <c r="R242" s="1">
        <v>0.96859731566079099</v>
      </c>
      <c r="S242" s="8">
        <v>15.030332263255801</v>
      </c>
      <c r="T242" s="7"/>
      <c r="U242" s="1"/>
      <c r="V242" s="1"/>
      <c r="W242" s="8"/>
      <c r="X242" s="7"/>
      <c r="Y242" s="1"/>
      <c r="Z242" s="1"/>
      <c r="AA242" s="8"/>
      <c r="AB242" s="7">
        <v>4</v>
      </c>
      <c r="AC242" s="1">
        <v>0.126852752947584</v>
      </c>
      <c r="AD242" s="1">
        <v>34.7527778385369</v>
      </c>
      <c r="AE242" s="1">
        <v>0.97148361048176102</v>
      </c>
      <c r="AF242" s="1">
        <v>15.4490546169413</v>
      </c>
      <c r="AG242" s="1">
        <v>36.635545909742198</v>
      </c>
      <c r="AH242" s="1">
        <v>0.97118309182043205</v>
      </c>
      <c r="AI242" s="1">
        <v>15.403526172966201</v>
      </c>
      <c r="AJ242" s="1">
        <v>273.61004996299698</v>
      </c>
      <c r="AK242" s="1">
        <v>210.71709752082799</v>
      </c>
      <c r="AL242" s="7"/>
      <c r="AM242" s="1"/>
      <c r="AN242" s="1"/>
      <c r="AO242" s="8"/>
      <c r="AP242" s="1"/>
      <c r="AQ242" s="1"/>
      <c r="AR242" s="1"/>
      <c r="AS242" s="8"/>
      <c r="AT242" s="7">
        <v>0.08</v>
      </c>
      <c r="AU242" s="1">
        <v>0.135652453383314</v>
      </c>
      <c r="AV242" s="1">
        <v>34.062522696203096</v>
      </c>
      <c r="AW242" s="1">
        <v>0.97954357682550697</v>
      </c>
      <c r="AX242" s="1">
        <v>16.8917030079878</v>
      </c>
      <c r="AY242" s="1">
        <v>35.948577489529796</v>
      </c>
      <c r="AZ242" s="1">
        <v>0.97943828981269199</v>
      </c>
      <c r="BA242" s="1">
        <v>16.8694076642665</v>
      </c>
      <c r="BB242" s="1">
        <v>189.918036222457</v>
      </c>
      <c r="BC242" s="1">
        <v>125.33806657791099</v>
      </c>
      <c r="BD242" s="7"/>
      <c r="BE242" s="1"/>
      <c r="BF242" s="1"/>
      <c r="BG242" s="8"/>
      <c r="BH242" s="1"/>
      <c r="BI242" s="1"/>
      <c r="BJ242" s="1"/>
      <c r="BK242" s="8"/>
    </row>
    <row r="243" spans="1:63">
      <c r="A243" s="49"/>
      <c r="B243" s="7" t="s">
        <v>18</v>
      </c>
      <c r="C243" s="17">
        <v>0.06</v>
      </c>
      <c r="D243" s="7">
        <v>44</v>
      </c>
      <c r="E243" s="1">
        <v>5.29048322760476E-2</v>
      </c>
      <c r="F243" s="1">
        <v>30.901320674356899</v>
      </c>
      <c r="G243" s="1">
        <v>0.91304120869294403</v>
      </c>
      <c r="H243" s="1">
        <v>10.6068650540203</v>
      </c>
      <c r="I243" s="1">
        <v>33.065504660984402</v>
      </c>
      <c r="J243" s="1">
        <v>0.92663443400376699</v>
      </c>
      <c r="K243" s="8">
        <v>11.345077276413001</v>
      </c>
      <c r="L243" s="7">
        <v>41</v>
      </c>
      <c r="M243" s="1">
        <v>5.7641592176086102E-2</v>
      </c>
      <c r="N243" s="1">
        <v>32.438829370314203</v>
      </c>
      <c r="O243" s="1">
        <v>0.94568453251703599</v>
      </c>
      <c r="P243" s="1">
        <v>12.650764782206901</v>
      </c>
      <c r="Q243" s="1">
        <v>34.456246909504301</v>
      </c>
      <c r="R243" s="1">
        <v>0.94506884151892301</v>
      </c>
      <c r="S243" s="8">
        <v>12.601812417462799</v>
      </c>
      <c r="T243" s="7"/>
      <c r="U243" s="1"/>
      <c r="V243" s="1"/>
      <c r="W243" s="8"/>
      <c r="X243" s="7"/>
      <c r="Y243" s="1"/>
      <c r="Z243" s="1"/>
      <c r="AA243" s="8"/>
      <c r="AB243" s="7">
        <v>2</v>
      </c>
      <c r="AC243" s="1">
        <v>7.2185277297193304E-2</v>
      </c>
      <c r="AD243" s="1">
        <v>32.791335512256801</v>
      </c>
      <c r="AE243" s="1">
        <v>0.95686194064392205</v>
      </c>
      <c r="AF243" s="1">
        <v>13.651393963198</v>
      </c>
      <c r="AG243" s="1">
        <v>34.651731820347301</v>
      </c>
      <c r="AH243" s="1">
        <v>0.95340915497315104</v>
      </c>
      <c r="AI243" s="1">
        <v>13.316994126002999</v>
      </c>
      <c r="AJ243" s="1">
        <v>247.82245874404899</v>
      </c>
      <c r="AK243" s="1">
        <v>181.46071958541799</v>
      </c>
      <c r="AL243" s="7"/>
      <c r="AM243" s="1"/>
      <c r="AN243" s="1"/>
      <c r="AO243" s="8"/>
      <c r="AP243" s="1"/>
      <c r="AQ243" s="1"/>
      <c r="AR243" s="1"/>
      <c r="AS243" s="8"/>
      <c r="AT243" s="7">
        <v>0.04</v>
      </c>
      <c r="AU243" s="1">
        <v>9.4148985165961804E-2</v>
      </c>
      <c r="AV243" s="1">
        <v>32.543467025505002</v>
      </c>
      <c r="AW243" s="1">
        <v>0.97010748292503701</v>
      </c>
      <c r="AX243" s="1">
        <v>15.244375140091799</v>
      </c>
      <c r="AY243" s="1">
        <v>34.316021090128501</v>
      </c>
      <c r="AZ243" s="1">
        <v>0.96914751951705003</v>
      </c>
      <c r="BA243" s="1">
        <v>15.107099137457601</v>
      </c>
      <c r="BB243" s="1">
        <v>228.43870162963799</v>
      </c>
      <c r="BC243" s="1">
        <v>165.100843191146</v>
      </c>
      <c r="BD243" s="7"/>
      <c r="BE243" s="1"/>
      <c r="BF243" s="1"/>
      <c r="BG243" s="8"/>
      <c r="BH243" s="1"/>
      <c r="BI243" s="1"/>
      <c r="BJ243" s="1"/>
      <c r="BK243" s="8"/>
    </row>
    <row r="244" spans="1:63">
      <c r="A244" s="49"/>
      <c r="B244" s="7" t="s">
        <v>60</v>
      </c>
      <c r="C244" s="17">
        <v>1.5</v>
      </c>
      <c r="D244" s="7">
        <v>24</v>
      </c>
      <c r="E244" s="1">
        <v>1.4784196705278601</v>
      </c>
      <c r="F244" s="1">
        <v>40.774468925961997</v>
      </c>
      <c r="G244" s="1">
        <v>0.993905502728054</v>
      </c>
      <c r="H244" s="1">
        <v>22.150621130193201</v>
      </c>
      <c r="I244" s="1">
        <v>43.875667383916699</v>
      </c>
      <c r="J244" s="1">
        <v>0.99638154748946595</v>
      </c>
      <c r="K244" s="8">
        <v>24.414771227887801</v>
      </c>
      <c r="L244" s="7">
        <v>21</v>
      </c>
      <c r="M244" s="1">
        <v>1.4780656213483701</v>
      </c>
      <c r="N244" s="1">
        <v>41.631256991965998</v>
      </c>
      <c r="O244" s="1">
        <v>0.99486376469965898</v>
      </c>
      <c r="P244" s="1">
        <v>22.8935508865831</v>
      </c>
      <c r="Q244" s="1">
        <v>44.836034403422502</v>
      </c>
      <c r="R244" s="1">
        <v>0.99703199279665</v>
      </c>
      <c r="S244" s="8">
        <v>25.2753504935955</v>
      </c>
      <c r="T244" s="13">
        <f>bdrate(E244:E247,F244:F247,M244:M247,N244:N247)</f>
        <v>-0.18227358865200882</v>
      </c>
      <c r="U244" s="12">
        <f>bdrate(E244:E247,H244:H247,M244:M247,P244:P247)</f>
        <v>-0.18412220633217591</v>
      </c>
      <c r="V244" s="12">
        <f>bdrate(E244:E247,I244:I247,M244:M247,Q244:Q247)</f>
        <v>-0.19712215059799376</v>
      </c>
      <c r="W244" s="14">
        <f>bdrate(E244:E247,K244:K247,M244:M247,S244:S247)</f>
        <v>-0.15137005110327317</v>
      </c>
      <c r="X244" s="13">
        <f>bdrate(E246:E249,F246:F249,M246:M249,N246:N249)</f>
        <v>-0.2947276425355253</v>
      </c>
      <c r="Y244" s="12">
        <f>bdrate(E246:E249,H246:H249,M246:M249,P246:P249)</f>
        <v>-0.25914926149336415</v>
      </c>
      <c r="Z244" s="12">
        <f>bdrate(E246:E249,I246:I249,M246:M249,Q246:Q249)</f>
        <v>-0.3529535646894727</v>
      </c>
      <c r="AA244" s="14">
        <f>bdrate(E246:E249,K246:K249,M246:M249,S246:S249)</f>
        <v>-0.20852849730567335</v>
      </c>
      <c r="AB244" s="7">
        <v>128</v>
      </c>
      <c r="AC244" s="1">
        <v>1.48488940329218</v>
      </c>
      <c r="AD244" s="1">
        <v>41.799616680008299</v>
      </c>
      <c r="AE244" s="1">
        <v>0.99558762849833904</v>
      </c>
      <c r="AF244" s="1">
        <v>23.553279290675398</v>
      </c>
      <c r="AG244" s="1">
        <v>44.572225751050098</v>
      </c>
      <c r="AH244" s="1">
        <v>0.99713552398104699</v>
      </c>
      <c r="AI244" s="1">
        <v>25.4295480926009</v>
      </c>
      <c r="AJ244" s="1">
        <v>226.71368670463499</v>
      </c>
      <c r="AK244" s="1">
        <v>123.19801902770899</v>
      </c>
      <c r="AL244" s="13">
        <f>bdrate(E244:E247,F244:F247,AC244:AC247,AD244:AD247)</f>
        <v>-0.12488829269494695</v>
      </c>
      <c r="AM244" s="12">
        <f>bdrate(E244:E247,H244:H247,AC244:AC247,AF244:AF247)</f>
        <v>-0.26173247757627638</v>
      </c>
      <c r="AN244" s="12">
        <f>bdrate(E244:E247,I244:I247,AC244:AC247,AG244:AG247)</f>
        <v>-0.1176408549142508</v>
      </c>
      <c r="AO244" s="14">
        <f>bdrate(E244:E247,K244:K247,AC244:AC247,AI244:AI247)</f>
        <v>-0.18304658241848326</v>
      </c>
      <c r="AP244" s="12">
        <f>bdrate(E246:E249,F246:F249,AC246:AC249,AD246:AD249)</f>
        <v>-0.18631324830743512</v>
      </c>
      <c r="AQ244" s="12">
        <f>bdrate(E246:E249,H246:H249,AC246:AC249,AF246:AF249)</f>
        <v>-0.28792895234602456</v>
      </c>
      <c r="AR244" s="12">
        <f>bdrate(E246:E249,I246:I249,AC246:AC249,AG246:AG249)</f>
        <v>-0.23418604638821006</v>
      </c>
      <c r="AS244" s="14">
        <f>bdrate(E246:E249,K246:K249,AC246:AC249,AI246:AI249)</f>
        <v>-0.21772326208943338</v>
      </c>
      <c r="AT244" s="7">
        <v>6.4</v>
      </c>
      <c r="AU244" s="1">
        <v>1.6783479080932699</v>
      </c>
      <c r="AV244" s="1">
        <v>39.323895726326199</v>
      </c>
      <c r="AW244" s="1">
        <v>0.99825150531021301</v>
      </c>
      <c r="AX244" s="1">
        <v>27.573356823138099</v>
      </c>
      <c r="AY244" s="1">
        <v>42.358933786745197</v>
      </c>
      <c r="AZ244" s="1">
        <v>0.99876843022255202</v>
      </c>
      <c r="BA244" s="1">
        <v>29.095409771648299</v>
      </c>
      <c r="BB244" s="1">
        <v>404.90543460845902</v>
      </c>
      <c r="BC244" s="1">
        <v>163.142578125</v>
      </c>
      <c r="BD244" s="13">
        <f>bdrate(E244:E247,F244:F247,AU244:AU247,AV244:AV247)</f>
        <v>0.47855148799567493</v>
      </c>
      <c r="BE244" s="12">
        <f>bdrate(E244:E247,H244:H247,AU244:AU247,AX244:AX247)</f>
        <v>-0.5814863621523485</v>
      </c>
      <c r="BF244" s="12">
        <f>bdrate(E244:E247,I244:I247,AU244:AU247,AY244:AY247)</f>
        <v>0.38302519771275012</v>
      </c>
      <c r="BG244" s="14">
        <f>bdrate(E244:E247,K244:K247,AU244:AU247,BA244:BA247)</f>
        <v>-0.50721020745679923</v>
      </c>
      <c r="BH244" s="12">
        <f>bdrate(E246:E249,F246:F249,AU246:AU249,AV246:AV249)</f>
        <v>0.48264247969404428</v>
      </c>
      <c r="BI244" s="12">
        <f>bdrate(E246:E249,H246:H249,AU246:AU249,AX246:AX249)</f>
        <v>-0.58683869218474172</v>
      </c>
      <c r="BJ244" s="12">
        <f>bdrate(E246:E249,I246:I249,AU246:AU249,AY246:AY249)</f>
        <v>0.36815645706908762</v>
      </c>
      <c r="BK244" s="14">
        <f>bdrate(E246:E249,K246:K249,AU246:AU249,BA246:BA249)</f>
        <v>-0.55781465378514661</v>
      </c>
    </row>
    <row r="245" spans="1:63">
      <c r="A245" s="49"/>
      <c r="B245" s="7" t="s">
        <v>18</v>
      </c>
      <c r="C245" s="17">
        <v>1</v>
      </c>
      <c r="D245" s="7">
        <v>28</v>
      </c>
      <c r="E245" s="1">
        <v>0.94380858481938701</v>
      </c>
      <c r="F245" s="1">
        <v>37.717611415946898</v>
      </c>
      <c r="G245" s="1">
        <v>0.98874091978033596</v>
      </c>
      <c r="H245" s="1">
        <v>19.484970865575399</v>
      </c>
      <c r="I245" s="1">
        <v>40.732665650406297</v>
      </c>
      <c r="J245" s="1">
        <v>0.99242148163465205</v>
      </c>
      <c r="K245" s="8">
        <v>21.204156926067299</v>
      </c>
      <c r="L245" s="7">
        <v>25</v>
      </c>
      <c r="M245" s="1">
        <v>0.96804507696997399</v>
      </c>
      <c r="N245" s="1">
        <v>38.906773134028903</v>
      </c>
      <c r="O245" s="1">
        <v>0.99120852037465301</v>
      </c>
      <c r="P245" s="1">
        <v>20.559380260587002</v>
      </c>
      <c r="Q245" s="1">
        <v>41.983551673725003</v>
      </c>
      <c r="R245" s="1">
        <v>0.99415421541883997</v>
      </c>
      <c r="S245" s="8">
        <v>22.331571925600901</v>
      </c>
      <c r="T245" s="7"/>
      <c r="U245" s="1"/>
      <c r="V245" s="1"/>
      <c r="W245" s="8"/>
      <c r="X245" s="7"/>
      <c r="Y245" s="1"/>
      <c r="Z245" s="1"/>
      <c r="AA245" s="8"/>
      <c r="AB245" s="7">
        <v>64</v>
      </c>
      <c r="AC245" s="1">
        <v>1.0493723962302399</v>
      </c>
      <c r="AD245" s="1">
        <v>39.145027240269798</v>
      </c>
      <c r="AE245" s="1">
        <v>0.99304540741608005</v>
      </c>
      <c r="AF245" s="1">
        <v>21.577283068995399</v>
      </c>
      <c r="AG245" s="1">
        <v>41.970557910479002</v>
      </c>
      <c r="AH245" s="1">
        <v>0.99509676193863195</v>
      </c>
      <c r="AI245" s="1">
        <v>23.095170204335101</v>
      </c>
      <c r="AJ245" s="1">
        <v>164.26799774169899</v>
      </c>
      <c r="AK245" s="1">
        <v>85.149243116378699</v>
      </c>
      <c r="AL245" s="7"/>
      <c r="AM245" s="1"/>
      <c r="AN245" s="1"/>
      <c r="AO245" s="8"/>
      <c r="AP245" s="1"/>
      <c r="AQ245" s="1"/>
      <c r="AR245" s="1"/>
      <c r="AS245" s="8"/>
      <c r="AT245" s="7">
        <v>1.28</v>
      </c>
      <c r="AU245" s="1">
        <v>0.77959962277091899</v>
      </c>
      <c r="AV245" s="1">
        <v>34.614427976814802</v>
      </c>
      <c r="AW245" s="1">
        <v>0.99478918258659099</v>
      </c>
      <c r="AX245" s="1">
        <v>22.830941442076899</v>
      </c>
      <c r="AY245" s="1">
        <v>38.008221062464898</v>
      </c>
      <c r="AZ245" s="1">
        <v>0.99596624531352695</v>
      </c>
      <c r="BA245" s="1">
        <v>23.942905170183501</v>
      </c>
      <c r="BB245" s="1">
        <v>375.13815283775301</v>
      </c>
      <c r="BC245" s="1">
        <v>156.41471982002199</v>
      </c>
      <c r="BD245" s="7"/>
      <c r="BE245" s="1"/>
      <c r="BF245" s="1"/>
      <c r="BG245" s="8"/>
      <c r="BH245" s="1"/>
      <c r="BI245" s="1"/>
      <c r="BJ245" s="1"/>
      <c r="BK245" s="8"/>
    </row>
    <row r="246" spans="1:63">
      <c r="A246" s="49"/>
      <c r="B246" s="7" t="s">
        <v>18</v>
      </c>
      <c r="C246" s="17">
        <v>0.5</v>
      </c>
      <c r="D246" s="7">
        <v>33</v>
      </c>
      <c r="E246" s="1">
        <v>0.45255899761215201</v>
      </c>
      <c r="F246" s="1">
        <v>34.033206972820203</v>
      </c>
      <c r="G246" s="1">
        <v>0.97606321811805297</v>
      </c>
      <c r="H246" s="1">
        <v>16.2093423759116</v>
      </c>
      <c r="I246" s="1">
        <v>37.086058374801397</v>
      </c>
      <c r="J246" s="1">
        <v>0.98111987091622299</v>
      </c>
      <c r="K246" s="8">
        <v>17.239950407487399</v>
      </c>
      <c r="L246" s="7">
        <v>30</v>
      </c>
      <c r="M246" s="1">
        <v>0.49642854874765002</v>
      </c>
      <c r="N246" s="1">
        <v>35.431013764433999</v>
      </c>
      <c r="O246" s="1">
        <v>0.98217254043033297</v>
      </c>
      <c r="P246" s="1">
        <v>17.4891053980176</v>
      </c>
      <c r="Q246" s="1">
        <v>38.572732752681297</v>
      </c>
      <c r="R246" s="1">
        <v>0.985965089813577</v>
      </c>
      <c r="S246" s="8">
        <v>18.5279036220061</v>
      </c>
      <c r="T246" s="7"/>
      <c r="U246" s="1"/>
      <c r="V246" s="1"/>
      <c r="W246" s="8"/>
      <c r="X246" s="7"/>
      <c r="Y246" s="1"/>
      <c r="Z246" s="1"/>
      <c r="AA246" s="8"/>
      <c r="AB246" s="7">
        <v>16</v>
      </c>
      <c r="AC246" s="1">
        <v>0.46026155184677098</v>
      </c>
      <c r="AD246" s="1">
        <v>34.706165656611198</v>
      </c>
      <c r="AE246" s="1">
        <v>0.98262373642620005</v>
      </c>
      <c r="AF246" s="1">
        <v>17.600436043967999</v>
      </c>
      <c r="AG246" s="1">
        <v>37.819642282350898</v>
      </c>
      <c r="AH246" s="1">
        <v>0.98546600599929501</v>
      </c>
      <c r="AI246" s="1">
        <v>18.376150234094101</v>
      </c>
      <c r="AJ246" s="1">
        <v>133.940892934799</v>
      </c>
      <c r="AK246" s="1">
        <v>83.252885341644202</v>
      </c>
      <c r="AL246" s="7"/>
      <c r="AM246" s="1"/>
      <c r="AN246" s="1"/>
      <c r="AO246" s="8"/>
      <c r="AP246" s="1"/>
      <c r="AQ246" s="1"/>
      <c r="AR246" s="1"/>
      <c r="AS246" s="8"/>
      <c r="AT246" s="7">
        <v>0.64</v>
      </c>
      <c r="AU246" s="1">
        <v>0.52964407737641594</v>
      </c>
      <c r="AV246" s="1">
        <v>33.080789934297897</v>
      </c>
      <c r="AW246" s="1">
        <v>0.99200963883378201</v>
      </c>
      <c r="AX246" s="1">
        <v>20.9743359002887</v>
      </c>
      <c r="AY246" s="1">
        <v>36.537628177156002</v>
      </c>
      <c r="AZ246" s="1">
        <v>0.99365475099512401</v>
      </c>
      <c r="BA246" s="1">
        <v>21.9755133033497</v>
      </c>
      <c r="BB246" s="1">
        <v>193.943631887435</v>
      </c>
      <c r="BC246" s="1">
        <v>123.139041423797</v>
      </c>
      <c r="BD246" s="7"/>
      <c r="BE246" s="1"/>
      <c r="BF246" s="1"/>
      <c r="BG246" s="8"/>
      <c r="BH246" s="1"/>
      <c r="BI246" s="1"/>
      <c r="BJ246" s="1"/>
      <c r="BK246" s="8"/>
    </row>
    <row r="247" spans="1:63">
      <c r="A247" s="49"/>
      <c r="B247" s="7" t="s">
        <v>18</v>
      </c>
      <c r="C247" s="17">
        <v>0.25</v>
      </c>
      <c r="D247" s="7">
        <v>37</v>
      </c>
      <c r="E247" s="1">
        <v>0.22153635116598</v>
      </c>
      <c r="F247" s="1">
        <v>31.591654583342599</v>
      </c>
      <c r="G247" s="1">
        <v>0.95834588150589395</v>
      </c>
      <c r="H247" s="1">
        <v>13.8034205186015</v>
      </c>
      <c r="I247" s="1">
        <v>34.692885205826997</v>
      </c>
      <c r="J247" s="1">
        <v>0.96411911244742798</v>
      </c>
      <c r="K247" s="8">
        <v>14.4513682275122</v>
      </c>
      <c r="L247" s="7">
        <v>34</v>
      </c>
      <c r="M247" s="1">
        <v>0.248754477213839</v>
      </c>
      <c r="N247" s="1">
        <v>32.8742769779969</v>
      </c>
      <c r="O247" s="1">
        <v>0.96850703211745803</v>
      </c>
      <c r="P247" s="1">
        <v>15.0178640972628</v>
      </c>
      <c r="Q247" s="1">
        <v>36.157180375813198</v>
      </c>
      <c r="R247" s="1">
        <v>0.97258790808286699</v>
      </c>
      <c r="S247" s="8">
        <v>15.6205782059328</v>
      </c>
      <c r="T247" s="7"/>
      <c r="U247" s="1"/>
      <c r="V247" s="1"/>
      <c r="W247" s="8"/>
      <c r="X247" s="7"/>
      <c r="Y247" s="1"/>
      <c r="Z247" s="1"/>
      <c r="AA247" s="8"/>
      <c r="AB247" s="7">
        <v>8</v>
      </c>
      <c r="AC247" s="1">
        <v>0.27729274627851402</v>
      </c>
      <c r="AD247" s="1">
        <v>32.913522933781202</v>
      </c>
      <c r="AE247" s="1">
        <v>0.97255491334076205</v>
      </c>
      <c r="AF247" s="1">
        <v>15.6153539357359</v>
      </c>
      <c r="AG247" s="1">
        <v>36.161366188213499</v>
      </c>
      <c r="AH247" s="1">
        <v>0.97560567894068295</v>
      </c>
      <c r="AI247" s="1">
        <v>16.1271126463086</v>
      </c>
      <c r="AJ247" s="1">
        <v>129.312495470047</v>
      </c>
      <c r="AK247" s="1">
        <v>83.829512119293199</v>
      </c>
      <c r="AL247" s="7"/>
      <c r="AM247" s="1"/>
      <c r="AN247" s="1"/>
      <c r="AO247" s="8"/>
      <c r="AP247" s="1"/>
      <c r="AQ247" s="1"/>
      <c r="AR247" s="1"/>
      <c r="AS247" s="8"/>
      <c r="AT247" s="7">
        <v>0.16</v>
      </c>
      <c r="AU247" s="1">
        <v>0.25671978992023498</v>
      </c>
      <c r="AV247" s="1">
        <v>30.876909596087899</v>
      </c>
      <c r="AW247" s="1">
        <v>0.98269014641962404</v>
      </c>
      <c r="AX247" s="1">
        <v>17.6170660569502</v>
      </c>
      <c r="AY247" s="1">
        <v>34.247346050819303</v>
      </c>
      <c r="AZ247" s="1">
        <v>0.98554211720037899</v>
      </c>
      <c r="BA247" s="1">
        <v>18.398953001094601</v>
      </c>
      <c r="BB247" s="1">
        <v>168.72009992599399</v>
      </c>
      <c r="BC247" s="1">
        <v>118.74709010124199</v>
      </c>
      <c r="BD247" s="7"/>
      <c r="BE247" s="1"/>
      <c r="BF247" s="1"/>
      <c r="BG247" s="8"/>
      <c r="BH247" s="1"/>
      <c r="BI247" s="1"/>
      <c r="BJ247" s="1"/>
      <c r="BK247" s="8"/>
    </row>
    <row r="248" spans="1:63">
      <c r="A248" s="49"/>
      <c r="B248" s="7" t="s">
        <v>18</v>
      </c>
      <c r="C248" s="17">
        <v>0.12</v>
      </c>
      <c r="D248" s="7">
        <v>41</v>
      </c>
      <c r="E248" s="1">
        <v>0.110202967027384</v>
      </c>
      <c r="F248" s="1">
        <v>29.692134316763099</v>
      </c>
      <c r="G248" s="1">
        <v>0.93472861763913795</v>
      </c>
      <c r="H248" s="1">
        <v>11.8527718942847</v>
      </c>
      <c r="I248" s="1">
        <v>32.775791086492198</v>
      </c>
      <c r="J248" s="1">
        <v>0.941331050830854</v>
      </c>
      <c r="K248" s="8">
        <v>12.3159169044616</v>
      </c>
      <c r="L248" s="7">
        <v>38</v>
      </c>
      <c r="M248" s="1">
        <v>0.11944476197734</v>
      </c>
      <c r="N248" s="1">
        <v>30.8969711999491</v>
      </c>
      <c r="O248" s="1">
        <v>0.94874506696963601</v>
      </c>
      <c r="P248" s="1">
        <v>12.9026432959385</v>
      </c>
      <c r="Q248" s="1">
        <v>34.252864948888501</v>
      </c>
      <c r="R248" s="1">
        <v>0.95278542073721595</v>
      </c>
      <c r="S248" s="8">
        <v>13.259238760332099</v>
      </c>
      <c r="T248" s="7"/>
      <c r="U248" s="1"/>
      <c r="V248" s="1"/>
      <c r="W248" s="8"/>
      <c r="X248" s="7"/>
      <c r="Y248" s="1"/>
      <c r="Z248" s="1"/>
      <c r="AA248" s="8"/>
      <c r="AB248" s="7">
        <v>4</v>
      </c>
      <c r="AC248" s="1">
        <v>0.16571486180968301</v>
      </c>
      <c r="AD248" s="1">
        <v>31.360947467156802</v>
      </c>
      <c r="AE248" s="1">
        <v>0.95970119009402399</v>
      </c>
      <c r="AF248" s="1">
        <v>13.947077791417501</v>
      </c>
      <c r="AG248" s="1">
        <v>34.654937212843699</v>
      </c>
      <c r="AH248" s="1">
        <v>0.96296149450256796</v>
      </c>
      <c r="AI248" s="1">
        <v>14.3134654540568</v>
      </c>
      <c r="AJ248" s="1">
        <v>209.26380991935699</v>
      </c>
      <c r="AK248" s="1">
        <v>138.34247088432301</v>
      </c>
      <c r="AL248" s="7"/>
      <c r="AM248" s="1"/>
      <c r="AN248" s="1"/>
      <c r="AO248" s="8"/>
      <c r="AP248" s="1"/>
      <c r="AQ248" s="1"/>
      <c r="AR248" s="1"/>
      <c r="AS248" s="8"/>
      <c r="AT248" s="7">
        <v>0.08</v>
      </c>
      <c r="AU248" s="1">
        <v>0.16801062465071301</v>
      </c>
      <c r="AV248" s="1">
        <v>29.763711819939601</v>
      </c>
      <c r="AW248" s="1">
        <v>0.97411803080566595</v>
      </c>
      <c r="AX248" s="1">
        <v>15.8700268404281</v>
      </c>
      <c r="AY248" s="1">
        <v>32.960654210325998</v>
      </c>
      <c r="AZ248" s="1">
        <v>0.97764523267000702</v>
      </c>
      <c r="BA248" s="1">
        <v>16.506298459402601</v>
      </c>
      <c r="BB248" s="1">
        <v>120.89332699775601</v>
      </c>
      <c r="BC248" s="1">
        <v>79.795566082000704</v>
      </c>
      <c r="BD248" s="7"/>
      <c r="BE248" s="1"/>
      <c r="BF248" s="1"/>
      <c r="BG248" s="8"/>
      <c r="BH248" s="1"/>
      <c r="BI248" s="1"/>
      <c r="BJ248" s="1"/>
      <c r="BK248" s="8"/>
    </row>
    <row r="249" spans="1:63">
      <c r="A249" s="49"/>
      <c r="B249" s="7" t="s">
        <v>18</v>
      </c>
      <c r="C249" s="17">
        <v>0.06</v>
      </c>
      <c r="D249" s="7">
        <v>45</v>
      </c>
      <c r="E249" s="1">
        <v>5.7699696438551003E-2</v>
      </c>
      <c r="F249" s="1">
        <v>28.065043862822499</v>
      </c>
      <c r="G249" s="1">
        <v>0.90952831773302001</v>
      </c>
      <c r="H249" s="1">
        <v>10.4348733416132</v>
      </c>
      <c r="I249" s="1">
        <v>31.105253745537901</v>
      </c>
      <c r="J249" s="1">
        <v>0.91688713566506697</v>
      </c>
      <c r="K249" s="8">
        <v>10.8033175025587</v>
      </c>
      <c r="L249" s="7">
        <v>43</v>
      </c>
      <c r="M249" s="1">
        <v>5.1677685058172003E-2</v>
      </c>
      <c r="N249" s="1">
        <v>28.981059850286201</v>
      </c>
      <c r="O249" s="1">
        <v>0.91970707667588303</v>
      </c>
      <c r="P249" s="1">
        <v>10.953227298983901</v>
      </c>
      <c r="Q249" s="1">
        <v>32.343018041004797</v>
      </c>
      <c r="R249" s="1">
        <v>0.92338810444238195</v>
      </c>
      <c r="S249" s="8">
        <v>11.1570379206537</v>
      </c>
      <c r="T249" s="7"/>
      <c r="U249" s="1"/>
      <c r="V249" s="1"/>
      <c r="W249" s="8"/>
      <c r="X249" s="7"/>
      <c r="Y249" s="1"/>
      <c r="Z249" s="1"/>
      <c r="AA249" s="8"/>
      <c r="AB249" s="7">
        <v>2</v>
      </c>
      <c r="AC249" s="1">
        <v>9.4257258802011801E-2</v>
      </c>
      <c r="AD249" s="1">
        <v>30.026307922253501</v>
      </c>
      <c r="AE249" s="1">
        <v>0.94263657090688002</v>
      </c>
      <c r="AF249" s="1">
        <v>12.413648951417301</v>
      </c>
      <c r="AG249" s="1">
        <v>33.326786379408198</v>
      </c>
      <c r="AH249" s="1">
        <v>0.94583548977713805</v>
      </c>
      <c r="AI249" s="1">
        <v>12.662851795639201</v>
      </c>
      <c r="AJ249" s="1">
        <v>166.27452516555701</v>
      </c>
      <c r="AK249" s="1">
        <v>122.99226522445601</v>
      </c>
      <c r="AL249" s="7"/>
      <c r="AM249" s="1"/>
      <c r="AN249" s="1"/>
      <c r="AO249" s="8"/>
      <c r="AP249" s="1"/>
      <c r="AQ249" s="1"/>
      <c r="AR249" s="1"/>
      <c r="AS249" s="8"/>
      <c r="AT249" s="7">
        <v>0.04</v>
      </c>
      <c r="AU249" s="1">
        <v>0.105464582380734</v>
      </c>
      <c r="AV249" s="1">
        <v>28.710765868911999</v>
      </c>
      <c r="AW249" s="1">
        <v>0.96161739176954497</v>
      </c>
      <c r="AX249" s="1">
        <v>14.1586551679162</v>
      </c>
      <c r="AY249" s="1">
        <v>31.851554009660202</v>
      </c>
      <c r="AZ249" s="1">
        <v>0.96565206804454595</v>
      </c>
      <c r="BA249" s="1">
        <v>14.6409940612618</v>
      </c>
      <c r="BB249" s="1">
        <v>144.31614780426</v>
      </c>
      <c r="BC249" s="1">
        <v>103.139047861099</v>
      </c>
      <c r="BD249" s="7"/>
      <c r="BE249" s="1"/>
      <c r="BF249" s="1"/>
      <c r="BG249" s="8"/>
      <c r="BH249" s="1"/>
      <c r="BI249" s="1"/>
      <c r="BJ249" s="1"/>
      <c r="BK249" s="8"/>
    </row>
    <row r="250" spans="1:63">
      <c r="A250" s="49"/>
      <c r="B250" s="7" t="s">
        <v>61</v>
      </c>
      <c r="C250" s="17">
        <v>1.5</v>
      </c>
      <c r="D250" s="7">
        <v>17</v>
      </c>
      <c r="E250" s="1">
        <v>1.2440225185185101</v>
      </c>
      <c r="F250" s="1">
        <v>45.814846412049903</v>
      </c>
      <c r="G250" s="1">
        <v>0.99646407383870905</v>
      </c>
      <c r="H250" s="1">
        <v>24.5149681268583</v>
      </c>
      <c r="I250" s="1">
        <v>49.087071731579201</v>
      </c>
      <c r="J250" s="1">
        <v>0.99832137848133295</v>
      </c>
      <c r="K250" s="8">
        <v>27.750472138581699</v>
      </c>
      <c r="L250" s="7">
        <v>14</v>
      </c>
      <c r="M250" s="1">
        <v>1.3511786666666601</v>
      </c>
      <c r="N250" s="1">
        <v>46.223533518312799</v>
      </c>
      <c r="O250" s="1">
        <v>0.99668572920835297</v>
      </c>
      <c r="P250" s="1">
        <v>24.796120105475399</v>
      </c>
      <c r="Q250" s="1">
        <v>49.834327614965197</v>
      </c>
      <c r="R250" s="1">
        <v>0.99856078357317102</v>
      </c>
      <c r="S250" s="8">
        <v>28.418738927141</v>
      </c>
      <c r="T250" s="13">
        <f>bdrate(E250:E253,F250:F253,M250:M253,N250:N253)</f>
        <v>-0.14956615740229329</v>
      </c>
      <c r="U250" s="12">
        <f>bdrate(E250:E253,H250:H253,M250:M253,P250:P253)</f>
        <v>-0.17705133593772815</v>
      </c>
      <c r="V250" s="12">
        <f>bdrate(E250:E253,I250:I253,M250:M253,Q250:Q253)</f>
        <v>-0.17602024177320141</v>
      </c>
      <c r="W250" s="14">
        <f>bdrate(E250:E253,K250:K253,M250:M253,S250:S253)</f>
        <v>-0.14680552790276602</v>
      </c>
      <c r="X250" s="13">
        <f>bdrate(E252:E255,F252:F255,M252:M255,N252:N255)</f>
        <v>-0.25314919884928944</v>
      </c>
      <c r="Y250" s="12">
        <f>bdrate(E252:E255,H252:H255,M252:M255,P252:P255)</f>
        <v>-0.28557186128688306</v>
      </c>
      <c r="Z250" s="12">
        <f>bdrate(E252:E255,I252:I255,M252:M255,Q252:Q255)</f>
        <v>-0.25310400895651408</v>
      </c>
      <c r="AA250" s="14">
        <f>bdrate(E252:E255,K252:K255,M252:M255,S252:S255)</f>
        <v>-0.21902323099859844</v>
      </c>
      <c r="AB250" s="7">
        <v>256</v>
      </c>
      <c r="AC250" s="1">
        <v>0.63143644444444402</v>
      </c>
      <c r="AD250" s="1">
        <v>44.788315234399803</v>
      </c>
      <c r="AE250" s="1">
        <v>0.99563865556989595</v>
      </c>
      <c r="AF250" s="1">
        <v>23.6037961426977</v>
      </c>
      <c r="AG250" s="1">
        <v>47.465512735474597</v>
      </c>
      <c r="AH250" s="1">
        <v>0.99716395817558401</v>
      </c>
      <c r="AI250" s="1">
        <v>25.4728736870087</v>
      </c>
      <c r="AJ250" s="1">
        <v>537.99088644981305</v>
      </c>
      <c r="AK250" s="1">
        <v>194.620423555374</v>
      </c>
      <c r="AL250" s="13">
        <f>bdrate(E250:E253,F250:F253,AC250:AC253,AD250:AD253)</f>
        <v>-0.34830135920741445</v>
      </c>
      <c r="AM250" s="12">
        <f>bdrate(E250:E253,H250:H253,AC250:AC253,AF250:AF253)</f>
        <v>-0.35452449907959427</v>
      </c>
      <c r="AN250" s="12">
        <f>bdrate(E250:E253,I250:I253,AC250:AC253,AG250:AG253)</f>
        <v>-0.25266836698449102</v>
      </c>
      <c r="AO250" s="14">
        <f>bdrate(E250:E253,K250:K253,AC250:AC253,AI250:AI253)</f>
        <v>-0.15914640727934859</v>
      </c>
      <c r="AP250" s="12">
        <f>bdrate(E252:E255,F252:F255,AC252:AC255,AD252:AD255)</f>
        <v>-0.32657268625238756</v>
      </c>
      <c r="AQ250" s="12">
        <f>bdrate(E252:E255,H252:H255,AC252:AC255,AF252:AF255)</f>
        <v>-0.36603454862398577</v>
      </c>
      <c r="AR250" s="12">
        <f>bdrate(E252:E255,I252:I255,AC252:AC255,AG252:AG255)</f>
        <v>-0.25851935295778594</v>
      </c>
      <c r="AS250" s="14">
        <f>bdrate(E252:E255,K252:K255,AC252:AC255,AI252:AI255)</f>
        <v>-0.20119568592477077</v>
      </c>
      <c r="AT250" s="7">
        <v>6.4</v>
      </c>
      <c r="AU250" s="1">
        <v>1.08848888888888</v>
      </c>
      <c r="AV250" s="1">
        <v>45.298057566988703</v>
      </c>
      <c r="AW250" s="1">
        <v>0.99822320895535099</v>
      </c>
      <c r="AX250" s="1">
        <v>27.503636433776901</v>
      </c>
      <c r="AY250" s="1">
        <v>47.984335205430099</v>
      </c>
      <c r="AZ250" s="1">
        <v>0.99891557261771102</v>
      </c>
      <c r="BA250" s="1">
        <v>29.647995248181999</v>
      </c>
      <c r="BB250" s="1">
        <v>635.83601808547905</v>
      </c>
      <c r="BC250" s="1">
        <v>229.31159758567799</v>
      </c>
      <c r="BD250" s="13">
        <f>bdrate(E250:E253,F250:F253,AU250:AU253,AV250:AV253)</f>
        <v>-0.13971205882663329</v>
      </c>
      <c r="BE250" s="12">
        <f>bdrate(E250:E253,H250:H253,AU250:AU253,AX250:AX253)</f>
        <v>-0.53997003796721121</v>
      </c>
      <c r="BF250" s="12">
        <f>bdrate(E250:E253,I250:I253,AU250:AU253,AY250:AY253)</f>
        <v>-3.2125124521297233E-2</v>
      </c>
      <c r="BG250" s="14">
        <f>bdrate(E250:E253,K250:K253,AU250:AU253,BA250:BA253)</f>
        <v>-0.40397064109448855</v>
      </c>
      <c r="BH250" s="12">
        <f>bdrate(E252:E255,F252:F255,AU252:AU255,AV252:AV255)</f>
        <v>-5.0946659485962331E-2</v>
      </c>
      <c r="BI250" s="12">
        <f>bdrate(E252:E255,H252:H255,AU252:AU255,AX252:AX255)</f>
        <v>-0.4991728659633009</v>
      </c>
      <c r="BJ250" s="12">
        <f>bdrate(E252:E255,I252:I255,AU252:AU255,AY252:AY255)</f>
        <v>2.0124892846270948E-2</v>
      </c>
      <c r="BK250" s="14">
        <f>bdrate(E252:E255,K252:K255,AU252:AU255,BA252:BA255)</f>
        <v>-0.37855948258410721</v>
      </c>
    </row>
    <row r="251" spans="1:63">
      <c r="A251" s="49"/>
      <c r="B251" s="7" t="s">
        <v>18</v>
      </c>
      <c r="C251" s="17">
        <v>1</v>
      </c>
      <c r="D251" s="7">
        <v>19</v>
      </c>
      <c r="E251" s="1">
        <v>0.83029866666666596</v>
      </c>
      <c r="F251" s="1">
        <v>44.472823138735102</v>
      </c>
      <c r="G251" s="1">
        <v>0.99516323859047695</v>
      </c>
      <c r="H251" s="1">
        <v>23.154453352047501</v>
      </c>
      <c r="I251" s="1">
        <v>47.5663964954637</v>
      </c>
      <c r="J251" s="1">
        <v>0.99747658781659598</v>
      </c>
      <c r="K251" s="8">
        <v>25.980118044340198</v>
      </c>
      <c r="L251" s="7">
        <v>16</v>
      </c>
      <c r="M251" s="1">
        <v>0.93655525925925898</v>
      </c>
      <c r="N251" s="1">
        <v>45.087217413114502</v>
      </c>
      <c r="O251" s="1">
        <v>0.99580748310626399</v>
      </c>
      <c r="P251" s="1">
        <v>23.7752517872993</v>
      </c>
      <c r="Q251" s="1">
        <v>48.447580025993503</v>
      </c>
      <c r="R251" s="1">
        <v>0.99793963428942001</v>
      </c>
      <c r="S251" s="8">
        <v>26.860556864317001</v>
      </c>
      <c r="T251" s="7"/>
      <c r="U251" s="1"/>
      <c r="V251" s="1"/>
      <c r="W251" s="8"/>
      <c r="X251" s="7"/>
      <c r="Y251" s="1"/>
      <c r="Z251" s="1"/>
      <c r="AA251" s="8"/>
      <c r="AB251" s="7">
        <v>128</v>
      </c>
      <c r="AC251" s="1">
        <v>0.37852503703703699</v>
      </c>
      <c r="AD251" s="1">
        <v>43.501302040154002</v>
      </c>
      <c r="AE251" s="1">
        <v>0.99362502402259401</v>
      </c>
      <c r="AF251" s="1">
        <v>21.955214474273099</v>
      </c>
      <c r="AG251" s="1">
        <v>46.115224066148897</v>
      </c>
      <c r="AH251" s="1">
        <v>0.99539486462228799</v>
      </c>
      <c r="AI251" s="1">
        <v>23.367575982730401</v>
      </c>
      <c r="AJ251" s="1">
        <v>291.78793883323601</v>
      </c>
      <c r="AK251" s="1">
        <v>167.321889162063</v>
      </c>
      <c r="AL251" s="7"/>
      <c r="AM251" s="1"/>
      <c r="AN251" s="1"/>
      <c r="AO251" s="8"/>
      <c r="AP251" s="1"/>
      <c r="AQ251" s="1"/>
      <c r="AR251" s="1"/>
      <c r="AS251" s="8"/>
      <c r="AT251" s="7">
        <v>3.2</v>
      </c>
      <c r="AU251" s="1">
        <v>0.755814518518518</v>
      </c>
      <c r="AV251" s="1">
        <v>44.440875499780198</v>
      </c>
      <c r="AW251" s="1">
        <v>0.99744079358761695</v>
      </c>
      <c r="AX251" s="1">
        <v>25.918946847484001</v>
      </c>
      <c r="AY251" s="1">
        <v>47.132217823645902</v>
      </c>
      <c r="AZ251" s="1">
        <v>0.99843945942798695</v>
      </c>
      <c r="BA251" s="1">
        <v>28.067249357636001</v>
      </c>
      <c r="BB251" s="1">
        <v>876.12913107871998</v>
      </c>
      <c r="BC251" s="1">
        <v>328.76644158363302</v>
      </c>
      <c r="BD251" s="7"/>
      <c r="BE251" s="1"/>
      <c r="BF251" s="1"/>
      <c r="BG251" s="8"/>
      <c r="BH251" s="1"/>
      <c r="BI251" s="1"/>
      <c r="BJ251" s="1"/>
      <c r="BK251" s="8"/>
    </row>
    <row r="252" spans="1:63">
      <c r="A252" s="49"/>
      <c r="B252" s="7" t="s">
        <v>18</v>
      </c>
      <c r="C252" s="17">
        <v>0.5</v>
      </c>
      <c r="D252" s="7">
        <v>23</v>
      </c>
      <c r="E252" s="1">
        <v>0.45406696296296201</v>
      </c>
      <c r="F252" s="1">
        <v>42.853457759320897</v>
      </c>
      <c r="G252" s="1">
        <v>0.99222062646284703</v>
      </c>
      <c r="H252" s="1">
        <v>21.0905537477278</v>
      </c>
      <c r="I252" s="1">
        <v>45.829536875596801</v>
      </c>
      <c r="J252" s="1">
        <v>0.99549272475902095</v>
      </c>
      <c r="K252" s="8">
        <v>23.4608592052051</v>
      </c>
      <c r="L252" s="7">
        <v>20</v>
      </c>
      <c r="M252" s="1">
        <v>0.44169362962962899</v>
      </c>
      <c r="N252" s="1">
        <v>43.2881271297667</v>
      </c>
      <c r="O252" s="1">
        <v>0.99341823616445002</v>
      </c>
      <c r="P252" s="1">
        <v>21.816577049583099</v>
      </c>
      <c r="Q252" s="1">
        <v>46.341927421160499</v>
      </c>
      <c r="R252" s="1">
        <v>0.996117538947906</v>
      </c>
      <c r="S252" s="8">
        <v>24.108928923143399</v>
      </c>
      <c r="T252" s="7"/>
      <c r="U252" s="1"/>
      <c r="V252" s="1"/>
      <c r="W252" s="8"/>
      <c r="X252" s="7"/>
      <c r="Y252" s="1"/>
      <c r="Z252" s="1"/>
      <c r="AA252" s="8"/>
      <c r="AB252" s="7">
        <v>64</v>
      </c>
      <c r="AC252" s="1">
        <v>0.25850133333333303</v>
      </c>
      <c r="AD252" s="1">
        <v>42.508319970254099</v>
      </c>
      <c r="AE252" s="1">
        <v>0.99142876351416098</v>
      </c>
      <c r="AF252" s="1">
        <v>20.669565222727201</v>
      </c>
      <c r="AG252" s="1">
        <v>45.091216944640898</v>
      </c>
      <c r="AH252" s="1">
        <v>0.99334755185346801</v>
      </c>
      <c r="AI252" s="1">
        <v>21.770185019344499</v>
      </c>
      <c r="AJ252" s="1">
        <v>212.97092008590599</v>
      </c>
      <c r="AK252" s="1">
        <v>112.40334844589199</v>
      </c>
      <c r="AL252" s="7"/>
      <c r="AM252" s="1"/>
      <c r="AN252" s="1"/>
      <c r="AO252" s="8"/>
      <c r="AP252" s="1"/>
      <c r="AQ252" s="1"/>
      <c r="AR252" s="1"/>
      <c r="AS252" s="8"/>
      <c r="AT252" s="7">
        <v>1.28</v>
      </c>
      <c r="AU252" s="1">
        <v>0.46581392592592502</v>
      </c>
      <c r="AV252" s="1">
        <v>43.439370979204597</v>
      </c>
      <c r="AW252" s="1">
        <v>0.99601581105961501</v>
      </c>
      <c r="AX252" s="1">
        <v>23.996600744097702</v>
      </c>
      <c r="AY252" s="1">
        <v>46.110490910356901</v>
      </c>
      <c r="AZ252" s="1">
        <v>0.99739984463191</v>
      </c>
      <c r="BA252" s="1">
        <v>25.850007006875799</v>
      </c>
      <c r="BB252" s="1">
        <v>518.65338015556301</v>
      </c>
      <c r="BC252" s="1">
        <v>222.44243717193601</v>
      </c>
      <c r="BD252" s="7"/>
      <c r="BE252" s="1"/>
      <c r="BF252" s="1"/>
      <c r="BG252" s="8"/>
      <c r="BH252" s="1"/>
      <c r="BI252" s="1"/>
      <c r="BJ252" s="1"/>
      <c r="BK252" s="8"/>
    </row>
    <row r="253" spans="1:63">
      <c r="A253" s="49"/>
      <c r="B253" s="7" t="s">
        <v>18</v>
      </c>
      <c r="C253" s="17">
        <v>0.25</v>
      </c>
      <c r="D253" s="7">
        <v>28</v>
      </c>
      <c r="E253" s="1">
        <v>0.241367703703703</v>
      </c>
      <c r="F253" s="1">
        <v>41.133720952963998</v>
      </c>
      <c r="G253" s="1">
        <v>0.98669700048120201</v>
      </c>
      <c r="H253" s="1">
        <v>18.7605042462767</v>
      </c>
      <c r="I253" s="1">
        <v>44.025273714038804</v>
      </c>
      <c r="J253" s="1">
        <v>0.99117171824444705</v>
      </c>
      <c r="K253" s="8">
        <v>20.5412381473453</v>
      </c>
      <c r="L253" s="7">
        <v>25</v>
      </c>
      <c r="M253" s="1">
        <v>0.22308622222222199</v>
      </c>
      <c r="N253" s="1">
        <v>41.715106960280004</v>
      </c>
      <c r="O253" s="1">
        <v>0.98929548361750497</v>
      </c>
      <c r="P253" s="1">
        <v>19.704329488420498</v>
      </c>
      <c r="Q253" s="1">
        <v>44.632605551674501</v>
      </c>
      <c r="R253" s="1">
        <v>0.99263072982259604</v>
      </c>
      <c r="S253" s="8">
        <v>21.3257552077336</v>
      </c>
      <c r="T253" s="7"/>
      <c r="U253" s="1"/>
      <c r="V253" s="1"/>
      <c r="W253" s="8"/>
      <c r="X253" s="7"/>
      <c r="Y253" s="1"/>
      <c r="Z253" s="1"/>
      <c r="AA253" s="8"/>
      <c r="AB253" s="7">
        <v>32</v>
      </c>
      <c r="AC253" s="1">
        <v>0.17176711111111101</v>
      </c>
      <c r="AD253" s="1">
        <v>41.442769729045402</v>
      </c>
      <c r="AE253" s="1">
        <v>0.98814565634291096</v>
      </c>
      <c r="AF253" s="1">
        <v>19.2612248672969</v>
      </c>
      <c r="AG253" s="1">
        <v>43.9869416230827</v>
      </c>
      <c r="AH253" s="1">
        <v>0.990066669687791</v>
      </c>
      <c r="AI253" s="1">
        <v>20.029051227297899</v>
      </c>
      <c r="AJ253" s="1">
        <v>202.53392362594599</v>
      </c>
      <c r="AK253" s="1">
        <v>114.404042482376</v>
      </c>
      <c r="AL253" s="7"/>
      <c r="AM253" s="1"/>
      <c r="AN253" s="1"/>
      <c r="AO253" s="8"/>
      <c r="AP253" s="1"/>
      <c r="AQ253" s="1"/>
      <c r="AR253" s="1"/>
      <c r="AS253" s="8"/>
      <c r="AT253" s="7">
        <v>0.32</v>
      </c>
      <c r="AU253" s="1">
        <v>0.21627911111111101</v>
      </c>
      <c r="AV253" s="1">
        <v>41.226191119890501</v>
      </c>
      <c r="AW253" s="1">
        <v>0.99203158385287504</v>
      </c>
      <c r="AX253" s="1">
        <v>20.986279931485399</v>
      </c>
      <c r="AY253" s="1">
        <v>43.8283557029294</v>
      </c>
      <c r="AZ253" s="1">
        <v>0.99392012240740002</v>
      </c>
      <c r="BA253" s="1">
        <v>22.161051643775501</v>
      </c>
      <c r="BB253" s="1">
        <v>392.09020638465802</v>
      </c>
      <c r="BC253" s="1">
        <v>215.29237580299301</v>
      </c>
      <c r="BD253" s="7"/>
      <c r="BE253" s="1"/>
      <c r="BF253" s="1"/>
      <c r="BG253" s="8"/>
      <c r="BH253" s="1"/>
      <c r="BI253" s="1"/>
      <c r="BJ253" s="1"/>
      <c r="BK253" s="8"/>
    </row>
    <row r="254" spans="1:63">
      <c r="A254" s="49"/>
      <c r="B254" s="7" t="s">
        <v>18</v>
      </c>
      <c r="C254" s="17">
        <v>0.12</v>
      </c>
      <c r="D254" s="7">
        <v>34</v>
      </c>
      <c r="E254" s="1">
        <v>0.114350814814814</v>
      </c>
      <c r="F254" s="1">
        <v>38.796835966933799</v>
      </c>
      <c r="G254" s="1">
        <v>0.97562257140513997</v>
      </c>
      <c r="H254" s="1">
        <v>16.130121070014699</v>
      </c>
      <c r="I254" s="1">
        <v>41.600803333830498</v>
      </c>
      <c r="J254" s="1">
        <v>0.98120079081920197</v>
      </c>
      <c r="K254" s="8">
        <v>17.258604196533199</v>
      </c>
      <c r="L254" s="7">
        <v>31</v>
      </c>
      <c r="M254" s="1">
        <v>0.107675851851851</v>
      </c>
      <c r="N254" s="1">
        <v>39.5848879983917</v>
      </c>
      <c r="O254" s="1">
        <v>0.98045423395042797</v>
      </c>
      <c r="P254" s="1">
        <v>17.0894730376423</v>
      </c>
      <c r="Q254" s="1">
        <v>42.398698717127601</v>
      </c>
      <c r="R254" s="1">
        <v>0.98432154428259799</v>
      </c>
      <c r="S254" s="8">
        <v>18.046967162969601</v>
      </c>
      <c r="T254" s="7"/>
      <c r="U254" s="1"/>
      <c r="V254" s="1"/>
      <c r="W254" s="8"/>
      <c r="X254" s="7"/>
      <c r="Y254" s="1"/>
      <c r="Z254" s="1"/>
      <c r="AA254" s="8"/>
      <c r="AB254" s="7">
        <v>16</v>
      </c>
      <c r="AC254" s="1">
        <v>0.118786962962962</v>
      </c>
      <c r="AD254" s="1">
        <v>40.1928366504075</v>
      </c>
      <c r="AE254" s="1">
        <v>0.98350700490617005</v>
      </c>
      <c r="AF254" s="1">
        <v>17.827004702130399</v>
      </c>
      <c r="AG254" s="1">
        <v>42.7268089459671</v>
      </c>
      <c r="AH254" s="1">
        <v>0.98532240746322897</v>
      </c>
      <c r="AI254" s="1">
        <v>18.3334517287621</v>
      </c>
      <c r="AJ254" s="1">
        <v>174.80992770194999</v>
      </c>
      <c r="AK254" s="1">
        <v>108.237328290939</v>
      </c>
      <c r="AL254" s="7"/>
      <c r="AM254" s="1"/>
      <c r="AN254" s="1"/>
      <c r="AO254" s="8"/>
      <c r="AP254" s="1"/>
      <c r="AQ254" s="1"/>
      <c r="AR254" s="1"/>
      <c r="AS254" s="8"/>
      <c r="AT254" s="7">
        <v>0.08</v>
      </c>
      <c r="AU254" s="1">
        <v>9.6609777777777697E-2</v>
      </c>
      <c r="AV254" s="1">
        <v>38.142944722904801</v>
      </c>
      <c r="AW254" s="1">
        <v>0.98387321267741601</v>
      </c>
      <c r="AX254" s="1">
        <v>17.924521414170499</v>
      </c>
      <c r="AY254" s="1">
        <v>40.722932017006698</v>
      </c>
      <c r="AZ254" s="1">
        <v>0.98619093498725297</v>
      </c>
      <c r="BA254" s="1">
        <v>18.5983572573355</v>
      </c>
      <c r="BB254" s="1">
        <v>161.767772436141</v>
      </c>
      <c r="BC254" s="1">
        <v>106.32575702667199</v>
      </c>
      <c r="BD254" s="7"/>
      <c r="BE254" s="1"/>
      <c r="BF254" s="1"/>
      <c r="BG254" s="8"/>
      <c r="BH254" s="1"/>
      <c r="BI254" s="1"/>
      <c r="BJ254" s="1"/>
      <c r="BK254" s="8"/>
    </row>
    <row r="255" spans="1:63">
      <c r="A255" s="49"/>
      <c r="B255" s="7" t="s">
        <v>18</v>
      </c>
      <c r="C255" s="17">
        <v>0.06</v>
      </c>
      <c r="D255" s="7">
        <v>40</v>
      </c>
      <c r="E255" s="1">
        <v>5.552E-2</v>
      </c>
      <c r="F255" s="1">
        <v>36.219428640569397</v>
      </c>
      <c r="G255" s="1">
        <v>0.95887439578460198</v>
      </c>
      <c r="H255" s="1">
        <v>13.858877083614701</v>
      </c>
      <c r="I255" s="1">
        <v>39.042561883543598</v>
      </c>
      <c r="J255" s="1">
        <v>0.96624020154789603</v>
      </c>
      <c r="K255" s="8">
        <v>14.7160015480114</v>
      </c>
      <c r="L255" s="7">
        <v>36</v>
      </c>
      <c r="M255" s="1">
        <v>5.8388148148148099E-2</v>
      </c>
      <c r="N255" s="1">
        <v>37.538133120663197</v>
      </c>
      <c r="O255" s="1">
        <v>0.96894388804877596</v>
      </c>
      <c r="P255" s="1">
        <v>15.0785291640602</v>
      </c>
      <c r="Q255" s="1">
        <v>40.362858862484998</v>
      </c>
      <c r="R255" s="1">
        <v>0.973411918213681</v>
      </c>
      <c r="S255" s="8">
        <v>15.753129939834899</v>
      </c>
      <c r="T255" s="7"/>
      <c r="U255" s="1"/>
      <c r="V255" s="1"/>
      <c r="W255" s="8"/>
      <c r="X255" s="7"/>
      <c r="Y255" s="1"/>
      <c r="Z255" s="1"/>
      <c r="AA255" s="8"/>
      <c r="AB255" s="7">
        <v>4</v>
      </c>
      <c r="AC255" s="1">
        <v>6.0936888888888797E-2</v>
      </c>
      <c r="AD255" s="1">
        <v>37.764922332511397</v>
      </c>
      <c r="AE255" s="1">
        <v>0.97174600433694802</v>
      </c>
      <c r="AF255" s="1">
        <v>15.4892012583721</v>
      </c>
      <c r="AG255" s="1">
        <v>40.353408344902</v>
      </c>
      <c r="AH255" s="1">
        <v>0.97380648876655196</v>
      </c>
      <c r="AI255" s="1">
        <v>15.818062806087701</v>
      </c>
      <c r="AJ255" s="1">
        <v>336.22767734527503</v>
      </c>
      <c r="AK255" s="1">
        <v>204.10051035881</v>
      </c>
      <c r="AL255" s="7"/>
      <c r="AM255" s="1"/>
      <c r="AN255" s="1"/>
      <c r="AO255" s="8"/>
      <c r="AP255" s="1"/>
      <c r="AQ255" s="1"/>
      <c r="AR255" s="1"/>
      <c r="AS255" s="8"/>
      <c r="AT255" s="7">
        <v>0.04</v>
      </c>
      <c r="AU255" s="1">
        <v>6.3909333333333304E-2</v>
      </c>
      <c r="AV255" s="1">
        <v>36.3394313803703</v>
      </c>
      <c r="AW255" s="1">
        <v>0.976991600479582</v>
      </c>
      <c r="AX255" s="1">
        <v>16.381135900938698</v>
      </c>
      <c r="AY255" s="1">
        <v>38.876723042723</v>
      </c>
      <c r="AZ255" s="1">
        <v>0.97969108006676697</v>
      </c>
      <c r="BA255" s="1">
        <v>16.9231317258286</v>
      </c>
      <c r="BB255" s="1">
        <v>189.61230587959199</v>
      </c>
      <c r="BC255" s="1">
        <v>139.52795410156199</v>
      </c>
      <c r="BD255" s="7"/>
      <c r="BE255" s="1"/>
      <c r="BF255" s="1"/>
      <c r="BG255" s="8"/>
      <c r="BH255" s="1"/>
      <c r="BI255" s="1"/>
      <c r="BJ255" s="1"/>
      <c r="BK255" s="8"/>
    </row>
    <row r="256" spans="1:63">
      <c r="A256" s="49"/>
      <c r="B256" s="7" t="s">
        <v>62</v>
      </c>
      <c r="C256" s="17">
        <v>1.5</v>
      </c>
      <c r="D256" s="7">
        <v>21</v>
      </c>
      <c r="E256" s="1">
        <v>1.3543452855106399</v>
      </c>
      <c r="F256" s="1">
        <v>42.903968396607098</v>
      </c>
      <c r="G256" s="1">
        <v>0.99444070234937598</v>
      </c>
      <c r="H256" s="1">
        <v>22.5498007275711</v>
      </c>
      <c r="I256" s="1">
        <v>46.079421489246002</v>
      </c>
      <c r="J256" s="1">
        <v>0.99596982815115997</v>
      </c>
      <c r="K256" s="8">
        <v>23.946764348982398</v>
      </c>
      <c r="L256" s="7">
        <v>19</v>
      </c>
      <c r="M256" s="1">
        <v>1.3389069836910901</v>
      </c>
      <c r="N256" s="1">
        <v>43.045815745229902</v>
      </c>
      <c r="O256" s="1">
        <v>0.99470545638555097</v>
      </c>
      <c r="P256" s="1">
        <v>22.7617146979049</v>
      </c>
      <c r="Q256" s="1">
        <v>46.154917617612199</v>
      </c>
      <c r="R256" s="1">
        <v>0.99635899575734299</v>
      </c>
      <c r="S256" s="8">
        <v>24.387788150069799</v>
      </c>
      <c r="T256" s="13">
        <f>bdrate(E256:E259,F256:F259,M256:M259,N256:N259)</f>
        <v>-8.9457584499877174E-2</v>
      </c>
      <c r="U256" s="12">
        <f>bdrate(E256:E259,H256:H259,M256:M259,P256:P259)</f>
        <v>-0.1156116412188567</v>
      </c>
      <c r="V256" s="12">
        <f>bdrate(E256:E259,I256:I259,M256:M259,Q256:Q259)</f>
        <v>-6.3609721168835454E-2</v>
      </c>
      <c r="W256" s="14">
        <f>bdrate(E256:E259,K256:K259,M256:M259,S256:S259)</f>
        <v>-0.11199855564735473</v>
      </c>
      <c r="X256" s="13">
        <f>bdrate(E258:E261,F258:F261,M258:M261,N258:N261)</f>
        <v>-0.17057327937736522</v>
      </c>
      <c r="Y256" s="12">
        <f>bdrate(E258:E261,H258:H261,M258:M261,P258:P261)</f>
        <v>-0.20661493652565155</v>
      </c>
      <c r="Z256" s="12">
        <f>bdrate(E258:E261,I258:I261,M258:M261,Q258:Q261)</f>
        <v>-0.19137418189823707</v>
      </c>
      <c r="AA256" s="14">
        <f>bdrate(E258:E261,K258:K261,M258:M261,S258:S261)</f>
        <v>-0.15671907244059091</v>
      </c>
      <c r="AB256" s="7">
        <v>256</v>
      </c>
      <c r="AC256" s="1">
        <v>1.5230634485577701</v>
      </c>
      <c r="AD256" s="1">
        <v>44.333804349371803</v>
      </c>
      <c r="AE256" s="1">
        <v>0.99624104990778595</v>
      </c>
      <c r="AF256" s="1">
        <v>24.249334403995402</v>
      </c>
      <c r="AG256" s="1">
        <v>47.298865634951703</v>
      </c>
      <c r="AH256" s="1">
        <v>0.99711839069757002</v>
      </c>
      <c r="AI256" s="1">
        <v>25.403649025300201</v>
      </c>
      <c r="AJ256" s="1">
        <v>476.10322642326298</v>
      </c>
      <c r="AK256" s="1">
        <v>217.44008708000101</v>
      </c>
      <c r="AL256" s="13">
        <f>bdrate(E256:E259,F256:F259,AC256:AC259,AD256:AD259)</f>
        <v>-0.11771990931982357</v>
      </c>
      <c r="AM256" s="12">
        <f>bdrate(E256:E259,H256:H259,AC256:AC259,AF256:AF259)</f>
        <v>-0.14952111009408064</v>
      </c>
      <c r="AN256" s="12">
        <f>bdrate(E256:E259,I256:I259,AC256:AC259,AG256:AG259)</f>
        <v>-0.13662155207843241</v>
      </c>
      <c r="AO256" s="14">
        <f>bdrate(E256:E259,K256:K259,AC256:AC259,AI256:AI259)</f>
        <v>-6.7993893920450299E-2</v>
      </c>
      <c r="AP256" s="12">
        <f>bdrate(E258:E261,F258:F261,AC258:AC261,AD258:AD261)</f>
        <v>-0.19021392956989491</v>
      </c>
      <c r="AQ256" s="12">
        <f>bdrate(E258:E261,H258:H261,AC258:AC261,AF258:AF261)</f>
        <v>-0.22392663024538062</v>
      </c>
      <c r="AR256" s="12">
        <f>bdrate(E258:E261,I258:I261,AC258:AC261,AG258:AG261)</f>
        <v>-0.24948575590717148</v>
      </c>
      <c r="AS256" s="14">
        <f>bdrate(E258:E261,K258:K261,AC258:AC261,AI258:AI261)</f>
        <v>-0.11545277552344513</v>
      </c>
      <c r="AT256" s="7">
        <v>6.4</v>
      </c>
      <c r="AU256" s="1">
        <v>1.7573414965202001</v>
      </c>
      <c r="AV256" s="1">
        <v>43.859254593377003</v>
      </c>
      <c r="AW256" s="1">
        <v>0.99821344189734396</v>
      </c>
      <c r="AX256" s="1">
        <v>27.47982855055</v>
      </c>
      <c r="AY256" s="1">
        <v>47.1064731646875</v>
      </c>
      <c r="AZ256" s="1">
        <v>0.99863982881781299</v>
      </c>
      <c r="BA256" s="1">
        <v>28.6640643074692</v>
      </c>
      <c r="BB256" s="1">
        <v>498.40170240402199</v>
      </c>
      <c r="BC256" s="1">
        <v>203.60550928115799</v>
      </c>
      <c r="BD256" s="13">
        <f>bdrate(E256:E259,F256:F259,AU256:AU259,AV256:AV259)</f>
        <v>0.21374101626738384</v>
      </c>
      <c r="BE256" s="12">
        <f>bdrate(E256:E259,H256:H259,AU256:AU259,AX256:AX259)</f>
        <v>-0.52391616772230409</v>
      </c>
      <c r="BF256" s="12">
        <f>bdrate(E256:E259,I256:I259,AU256:AU259,AY256:AY259)</f>
        <v>0.11919832480666837</v>
      </c>
      <c r="BG256" s="14">
        <f>bdrate(E256:E259,K256:K259,AU256:AU259,BA256:BA259)</f>
        <v>-0.47535116732706906</v>
      </c>
      <c r="BH256" s="12">
        <f>bdrate(E258:E261,F258:F261,AU258:AU261,AV258:AV261)</f>
        <v>0.18045873753877095</v>
      </c>
      <c r="BI256" s="12">
        <f>bdrate(E258:E261,H258:H261,AU258:AU261,AX258:AX261)</f>
        <v>-0.43302493715945434</v>
      </c>
      <c r="BJ256" s="12">
        <f>bdrate(E258:E261,I258:I261,AU258:AU261,AY258:AY261)</f>
        <v>0.26437510498515815</v>
      </c>
      <c r="BK256" s="14">
        <f>bdrate(E258:E261,K258:K261,AU258:AU261,BA258:BA261)</f>
        <v>-0.38548390071171279</v>
      </c>
    </row>
    <row r="257" spans="1:63">
      <c r="A257" s="49"/>
      <c r="B257" s="7" t="s">
        <v>18</v>
      </c>
      <c r="C257" s="17">
        <v>1</v>
      </c>
      <c r="D257" s="7">
        <v>23</v>
      </c>
      <c r="E257" s="1">
        <v>0.95349250062887803</v>
      </c>
      <c r="F257" s="1">
        <v>41.099708315552597</v>
      </c>
      <c r="G257" s="1">
        <v>0.99145282263198897</v>
      </c>
      <c r="H257" s="1">
        <v>20.681772836214201</v>
      </c>
      <c r="I257" s="1">
        <v>44.405909291774201</v>
      </c>
      <c r="J257" s="1">
        <v>0.99327632457422599</v>
      </c>
      <c r="K257" s="8">
        <v>21.7239325956896</v>
      </c>
      <c r="L257" s="7">
        <v>21</v>
      </c>
      <c r="M257" s="1">
        <v>0.98771198431997298</v>
      </c>
      <c r="N257" s="1">
        <v>41.5439981737102</v>
      </c>
      <c r="O257" s="1">
        <v>0.99247250355856198</v>
      </c>
      <c r="P257" s="1">
        <v>21.233494411243299</v>
      </c>
      <c r="Q257" s="1">
        <v>44.704218135818401</v>
      </c>
      <c r="R257" s="1">
        <v>0.99432160786507295</v>
      </c>
      <c r="S257" s="8">
        <v>22.457746195321501</v>
      </c>
      <c r="T257" s="7"/>
      <c r="U257" s="1"/>
      <c r="V257" s="1"/>
      <c r="W257" s="8"/>
      <c r="X257" s="7"/>
      <c r="Y257" s="1"/>
      <c r="Z257" s="1"/>
      <c r="AA257" s="8"/>
      <c r="AB257" s="7">
        <v>128</v>
      </c>
      <c r="AC257" s="1">
        <v>1.01759876006204</v>
      </c>
      <c r="AD257" s="1">
        <v>41.858006925879998</v>
      </c>
      <c r="AE257" s="1">
        <v>0.99324263926990597</v>
      </c>
      <c r="AF257" s="1">
        <v>21.702228963913399</v>
      </c>
      <c r="AG257" s="1">
        <v>45.0998074930407</v>
      </c>
      <c r="AH257" s="1">
        <v>0.99432051495199802</v>
      </c>
      <c r="AI257" s="1">
        <v>22.456910394562101</v>
      </c>
      <c r="AJ257" s="1">
        <v>256.93473839759798</v>
      </c>
      <c r="AK257" s="1">
        <v>151.29120349883999</v>
      </c>
      <c r="AL257" s="7"/>
      <c r="AM257" s="1"/>
      <c r="AN257" s="1"/>
      <c r="AO257" s="8"/>
      <c r="AP257" s="1"/>
      <c r="AQ257" s="1"/>
      <c r="AR257" s="1"/>
      <c r="AS257" s="8"/>
      <c r="AT257" s="7">
        <v>3.2</v>
      </c>
      <c r="AU257" s="1">
        <v>1.19457553349823</v>
      </c>
      <c r="AV257" s="1">
        <v>41.392612914725802</v>
      </c>
      <c r="AW257" s="1">
        <v>0.99691916479600096</v>
      </c>
      <c r="AX257" s="1">
        <v>25.113315317734099</v>
      </c>
      <c r="AY257" s="1">
        <v>44.954456028130402</v>
      </c>
      <c r="AZ257" s="1">
        <v>0.99750191094935803</v>
      </c>
      <c r="BA257" s="1">
        <v>26.0239208417123</v>
      </c>
      <c r="BB257" s="1">
        <v>706.01303839683499</v>
      </c>
      <c r="BC257" s="1">
        <v>294.03921079635597</v>
      </c>
      <c r="BD257" s="7"/>
      <c r="BE257" s="1"/>
      <c r="BF257" s="1"/>
      <c r="BG257" s="8"/>
      <c r="BH257" s="1"/>
      <c r="BI257" s="1"/>
      <c r="BJ257" s="1"/>
      <c r="BK257" s="8"/>
    </row>
    <row r="258" spans="1:63">
      <c r="A258" s="49"/>
      <c r="B258" s="7" t="s">
        <v>18</v>
      </c>
      <c r="C258" s="17">
        <v>0.5</v>
      </c>
      <c r="D258" s="7">
        <v>26</v>
      </c>
      <c r="E258" s="1">
        <v>0.47009029641120198</v>
      </c>
      <c r="F258" s="1">
        <v>38.702751721837501</v>
      </c>
      <c r="G258" s="1">
        <v>0.98507554497919303</v>
      </c>
      <c r="H258" s="1">
        <v>18.261015185421702</v>
      </c>
      <c r="I258" s="1">
        <v>42.2083815995246</v>
      </c>
      <c r="J258" s="1">
        <v>0.98739839586197897</v>
      </c>
      <c r="K258" s="8">
        <v>18.995741672675798</v>
      </c>
      <c r="L258" s="7">
        <v>23</v>
      </c>
      <c r="M258" s="1">
        <v>0.48827338902398099</v>
      </c>
      <c r="N258" s="1">
        <v>39.092866389273901</v>
      </c>
      <c r="O258" s="1">
        <v>0.98670506520164802</v>
      </c>
      <c r="P258" s="1">
        <v>18.763137882147401</v>
      </c>
      <c r="Q258" s="1">
        <v>42.474224366602797</v>
      </c>
      <c r="R258" s="1">
        <v>0.98880975752002098</v>
      </c>
      <c r="S258" s="8">
        <v>19.511605026963501</v>
      </c>
      <c r="T258" s="7"/>
      <c r="U258" s="1"/>
      <c r="V258" s="1"/>
      <c r="W258" s="8"/>
      <c r="X258" s="7"/>
      <c r="Y258" s="1"/>
      <c r="Z258" s="1"/>
      <c r="AA258" s="8"/>
      <c r="AB258" s="7">
        <v>64</v>
      </c>
      <c r="AC258" s="1">
        <v>0.54426450088042899</v>
      </c>
      <c r="AD258" s="1">
        <v>39.452312698132403</v>
      </c>
      <c r="AE258" s="1">
        <v>0.98773343729145902</v>
      </c>
      <c r="AF258" s="1">
        <v>19.1127711664112</v>
      </c>
      <c r="AG258" s="1">
        <v>42.979008028967399</v>
      </c>
      <c r="AH258" s="1">
        <v>0.98909493177055796</v>
      </c>
      <c r="AI258" s="1">
        <v>19.623716128384</v>
      </c>
      <c r="AJ258" s="1">
        <v>187.80402088165201</v>
      </c>
      <c r="AK258" s="1">
        <v>104.172695159912</v>
      </c>
      <c r="AL258" s="7"/>
      <c r="AM258" s="1"/>
      <c r="AN258" s="1"/>
      <c r="AO258" s="8"/>
      <c r="AP258" s="1"/>
      <c r="AQ258" s="1"/>
      <c r="AR258" s="1"/>
      <c r="AS258" s="8"/>
      <c r="AT258" s="7">
        <v>0.64</v>
      </c>
      <c r="AU258" s="1">
        <v>0.46677492977528001</v>
      </c>
      <c r="AV258" s="1">
        <v>38.101502017851999</v>
      </c>
      <c r="AW258" s="1">
        <v>0.99186603091300896</v>
      </c>
      <c r="AX258" s="1">
        <v>20.8969748245696</v>
      </c>
      <c r="AY258" s="1">
        <v>41.869492297945598</v>
      </c>
      <c r="AZ258" s="1">
        <v>0.99299824149149096</v>
      </c>
      <c r="BA258" s="1">
        <v>21.5479287218146</v>
      </c>
      <c r="BB258" s="1">
        <v>226.98698282241801</v>
      </c>
      <c r="BC258" s="1">
        <v>147.73239922523399</v>
      </c>
      <c r="BD258" s="7"/>
      <c r="BE258" s="1"/>
      <c r="BF258" s="1"/>
      <c r="BG258" s="8"/>
      <c r="BH258" s="1"/>
      <c r="BI258" s="1"/>
      <c r="BJ258" s="1"/>
      <c r="BK258" s="8"/>
    </row>
    <row r="259" spans="1:63">
      <c r="A259" s="49"/>
      <c r="B259" s="7" t="s">
        <v>18</v>
      </c>
      <c r="C259" s="17">
        <v>0.25</v>
      </c>
      <c r="D259" s="7">
        <v>29</v>
      </c>
      <c r="E259" s="1">
        <v>0.208066278509139</v>
      </c>
      <c r="F259" s="1">
        <v>37.144888408016499</v>
      </c>
      <c r="G259" s="1">
        <v>0.97819281847744299</v>
      </c>
      <c r="H259" s="1">
        <v>16.6140046134927</v>
      </c>
      <c r="I259" s="1">
        <v>40.7088586261481</v>
      </c>
      <c r="J259" s="1">
        <v>0.981089257854031</v>
      </c>
      <c r="K259" s="8">
        <v>17.232914270738199</v>
      </c>
      <c r="L259" s="7">
        <v>26</v>
      </c>
      <c r="M259" s="1">
        <v>0.19570030815025899</v>
      </c>
      <c r="N259" s="1">
        <v>37.313506263630103</v>
      </c>
      <c r="O259" s="1">
        <v>0.97933283916915204</v>
      </c>
      <c r="P259" s="1">
        <v>16.847191808563501</v>
      </c>
      <c r="Q259" s="1">
        <v>40.885870069131201</v>
      </c>
      <c r="R259" s="1">
        <v>0.98170923914228903</v>
      </c>
      <c r="S259" s="8">
        <v>17.377682283982399</v>
      </c>
      <c r="T259" s="7"/>
      <c r="U259" s="1"/>
      <c r="V259" s="1"/>
      <c r="W259" s="8"/>
      <c r="X259" s="7"/>
      <c r="Y259" s="1"/>
      <c r="Z259" s="1"/>
      <c r="AA259" s="8"/>
      <c r="AB259" s="7">
        <v>32</v>
      </c>
      <c r="AC259" s="1">
        <v>0.22010274295656501</v>
      </c>
      <c r="AD259" s="1">
        <v>37.597889001674901</v>
      </c>
      <c r="AE259" s="1">
        <v>0.98073768919276705</v>
      </c>
      <c r="AF259" s="1">
        <v>17.152916138557799</v>
      </c>
      <c r="AG259" s="1">
        <v>41.299556238495299</v>
      </c>
      <c r="AH259" s="1">
        <v>0.98240551407585397</v>
      </c>
      <c r="AI259" s="1">
        <v>17.546234178636499</v>
      </c>
      <c r="AJ259" s="1">
        <v>178.82899475097599</v>
      </c>
      <c r="AK259" s="1">
        <v>103.479815244674</v>
      </c>
      <c r="AL259" s="7"/>
      <c r="AM259" s="1"/>
      <c r="AN259" s="1"/>
      <c r="AO259" s="8"/>
      <c r="AP259" s="1"/>
      <c r="AQ259" s="1"/>
      <c r="AR259" s="1"/>
      <c r="AS259" s="8"/>
      <c r="AT259" s="7">
        <v>0.32</v>
      </c>
      <c r="AU259" s="1">
        <v>0.312507205894683</v>
      </c>
      <c r="AV259" s="1">
        <v>37.497794469943599</v>
      </c>
      <c r="AW259" s="1">
        <v>0.98791603906618097</v>
      </c>
      <c r="AX259" s="1">
        <v>19.1779068742512</v>
      </c>
      <c r="AY259" s="1">
        <v>41.155883838836601</v>
      </c>
      <c r="AZ259" s="1">
        <v>0.98937021912196099</v>
      </c>
      <c r="BA259" s="1">
        <v>19.734756879169201</v>
      </c>
      <c r="BB259" s="1">
        <v>342.68183851241997</v>
      </c>
      <c r="BC259" s="1">
        <v>189.51856136321999</v>
      </c>
      <c r="BD259" s="7"/>
      <c r="BE259" s="1"/>
      <c r="BF259" s="1"/>
      <c r="BG259" s="8"/>
      <c r="BH259" s="1"/>
      <c r="BI259" s="1"/>
      <c r="BJ259" s="1"/>
      <c r="BK259" s="8"/>
    </row>
    <row r="260" spans="1:63">
      <c r="A260" s="49"/>
      <c r="B260" s="7" t="s">
        <v>18</v>
      </c>
      <c r="C260" s="17">
        <v>0.12</v>
      </c>
      <c r="D260" s="7">
        <v>33</v>
      </c>
      <c r="E260" s="1">
        <v>0.112187264170719</v>
      </c>
      <c r="F260" s="1">
        <v>36.2478940301284</v>
      </c>
      <c r="G260" s="1">
        <v>0.972077287115931</v>
      </c>
      <c r="H260" s="1">
        <v>15.540423892958399</v>
      </c>
      <c r="I260" s="1">
        <v>39.686441997205698</v>
      </c>
      <c r="J260" s="1">
        <v>0.97582010082257098</v>
      </c>
      <c r="K260" s="8">
        <v>16.165455143428002</v>
      </c>
      <c r="L260" s="7">
        <v>29</v>
      </c>
      <c r="M260" s="1">
        <v>0.111789629800436</v>
      </c>
      <c r="N260" s="1">
        <v>36.583091509148502</v>
      </c>
      <c r="O260" s="1">
        <v>0.97520681857847502</v>
      </c>
      <c r="P260" s="1">
        <v>16.0566774168067</v>
      </c>
      <c r="Q260" s="1">
        <v>40.159545733050699</v>
      </c>
      <c r="R260" s="1">
        <v>0.97784487850838597</v>
      </c>
      <c r="S260" s="8">
        <v>16.545258640935401</v>
      </c>
      <c r="T260" s="7"/>
      <c r="U260" s="1"/>
      <c r="V260" s="1"/>
      <c r="W260" s="8"/>
      <c r="X260" s="7"/>
      <c r="Y260" s="1"/>
      <c r="Z260" s="1"/>
      <c r="AA260" s="8"/>
      <c r="AB260" s="7">
        <v>16</v>
      </c>
      <c r="AC260" s="1">
        <v>0.11660775301861399</v>
      </c>
      <c r="AD260" s="1">
        <v>36.6642430629527</v>
      </c>
      <c r="AE260" s="1">
        <v>0.97573432082688305</v>
      </c>
      <c r="AF260" s="1">
        <v>16.150075486920301</v>
      </c>
      <c r="AG260" s="1">
        <v>40.306399103521699</v>
      </c>
      <c r="AH260" s="1">
        <v>0.97775313174863199</v>
      </c>
      <c r="AI260" s="1">
        <v>16.527311171269901</v>
      </c>
      <c r="AJ260" s="1">
        <v>160.30585956573401</v>
      </c>
      <c r="AK260" s="1">
        <v>99.7477641105651</v>
      </c>
      <c r="AL260" s="7"/>
      <c r="AM260" s="1"/>
      <c r="AN260" s="1"/>
      <c r="AO260" s="8"/>
      <c r="AP260" s="1"/>
      <c r="AQ260" s="1"/>
      <c r="AR260" s="1"/>
      <c r="AS260" s="8"/>
      <c r="AT260" s="7">
        <v>0.08</v>
      </c>
      <c r="AU260" s="1">
        <v>8.6454359173234893E-2</v>
      </c>
      <c r="AV260" s="1">
        <v>35.598819754625403</v>
      </c>
      <c r="AW260" s="1">
        <v>0.97446930783860897</v>
      </c>
      <c r="AX260" s="1">
        <v>15.9293741089893</v>
      </c>
      <c r="AY260" s="1">
        <v>38.5992625293148</v>
      </c>
      <c r="AZ260" s="1">
        <v>0.97691925479717201</v>
      </c>
      <c r="BA260" s="1">
        <v>16.3675017332171</v>
      </c>
      <c r="BB260" s="1">
        <v>143.635248661041</v>
      </c>
      <c r="BC260" s="1">
        <v>95.836084365844698</v>
      </c>
      <c r="BD260" s="7"/>
      <c r="BE260" s="1"/>
      <c r="BF260" s="1"/>
      <c r="BG260" s="8"/>
      <c r="BH260" s="1"/>
      <c r="BI260" s="1"/>
      <c r="BJ260" s="1"/>
      <c r="BK260" s="8"/>
    </row>
    <row r="261" spans="1:63">
      <c r="A261" s="49"/>
      <c r="B261" s="7" t="s">
        <v>18</v>
      </c>
      <c r="C261" s="17">
        <v>0.06</v>
      </c>
      <c r="D261" s="7">
        <v>38</v>
      </c>
      <c r="E261" s="1">
        <v>5.7130953379171498E-2</v>
      </c>
      <c r="F261" s="1">
        <v>35.076520928119301</v>
      </c>
      <c r="G261" s="1">
        <v>0.96120938731546901</v>
      </c>
      <c r="H261" s="1">
        <v>14.1127336081218</v>
      </c>
      <c r="I261" s="1">
        <v>38.410513930406303</v>
      </c>
      <c r="J261" s="1">
        <v>0.96545435043559102</v>
      </c>
      <c r="K261" s="8">
        <v>14.6160663683198</v>
      </c>
      <c r="L261" s="7">
        <v>34</v>
      </c>
      <c r="M261" s="1">
        <v>5.6598372253899E-2</v>
      </c>
      <c r="N261" s="1">
        <v>35.558519740136397</v>
      </c>
      <c r="O261" s="1">
        <v>0.96669562424592004</v>
      </c>
      <c r="P261" s="1">
        <v>14.774987021992599</v>
      </c>
      <c r="Q261" s="1">
        <v>39.092582088564903</v>
      </c>
      <c r="R261" s="1">
        <v>0.96962763648955297</v>
      </c>
      <c r="S261" s="8">
        <v>15.175214109264701</v>
      </c>
      <c r="T261" s="7"/>
      <c r="U261" s="1"/>
      <c r="V261" s="1"/>
      <c r="W261" s="8"/>
      <c r="X261" s="7"/>
      <c r="Y261" s="1"/>
      <c r="Z261" s="1"/>
      <c r="AA261" s="8"/>
      <c r="AB261" s="7">
        <v>4</v>
      </c>
      <c r="AC261" s="1">
        <v>5.6741179984906902E-2</v>
      </c>
      <c r="AD261" s="1">
        <v>35.386946162669098</v>
      </c>
      <c r="AE261" s="1">
        <v>0.96532348582329297</v>
      </c>
      <c r="AF261" s="1">
        <v>14.599645660374801</v>
      </c>
      <c r="AG261" s="1">
        <v>38.841092540511198</v>
      </c>
      <c r="AH261" s="1">
        <v>0.96763746568906095</v>
      </c>
      <c r="AI261" s="1">
        <v>14.899574761154</v>
      </c>
      <c r="AJ261" s="1">
        <v>283.74208068847599</v>
      </c>
      <c r="AK261" s="1">
        <v>181.700052499771</v>
      </c>
      <c r="AL261" s="7"/>
      <c r="AM261" s="1"/>
      <c r="AN261" s="1"/>
      <c r="AO261" s="8"/>
      <c r="AP261" s="1"/>
      <c r="AQ261" s="1"/>
      <c r="AR261" s="1"/>
      <c r="AS261" s="8"/>
      <c r="AT261" s="7">
        <v>0.04</v>
      </c>
      <c r="AU261" s="1">
        <v>5.7024175121582997E-2</v>
      </c>
      <c r="AV261" s="1">
        <v>34.796287582107702</v>
      </c>
      <c r="AW261" s="1">
        <v>0.969140575551941</v>
      </c>
      <c r="AX261" s="1">
        <v>15.106121781226101</v>
      </c>
      <c r="AY261" s="1">
        <v>37.805260769545598</v>
      </c>
      <c r="AZ261" s="1">
        <v>0.97197332203437303</v>
      </c>
      <c r="BA261" s="1">
        <v>15.524283766135399</v>
      </c>
      <c r="BB261" s="1">
        <v>170.622122526168</v>
      </c>
      <c r="BC261" s="1">
        <v>125.90502023696899</v>
      </c>
      <c r="BD261" s="7"/>
      <c r="BE261" s="1"/>
      <c r="BF261" s="1"/>
      <c r="BG261" s="8"/>
      <c r="BH261" s="1"/>
      <c r="BI261" s="1"/>
      <c r="BJ261" s="1"/>
      <c r="BK261" s="8"/>
    </row>
    <row r="262" spans="1:63">
      <c r="A262" s="49"/>
      <c r="B262" s="7" t="s">
        <v>63</v>
      </c>
      <c r="C262" s="17">
        <v>1.5</v>
      </c>
      <c r="D262" s="7">
        <v>24</v>
      </c>
      <c r="E262" s="1">
        <v>1.3669938787443401</v>
      </c>
      <c r="F262" s="1">
        <v>40.748344388780197</v>
      </c>
      <c r="G262" s="1">
        <v>0.99424701690565698</v>
      </c>
      <c r="H262" s="1">
        <v>22.401069021859598</v>
      </c>
      <c r="I262" s="1">
        <v>44.106823585950401</v>
      </c>
      <c r="J262" s="1">
        <v>0.99634020800247203</v>
      </c>
      <c r="K262" s="8">
        <v>24.3654359681681</v>
      </c>
      <c r="L262" s="7">
        <v>19</v>
      </c>
      <c r="M262" s="1">
        <v>1.45078529535637</v>
      </c>
      <c r="N262" s="1">
        <v>42.774045858602904</v>
      </c>
      <c r="O262" s="1">
        <v>0.99587444729307095</v>
      </c>
      <c r="P262" s="1">
        <v>23.845178600863399</v>
      </c>
      <c r="Q262" s="1">
        <v>46.216467453911598</v>
      </c>
      <c r="R262" s="1">
        <v>0.997341686019105</v>
      </c>
      <c r="S262" s="8">
        <v>25.7539372462854</v>
      </c>
      <c r="T262" s="13">
        <f>bdrate(E262:E265,F262:F265,M262:M265,N262:N265)</f>
        <v>-0.28269223926180254</v>
      </c>
      <c r="U262" s="12">
        <f>bdrate(E262:E265,H262:H265,M262:M265,P262:P265)</f>
        <v>-0.30168436851920055</v>
      </c>
      <c r="V262" s="12">
        <f>bdrate(E262:E265,I262:I265,M262:M265,Q262:Q265)</f>
        <v>-0.27118161745267089</v>
      </c>
      <c r="W262" s="14">
        <f>bdrate(E262:E265,K262:K265,M262:M265,S262:S265)</f>
        <v>-0.21228254985841233</v>
      </c>
      <c r="X262" s="13">
        <f>bdrate(E264:E267,F264:F267,M264:M267,N264:N267)</f>
        <v>-0.29396310689315874</v>
      </c>
      <c r="Y262" s="12">
        <f>bdrate(E264:E267,H264:H267,M264:M267,P264:P267)</f>
        <v>-0.30332092923285403</v>
      </c>
      <c r="Z262" s="12">
        <f>bdrate(E264:E267,I264:I267,M264:M267,Q264:Q267)</f>
        <v>-0.29792877057704092</v>
      </c>
      <c r="AA262" s="14">
        <f>bdrate(E264:E267,K264:K267,M264:M267,S264:S267)</f>
        <v>-0.21299965626530459</v>
      </c>
      <c r="AB262" s="7">
        <v>256</v>
      </c>
      <c r="AC262" s="1">
        <v>1.52681167222999</v>
      </c>
      <c r="AD262" s="1">
        <v>42.5496913653161</v>
      </c>
      <c r="AE262" s="1">
        <v>0.99706221707121201</v>
      </c>
      <c r="AF262" s="1">
        <v>25.3198029714768</v>
      </c>
      <c r="AG262" s="1">
        <v>45.5525565713655</v>
      </c>
      <c r="AH262" s="1">
        <v>0.99798188124746601</v>
      </c>
      <c r="AI262" s="1">
        <v>26.950532820769201</v>
      </c>
      <c r="AJ262" s="1">
        <v>645.15855479240395</v>
      </c>
      <c r="AK262" s="1">
        <v>233.294376850128</v>
      </c>
      <c r="AL262" s="13">
        <f>bdrate(E262:E265,F262:F265,AC262:AC265,AD262:AD265)</f>
        <v>-0.27413955578959581</v>
      </c>
      <c r="AM262" s="12">
        <f>bdrate(E262:E265,H262:H265,AC262:AC265,AF262:AF265)</f>
        <v>-0.48747983749260981</v>
      </c>
      <c r="AN262" s="12">
        <f>bdrate(E262:E265,I262:I265,AC262:AC265,AG262:AG265)</f>
        <v>-0.20696732718696231</v>
      </c>
      <c r="AO262" s="14">
        <f>bdrate(E262:E265,K262:K265,AC262:AC265,AI262:AI265)</f>
        <v>-0.35701752022170252</v>
      </c>
      <c r="AP262" s="12">
        <f>bdrate(E264:E267,F264:F267,AC264:AC267,AD264:AD267)</f>
        <v>-0.27872677555128456</v>
      </c>
      <c r="AQ262" s="12">
        <f>bdrate(E264:E267,H264:H267,AC264:AC267,AF264:AF267)</f>
        <v>-0.48361434616759702</v>
      </c>
      <c r="AR262" s="12">
        <f>bdrate(E264:E267,I264:I267,AC264:AC267,AG264:AG267)</f>
        <v>-0.23558209798067931</v>
      </c>
      <c r="AS262" s="14">
        <f>bdrate(E264:E267,K264:K267,AC264:AC267,AI264:AI267)</f>
        <v>-0.3553302311660167</v>
      </c>
      <c r="AT262" s="7">
        <v>6.4</v>
      </c>
      <c r="AU262" s="1">
        <v>1.2344021110222101</v>
      </c>
      <c r="AV262" s="1">
        <v>37.651894369144699</v>
      </c>
      <c r="AW262" s="1">
        <v>0.99841792068948798</v>
      </c>
      <c r="AX262" s="1">
        <v>28.007717488699601</v>
      </c>
      <c r="AY262" s="1">
        <v>40.2257095990228</v>
      </c>
      <c r="AZ262" s="1">
        <v>0.99888902809232305</v>
      </c>
      <c r="BA262" s="1">
        <v>29.542969226031602</v>
      </c>
      <c r="BB262" s="1">
        <v>664.19566822052002</v>
      </c>
      <c r="BC262" s="1">
        <v>204.04048609733499</v>
      </c>
      <c r="BD262" s="13">
        <f>bdrate(E262:E265,F262:F265,AU262:AU265,AV262:AV265)</f>
        <v>0.38757241120744701</v>
      </c>
      <c r="BE262" s="12">
        <f>bdrate(E262:E265,H262:H265,AU262:AU265,AX262:AX265)</f>
        <v>-0.70773104958631783</v>
      </c>
      <c r="BF262" s="12">
        <f>bdrate(E262:E265,I262:I265,AU262:AU265,AY262:AY265)</f>
        <v>0.49320548391829533</v>
      </c>
      <c r="BG262" s="14">
        <f>bdrate(E262:E265,K262:K265,AU262:AU265,BA262:BA265)</f>
        <v>-0.62328658773038959</v>
      </c>
      <c r="BH262" s="12">
        <f>bdrate(E264:E267,F264:F267,AU264:AU267,AV264:AV267)</f>
        <v>8.3854107076505091E-2</v>
      </c>
      <c r="BI262" s="12">
        <f>bdrate(E264:E267,H264:H267,AU264:AU267,AX264:AX267)</f>
        <v>-0.64606552604223699</v>
      </c>
      <c r="BJ262" s="12">
        <f>bdrate(E264:E267,I264:I267,AU264:AU267,AY264:AY267)</f>
        <v>0.11723244539647037</v>
      </c>
      <c r="BK262" s="14">
        <f>bdrate(E264:E267,K264:K267,AU264:AU267,BA264:BA267)</f>
        <v>-0.55722622062082405</v>
      </c>
    </row>
    <row r="263" spans="1:63">
      <c r="A263" s="49"/>
      <c r="B263" s="7" t="s">
        <v>18</v>
      </c>
      <c r="C263" s="17">
        <v>1</v>
      </c>
      <c r="D263" s="7">
        <v>28</v>
      </c>
      <c r="E263" s="1">
        <v>0.89627054559728903</v>
      </c>
      <c r="F263" s="1">
        <v>38.151603530609798</v>
      </c>
      <c r="G263" s="1">
        <v>0.99182864544446403</v>
      </c>
      <c r="H263" s="1">
        <v>20.877059450302401</v>
      </c>
      <c r="I263" s="1">
        <v>41.376871744091503</v>
      </c>
      <c r="J263" s="1">
        <v>0.99480760559534698</v>
      </c>
      <c r="K263" s="8">
        <v>22.846323267510702</v>
      </c>
      <c r="L263" s="7">
        <v>23</v>
      </c>
      <c r="M263" s="1">
        <v>0.99362249939686997</v>
      </c>
      <c r="N263" s="1">
        <v>40.644970945043603</v>
      </c>
      <c r="O263" s="1">
        <v>0.99416101580842697</v>
      </c>
      <c r="P263" s="1">
        <v>22.336627005531501</v>
      </c>
      <c r="Q263" s="1">
        <v>43.903284641276798</v>
      </c>
      <c r="R263" s="1">
        <v>0.99605182239219303</v>
      </c>
      <c r="S263" s="8">
        <v>24.036033189316701</v>
      </c>
      <c r="T263" s="7"/>
      <c r="U263" s="1"/>
      <c r="V263" s="1"/>
      <c r="W263" s="8"/>
      <c r="X263" s="7"/>
      <c r="Y263" s="1"/>
      <c r="Z263" s="1"/>
      <c r="AA263" s="8"/>
      <c r="AB263" s="7">
        <v>128</v>
      </c>
      <c r="AC263" s="1">
        <v>1.11737586090806</v>
      </c>
      <c r="AD263" s="1">
        <v>41.1520262576446</v>
      </c>
      <c r="AE263" s="1">
        <v>0.99577636706745198</v>
      </c>
      <c r="AF263" s="1">
        <v>23.7431383249513</v>
      </c>
      <c r="AG263" s="1">
        <v>43.988372236718497</v>
      </c>
      <c r="AH263" s="1">
        <v>0.99694887835119095</v>
      </c>
      <c r="AI263" s="1">
        <v>25.155404766076401</v>
      </c>
      <c r="AJ263" s="1">
        <v>270.05313968658402</v>
      </c>
      <c r="AK263" s="1">
        <v>145.273292779922</v>
      </c>
      <c r="AL263" s="7"/>
      <c r="AM263" s="1"/>
      <c r="AN263" s="1"/>
      <c r="AO263" s="8"/>
      <c r="AP263" s="1"/>
      <c r="AQ263" s="1"/>
      <c r="AR263" s="1"/>
      <c r="AS263" s="8"/>
      <c r="AT263" s="7">
        <v>3.2</v>
      </c>
      <c r="AU263" s="1">
        <v>0.87862235628134</v>
      </c>
      <c r="AV263" s="1">
        <v>35.874875305423302</v>
      </c>
      <c r="AW263" s="1">
        <v>0.997641677613474</v>
      </c>
      <c r="AX263" s="1">
        <v>26.273968264170001</v>
      </c>
      <c r="AY263" s="1">
        <v>38.459960399938304</v>
      </c>
      <c r="AZ263" s="1">
        <v>0.99829223170226999</v>
      </c>
      <c r="BA263" s="1">
        <v>27.6757105275918</v>
      </c>
      <c r="BB263" s="1">
        <v>902.40553569793701</v>
      </c>
      <c r="BC263" s="1">
        <v>287.20921039581299</v>
      </c>
      <c r="BD263" s="7"/>
      <c r="BE263" s="1"/>
      <c r="BF263" s="1"/>
      <c r="BG263" s="8"/>
      <c r="BH263" s="1"/>
      <c r="BI263" s="1"/>
      <c r="BJ263" s="1"/>
      <c r="BK263" s="8"/>
    </row>
    <row r="264" spans="1:63">
      <c r="A264" s="49"/>
      <c r="B264" s="7" t="s">
        <v>18</v>
      </c>
      <c r="C264" s="17">
        <v>0.5</v>
      </c>
      <c r="D264" s="7">
        <v>33</v>
      </c>
      <c r="E264" s="1">
        <v>0.49901659186040598</v>
      </c>
      <c r="F264" s="1">
        <v>34.959119052150299</v>
      </c>
      <c r="G264" s="1">
        <v>0.98665549768153904</v>
      </c>
      <c r="H264" s="1">
        <v>18.7469761853264</v>
      </c>
      <c r="I264" s="1">
        <v>37.984322198494702</v>
      </c>
      <c r="J264" s="1">
        <v>0.99126543546107104</v>
      </c>
      <c r="K264" s="8">
        <v>20.587587418607601</v>
      </c>
      <c r="L264" s="7">
        <v>30</v>
      </c>
      <c r="M264" s="1">
        <v>0.47883116865415498</v>
      </c>
      <c r="N264" s="1">
        <v>36.499780030814001</v>
      </c>
      <c r="O264" s="1">
        <v>0.98988922590705497</v>
      </c>
      <c r="P264" s="1">
        <v>19.952155930316799</v>
      </c>
      <c r="Q264" s="1">
        <v>39.514350497531503</v>
      </c>
      <c r="R264" s="1">
        <v>0.99276237802116296</v>
      </c>
      <c r="S264" s="8">
        <v>21.404041038463198</v>
      </c>
      <c r="T264" s="7"/>
      <c r="U264" s="1"/>
      <c r="V264" s="1"/>
      <c r="W264" s="8"/>
      <c r="X264" s="7"/>
      <c r="Y264" s="1"/>
      <c r="Z264" s="1"/>
      <c r="AA264" s="8"/>
      <c r="AB264" s="7">
        <v>32</v>
      </c>
      <c r="AC264" s="1">
        <v>0.57596572314914096</v>
      </c>
      <c r="AD264" s="1">
        <v>37.415045933566802</v>
      </c>
      <c r="AE264" s="1">
        <v>0.99313850884980004</v>
      </c>
      <c r="AF264" s="1">
        <v>21.635814924667301</v>
      </c>
      <c r="AG264" s="1">
        <v>40.068757516754097</v>
      </c>
      <c r="AH264" s="1">
        <v>0.99480276692731595</v>
      </c>
      <c r="AI264" s="1">
        <v>22.842278065732099</v>
      </c>
      <c r="AJ264" s="1">
        <v>188.35235404968199</v>
      </c>
      <c r="AK264" s="1">
        <v>101.272671699523</v>
      </c>
      <c r="AL264" s="7"/>
      <c r="AM264" s="1"/>
      <c r="AN264" s="1"/>
      <c r="AO264" s="8"/>
      <c r="AP264" s="1"/>
      <c r="AQ264" s="1"/>
      <c r="AR264" s="1"/>
      <c r="AS264" s="8"/>
      <c r="AT264" s="7">
        <v>1.28</v>
      </c>
      <c r="AU264" s="1">
        <v>0.56963592772256799</v>
      </c>
      <c r="AV264" s="1">
        <v>33.9057394265743</v>
      </c>
      <c r="AW264" s="1">
        <v>0.99612213918440295</v>
      </c>
      <c r="AX264" s="1">
        <v>24.114077827001001</v>
      </c>
      <c r="AY264" s="1">
        <v>36.548272136745297</v>
      </c>
      <c r="AZ264" s="1">
        <v>0.99703537490153804</v>
      </c>
      <c r="BA264" s="1">
        <v>25.280302189822301</v>
      </c>
      <c r="BB264" s="1">
        <v>473.08400440216002</v>
      </c>
      <c r="BC264" s="1">
        <v>200.68855142593301</v>
      </c>
      <c r="BD264" s="7"/>
      <c r="BE264" s="1"/>
      <c r="BF264" s="1"/>
      <c r="BG264" s="8"/>
      <c r="BH264" s="1"/>
      <c r="BI264" s="1"/>
      <c r="BJ264" s="1"/>
      <c r="BK264" s="8"/>
    </row>
    <row r="265" spans="1:63">
      <c r="A265" s="49"/>
      <c r="B265" s="7" t="s">
        <v>18</v>
      </c>
      <c r="C265" s="17">
        <v>0.25</v>
      </c>
      <c r="D265" s="7">
        <v>39</v>
      </c>
      <c r="E265" s="1">
        <v>0.22474590178458201</v>
      </c>
      <c r="F265" s="1">
        <v>31.262245625019801</v>
      </c>
      <c r="G265" s="1">
        <v>0.97443743649529502</v>
      </c>
      <c r="H265" s="1">
        <v>15.9239559573577</v>
      </c>
      <c r="I265" s="1">
        <v>34.131827475025702</v>
      </c>
      <c r="J265" s="1">
        <v>0.98182180015062004</v>
      </c>
      <c r="K265" s="8">
        <v>17.4044912629499</v>
      </c>
      <c r="L265" s="7">
        <v>36</v>
      </c>
      <c r="M265" s="1">
        <v>0.22846349804340599</v>
      </c>
      <c r="N265" s="1">
        <v>32.860021823458503</v>
      </c>
      <c r="O265" s="1">
        <v>0.98146375757160298</v>
      </c>
      <c r="P265" s="1">
        <v>17.319782992101899</v>
      </c>
      <c r="Q265" s="1">
        <v>35.7721534784665</v>
      </c>
      <c r="R265" s="1">
        <v>0.98566298243026296</v>
      </c>
      <c r="S265" s="8">
        <v>18.435411825397601</v>
      </c>
      <c r="T265" s="7"/>
      <c r="U265" s="1"/>
      <c r="V265" s="1"/>
      <c r="W265" s="8"/>
      <c r="X265" s="7"/>
      <c r="Y265" s="1"/>
      <c r="Z265" s="1"/>
      <c r="AA265" s="8"/>
      <c r="AB265" s="7">
        <v>8</v>
      </c>
      <c r="AC265" s="1">
        <v>0.277702055275306</v>
      </c>
      <c r="AD265" s="1">
        <v>33.8121125924593</v>
      </c>
      <c r="AE265" s="1">
        <v>0.98783373203071401</v>
      </c>
      <c r="AF265" s="1">
        <v>19.1484262217358</v>
      </c>
      <c r="AG265" s="1">
        <v>36.416291677886598</v>
      </c>
      <c r="AH265" s="1">
        <v>0.99019663685697601</v>
      </c>
      <c r="AI265" s="1">
        <v>20.086249096245801</v>
      </c>
      <c r="AJ265" s="1">
        <v>154.47296977043101</v>
      </c>
      <c r="AK265" s="1">
        <v>97.498738527297903</v>
      </c>
      <c r="AL265" s="7"/>
      <c r="AM265" s="1"/>
      <c r="AN265" s="1"/>
      <c r="AO265" s="8"/>
      <c r="AP265" s="1"/>
      <c r="AQ265" s="1"/>
      <c r="AR265" s="1"/>
      <c r="AS265" s="8"/>
      <c r="AT265" s="7">
        <v>0.32</v>
      </c>
      <c r="AU265" s="1">
        <v>0.25808841268521499</v>
      </c>
      <c r="AV265" s="1">
        <v>31.483649085476301</v>
      </c>
      <c r="AW265" s="1">
        <v>0.99156135575597404</v>
      </c>
      <c r="AX265" s="1">
        <v>20.737273216959199</v>
      </c>
      <c r="AY265" s="1">
        <v>34.227858616037899</v>
      </c>
      <c r="AZ265" s="1">
        <v>0.99310645004467502</v>
      </c>
      <c r="BA265" s="1">
        <v>21.6155707287162</v>
      </c>
      <c r="BB265" s="1">
        <v>369.39230489730801</v>
      </c>
      <c r="BC265" s="1">
        <v>192.972858667373</v>
      </c>
      <c r="BD265" s="7"/>
      <c r="BE265" s="1"/>
      <c r="BF265" s="1"/>
      <c r="BG265" s="8"/>
      <c r="BH265" s="1"/>
      <c r="BI265" s="1"/>
      <c r="BJ265" s="1"/>
      <c r="BK265" s="8"/>
    </row>
    <row r="266" spans="1:63">
      <c r="A266" s="49"/>
      <c r="B266" s="7" t="s">
        <v>18</v>
      </c>
      <c r="C266" s="17">
        <v>0.12</v>
      </c>
      <c r="D266" s="7">
        <v>44</v>
      </c>
      <c r="E266" s="1">
        <v>0.110344799386102</v>
      </c>
      <c r="F266" s="1">
        <v>28.453536689954699</v>
      </c>
      <c r="G266" s="1">
        <v>0.95500500288133106</v>
      </c>
      <c r="H266" s="1">
        <v>13.4683577165891</v>
      </c>
      <c r="I266" s="1">
        <v>31.315261929048201</v>
      </c>
      <c r="J266" s="1">
        <v>0.96517921903783199</v>
      </c>
      <c r="K266" s="8">
        <v>14.5816149273171</v>
      </c>
      <c r="L266" s="7">
        <v>41</v>
      </c>
      <c r="M266" s="1">
        <v>0.116491952136714</v>
      </c>
      <c r="N266" s="1">
        <v>29.9998016843718</v>
      </c>
      <c r="O266" s="1">
        <v>0.96725527003842904</v>
      </c>
      <c r="P266" s="1">
        <v>14.848585867494</v>
      </c>
      <c r="Q266" s="1">
        <v>32.899764946630299</v>
      </c>
      <c r="R266" s="1">
        <v>0.97310971778982203</v>
      </c>
      <c r="S266" s="8">
        <v>15.7040463988605</v>
      </c>
      <c r="T266" s="7"/>
      <c r="U266" s="1"/>
      <c r="V266" s="1"/>
      <c r="W266" s="8"/>
      <c r="X266" s="7"/>
      <c r="Y266" s="1"/>
      <c r="Z266" s="1"/>
      <c r="AA266" s="8"/>
      <c r="AB266" s="7">
        <v>4</v>
      </c>
      <c r="AC266" s="1">
        <v>0.18994906450148699</v>
      </c>
      <c r="AD266" s="1">
        <v>31.8739448027899</v>
      </c>
      <c r="AE266" s="1">
        <v>0.98283372188113705</v>
      </c>
      <c r="AF266" s="1">
        <v>17.6532385554702</v>
      </c>
      <c r="AG266" s="1">
        <v>34.514886480274797</v>
      </c>
      <c r="AH266" s="1">
        <v>0.98566449269165202</v>
      </c>
      <c r="AI266" s="1">
        <v>18.435869335289599</v>
      </c>
      <c r="AJ266" s="1">
        <v>310.00525426864601</v>
      </c>
      <c r="AK266" s="1">
        <v>178.93560934066701</v>
      </c>
      <c r="AL266" s="7"/>
      <c r="AM266" s="1"/>
      <c r="AN266" s="1"/>
      <c r="AO266" s="8"/>
      <c r="AP266" s="1"/>
      <c r="AQ266" s="1"/>
      <c r="AR266" s="1"/>
      <c r="AS266" s="8"/>
      <c r="AT266" s="7">
        <v>0.08</v>
      </c>
      <c r="AU266" s="1">
        <v>0.12707636780963699</v>
      </c>
      <c r="AV266" s="1">
        <v>29.089599275724701</v>
      </c>
      <c r="AW266" s="1">
        <v>0.98272315679201705</v>
      </c>
      <c r="AX266" s="1">
        <v>17.625356080722401</v>
      </c>
      <c r="AY266" s="1">
        <v>31.8595078231705</v>
      </c>
      <c r="AZ266" s="1">
        <v>0.98537208417284505</v>
      </c>
      <c r="BA266" s="1">
        <v>18.348175473705801</v>
      </c>
      <c r="BB266" s="1">
        <v>139.21343874931301</v>
      </c>
      <c r="BC266" s="1">
        <v>91.418287515640202</v>
      </c>
      <c r="BD266" s="7"/>
      <c r="BE266" s="1"/>
      <c r="BF266" s="1"/>
      <c r="BG266" s="8"/>
      <c r="BH266" s="1"/>
      <c r="BI266" s="1"/>
      <c r="BJ266" s="1"/>
      <c r="BK266" s="8"/>
    </row>
    <row r="267" spans="1:63">
      <c r="A267" s="49"/>
      <c r="B267" s="7" t="s">
        <v>18</v>
      </c>
      <c r="C267" s="17">
        <v>0.06</v>
      </c>
      <c r="D267" s="7">
        <v>49</v>
      </c>
      <c r="E267" s="1">
        <v>5.1560436325174798E-2</v>
      </c>
      <c r="F267" s="1">
        <v>25.866481836467699</v>
      </c>
      <c r="G267" s="1">
        <v>0.92228102284303104</v>
      </c>
      <c r="H267" s="1">
        <v>11.0947292369252</v>
      </c>
      <c r="I267" s="1">
        <v>28.775997039072902</v>
      </c>
      <c r="J267" s="1">
        <v>0.93467244694889495</v>
      </c>
      <c r="K267" s="8">
        <v>11.849036087060201</v>
      </c>
      <c r="L267" s="7">
        <v>46</v>
      </c>
      <c r="M267" s="1">
        <v>5.6412052781007298E-2</v>
      </c>
      <c r="N267" s="1">
        <v>27.315225188741401</v>
      </c>
      <c r="O267" s="1">
        <v>0.94236466769633098</v>
      </c>
      <c r="P267" s="1">
        <v>12.393111985180701</v>
      </c>
      <c r="Q267" s="1">
        <v>30.264571554746901</v>
      </c>
      <c r="R267" s="1">
        <v>0.94997792863574204</v>
      </c>
      <c r="S267" s="8">
        <v>13.008383285303101</v>
      </c>
      <c r="T267" s="7"/>
      <c r="U267" s="1"/>
      <c r="V267" s="1"/>
      <c r="W267" s="8"/>
      <c r="X267" s="7"/>
      <c r="Y267" s="1"/>
      <c r="Z267" s="1"/>
      <c r="AA267" s="8"/>
      <c r="AB267" s="7">
        <v>2</v>
      </c>
      <c r="AC267" s="1">
        <v>0.122228158866415</v>
      </c>
      <c r="AD267" s="1">
        <v>29.981634044598799</v>
      </c>
      <c r="AE267" s="1">
        <v>0.97525832783569499</v>
      </c>
      <c r="AF267" s="1">
        <v>16.065709519506601</v>
      </c>
      <c r="AG267" s="1">
        <v>32.6905679813935</v>
      </c>
      <c r="AH267" s="1">
        <v>0.97866620461857401</v>
      </c>
      <c r="AI267" s="1">
        <v>16.709318746687099</v>
      </c>
      <c r="AJ267" s="1">
        <v>327.79033780097899</v>
      </c>
      <c r="AK267" s="1">
        <v>195.29232454299901</v>
      </c>
      <c r="AL267" s="7"/>
      <c r="AM267" s="1"/>
      <c r="AN267" s="1"/>
      <c r="AO267" s="8"/>
      <c r="AP267" s="1"/>
      <c r="AQ267" s="1"/>
      <c r="AR267" s="1"/>
      <c r="AS267" s="8"/>
      <c r="AT267" s="7">
        <v>0.04</v>
      </c>
      <c r="AU267" s="1">
        <v>8.9555564945145799E-2</v>
      </c>
      <c r="AV267" s="1">
        <v>27.715889173799098</v>
      </c>
      <c r="AW267" s="1">
        <v>0.97516984571016996</v>
      </c>
      <c r="AX267" s="1">
        <v>16.0502058181421</v>
      </c>
      <c r="AY267" s="1">
        <v>30.497400282270998</v>
      </c>
      <c r="AZ267" s="1">
        <v>0.97845940439074996</v>
      </c>
      <c r="BA267" s="1">
        <v>16.6674229239207</v>
      </c>
      <c r="BB267" s="1">
        <v>167.88105440139699</v>
      </c>
      <c r="BC267" s="1">
        <v>118.85973691940301</v>
      </c>
      <c r="BD267" s="7"/>
      <c r="BE267" s="1"/>
      <c r="BF267" s="1"/>
      <c r="BG267" s="8"/>
      <c r="BH267" s="1"/>
      <c r="BI267" s="1"/>
      <c r="BJ267" s="1"/>
      <c r="BK267" s="8"/>
    </row>
    <row r="268" spans="1:63">
      <c r="A268" s="49"/>
      <c r="B268" s="7" t="s">
        <v>64</v>
      </c>
      <c r="C268" s="17">
        <v>1.5</v>
      </c>
      <c r="D268" s="7">
        <v>21</v>
      </c>
      <c r="E268" s="1">
        <v>1.3787286478585901</v>
      </c>
      <c r="F268" s="1">
        <v>43.235133920446401</v>
      </c>
      <c r="G268" s="1">
        <v>0.99520207466062105</v>
      </c>
      <c r="H268" s="1">
        <v>23.189465143815902</v>
      </c>
      <c r="I268" s="1">
        <v>46.7558209386236</v>
      </c>
      <c r="J268" s="1">
        <v>0.99570024298542203</v>
      </c>
      <c r="K268" s="8">
        <v>23.6655608632968</v>
      </c>
      <c r="L268" s="7">
        <v>19</v>
      </c>
      <c r="M268" s="1">
        <v>1.34380980640379</v>
      </c>
      <c r="N268" s="1">
        <v>43.523663764200499</v>
      </c>
      <c r="O268" s="1">
        <v>0.99563701110043301</v>
      </c>
      <c r="P268" s="1">
        <v>23.602158919554299</v>
      </c>
      <c r="Q268" s="1">
        <v>46.980404337520497</v>
      </c>
      <c r="R268" s="1">
        <v>0.99615312061373296</v>
      </c>
      <c r="S268" s="8">
        <v>24.148914301995799</v>
      </c>
      <c r="T268" s="13">
        <f>bdrate(E268:E271,F268:F271,M268:M271,N268:N271)</f>
        <v>-9.829436265837399E-2</v>
      </c>
      <c r="U268" s="12">
        <f>bdrate(E268:E271,H268:H271,M268:M271,P268:P271)</f>
        <v>-0.10600181043839974</v>
      </c>
      <c r="V268" s="12">
        <f>bdrate(E268:E271,I268:I271,M268:M271,Q268:Q271)</f>
        <v>-0.11654671297311481</v>
      </c>
      <c r="W268" s="14">
        <f>bdrate(E268:E271,K268:K271,M268:M271,S268:S271)</f>
        <v>-9.947912447792262E-2</v>
      </c>
      <c r="X268" s="13">
        <f>bdrate(E270:E273,F270:F273,M270:M273,N270:N273)</f>
        <v>-0.13868402811162561</v>
      </c>
      <c r="Y268" s="12">
        <f>bdrate(E270:E273,H270:H273,M270:M273,P270:P273)</f>
        <v>-0.13282262162298808</v>
      </c>
      <c r="Z268" s="12">
        <f>bdrate(E270:E273,I270:I273,M270:M273,Q270:Q273)</f>
        <v>-0.18499220281696982</v>
      </c>
      <c r="AA268" s="14">
        <f>bdrate(E270:E273,K270:K273,M270:M273,S270:S273)</f>
        <v>-0.12242314127636289</v>
      </c>
      <c r="AB268" s="7">
        <v>256</v>
      </c>
      <c r="AC268" s="1">
        <v>1.55254152516128</v>
      </c>
      <c r="AD268" s="1">
        <v>43.9266428382874</v>
      </c>
      <c r="AE268" s="1">
        <v>0.99632810958382501</v>
      </c>
      <c r="AF268" s="1">
        <v>24.351102883533901</v>
      </c>
      <c r="AG268" s="1">
        <v>47.179079301605199</v>
      </c>
      <c r="AH268" s="1">
        <v>0.99679740436867803</v>
      </c>
      <c r="AI268" s="1">
        <v>24.944978931101101</v>
      </c>
      <c r="AJ268" s="1">
        <v>334.99774432182301</v>
      </c>
      <c r="AK268" s="1">
        <v>184.09267854690501</v>
      </c>
      <c r="AL268" s="13">
        <f>bdrate(E268:E271,F268:F271,AC268:AC271,AD268:AD271)</f>
        <v>2.2286746490304044E-2</v>
      </c>
      <c r="AM268" s="12">
        <f>bdrate(E268:E271,H268:H271,AC268:AC271,AF268:AF271)</f>
        <v>-0.12633177691008091</v>
      </c>
      <c r="AN268" s="12">
        <f>bdrate(E268:E271,I268:I271,AC268:AC271,AG268:AG271)</f>
        <v>1.0463859607848347E-2</v>
      </c>
      <c r="AO268" s="14">
        <f>bdrate(E268:E271,K268:K271,AC268:AC271,AI268:AI271)</f>
        <v>-0.12067293840766014</v>
      </c>
      <c r="AP268" s="12">
        <f>bdrate(E270:E273,F270:F273,AC270:AC273,AD270:AD273)</f>
        <v>2.3389220034306213E-2</v>
      </c>
      <c r="AQ268" s="12">
        <f>bdrate(E270:E273,H270:H273,AC270:AC273,AF270:AF273)</f>
        <v>-0.26250577491700766</v>
      </c>
      <c r="AR268" s="12">
        <f>bdrate(E270:E273,I270:I273,AC270:AC273,AG270:AG273)</f>
        <v>-2.7104241422377662E-3</v>
      </c>
      <c r="AS268" s="14">
        <f>bdrate(E270:E273,K270:K273,AC270:AC273,AI270:AI273)</f>
        <v>-0.24449154066680379</v>
      </c>
      <c r="AT268" s="7">
        <v>6.4</v>
      </c>
      <c r="AU268" s="1">
        <v>1.58234414540252</v>
      </c>
      <c r="AV268" s="1">
        <v>40.135196836298498</v>
      </c>
      <c r="AW268" s="1">
        <v>0.99813384537884897</v>
      </c>
      <c r="AX268" s="1">
        <v>27.2905237541774</v>
      </c>
      <c r="AY268" s="1">
        <v>44.237994724945899</v>
      </c>
      <c r="AZ268" s="1">
        <v>0.99834147683146301</v>
      </c>
      <c r="BA268" s="1">
        <v>27.802784572784699</v>
      </c>
      <c r="BB268" s="1">
        <v>627.56149029731705</v>
      </c>
      <c r="BC268" s="1">
        <v>210.97334289550699</v>
      </c>
      <c r="BD268" s="13">
        <f>bdrate(E268:E271,F268:F271,AU268:AU271,AV268:AV271)</f>
        <v>1.0520981480334566</v>
      </c>
      <c r="BE268" s="12">
        <f>bdrate(E268:E271,H268:H271,AU268:AU271,AX268:AX271)</f>
        <v>-0.5119104048553873</v>
      </c>
      <c r="BF268" s="12">
        <f>bdrate(E268:E271,I268:I271,AU268:AU271,AY268:AY271)</f>
        <v>0.80448007611019023</v>
      </c>
      <c r="BG268" s="14">
        <f>bdrate(E268:E271,K268:K271,AU268:AU271,BA268:BA271)</f>
        <v>-0.4988451140989324</v>
      </c>
      <c r="BH268" s="12">
        <f>bdrate(E270:E273,F270:F273,AU270:AU273,AV270:AV273)</f>
        <v>0.85468754794906809</v>
      </c>
      <c r="BI268" s="12">
        <f>bdrate(E270:E273,H270:H273,AU270:AU273,AX270:AX273)</f>
        <v>-0.52562238584907539</v>
      </c>
      <c r="BJ268" s="12">
        <f>bdrate(E270:E273,I270:I273,AU270:AU273,AY270:AY273)</f>
        <v>0.75139509027540896</v>
      </c>
      <c r="BK268" s="14">
        <f>bdrate(E270:E273,K270:K273,AU270:AU273,BA270:BA273)</f>
        <v>-0.52171596565274592</v>
      </c>
    </row>
    <row r="269" spans="1:63">
      <c r="A269" s="49"/>
      <c r="B269" s="7" t="s">
        <v>18</v>
      </c>
      <c r="C269" s="17">
        <v>1</v>
      </c>
      <c r="D269" s="7">
        <v>24</v>
      </c>
      <c r="E269" s="1">
        <v>0.97158122786717604</v>
      </c>
      <c r="F269" s="1">
        <v>41.229883358783503</v>
      </c>
      <c r="G269" s="1">
        <v>0.99318551731405103</v>
      </c>
      <c r="H269" s="1">
        <v>21.6656710757185</v>
      </c>
      <c r="I269" s="1">
        <v>44.90679268505</v>
      </c>
      <c r="J269" s="1">
        <v>0.99383594938855502</v>
      </c>
      <c r="K269" s="8">
        <v>22.101338040579201</v>
      </c>
      <c r="L269" s="7">
        <v>22</v>
      </c>
      <c r="M269" s="1">
        <v>0.91349200076189296</v>
      </c>
      <c r="N269" s="1">
        <v>41.355486153546302</v>
      </c>
      <c r="O269" s="1">
        <v>0.99338955924893202</v>
      </c>
      <c r="P269" s="1">
        <v>21.797695829689399</v>
      </c>
      <c r="Q269" s="1">
        <v>45.054776121334498</v>
      </c>
      <c r="R269" s="1">
        <v>0.99401423772094799</v>
      </c>
      <c r="S269" s="8">
        <v>22.228805348974401</v>
      </c>
      <c r="T269" s="7"/>
      <c r="U269" s="1"/>
      <c r="V269" s="1"/>
      <c r="W269" s="8"/>
      <c r="X269" s="7"/>
      <c r="Y269" s="1"/>
      <c r="Z269" s="1"/>
      <c r="AA269" s="8"/>
      <c r="AB269" s="7">
        <v>128</v>
      </c>
      <c r="AC269" s="1">
        <v>1.0258337749640101</v>
      </c>
      <c r="AD269" s="1">
        <v>41.475974573248401</v>
      </c>
      <c r="AE269" s="1">
        <v>0.99389102966301801</v>
      </c>
      <c r="AF269" s="1">
        <v>22.140319836446</v>
      </c>
      <c r="AG269" s="1">
        <v>45.046936422000499</v>
      </c>
      <c r="AH269" s="1">
        <v>0.99451039250311102</v>
      </c>
      <c r="AI269" s="1">
        <v>22.604587061927202</v>
      </c>
      <c r="AJ269" s="1">
        <v>274.00158691406199</v>
      </c>
      <c r="AK269" s="1">
        <v>152.13096284866299</v>
      </c>
      <c r="AL269" s="7"/>
      <c r="AM269" s="1"/>
      <c r="AN269" s="1"/>
      <c r="AO269" s="8"/>
      <c r="AP269" s="1"/>
      <c r="AQ269" s="1"/>
      <c r="AR269" s="1"/>
      <c r="AS269" s="8"/>
      <c r="AT269" s="7">
        <v>3.2</v>
      </c>
      <c r="AU269" s="1">
        <v>1.0479150928849701</v>
      </c>
      <c r="AV269" s="1">
        <v>38.002026775249</v>
      </c>
      <c r="AW269" s="1">
        <v>0.996797537810028</v>
      </c>
      <c r="AX269" s="1">
        <v>24.945159890722699</v>
      </c>
      <c r="AY269" s="1">
        <v>42.450851147494099</v>
      </c>
      <c r="AZ269" s="1">
        <v>0.99711640725096595</v>
      </c>
      <c r="BA269" s="1">
        <v>25.400660752066099</v>
      </c>
      <c r="BB269" s="1">
        <v>824.83935928344704</v>
      </c>
      <c r="BC269" s="1">
        <v>292.12024927139203</v>
      </c>
      <c r="BD269" s="7"/>
      <c r="BE269" s="1"/>
      <c r="BF269" s="1"/>
      <c r="BG269" s="8"/>
      <c r="BH269" s="1"/>
      <c r="BI269" s="1"/>
      <c r="BJ269" s="1"/>
      <c r="BK269" s="8"/>
    </row>
    <row r="270" spans="1:63">
      <c r="A270" s="49"/>
      <c r="B270" s="7" t="s">
        <v>18</v>
      </c>
      <c r="C270" s="17">
        <v>0.5</v>
      </c>
      <c r="D270" s="7">
        <v>30</v>
      </c>
      <c r="E270" s="1">
        <v>0.47217402796979802</v>
      </c>
      <c r="F270" s="1">
        <v>37.465828052362397</v>
      </c>
      <c r="G270" s="1">
        <v>0.98786877954278096</v>
      </c>
      <c r="H270" s="1">
        <v>19.160955048900401</v>
      </c>
      <c r="I270" s="1">
        <v>41.469404575444003</v>
      </c>
      <c r="J270" s="1">
        <v>0.988794404343458</v>
      </c>
      <c r="K270" s="8">
        <v>19.505650526966701</v>
      </c>
      <c r="L270" s="7">
        <v>28</v>
      </c>
      <c r="M270" s="1">
        <v>0.45384322348499001</v>
      </c>
      <c r="N270" s="1">
        <v>37.8312621631217</v>
      </c>
      <c r="O270" s="1">
        <v>0.988592650867678</v>
      </c>
      <c r="P270" s="1">
        <v>19.428152662707099</v>
      </c>
      <c r="Q270" s="1">
        <v>41.924119437199899</v>
      </c>
      <c r="R270" s="1">
        <v>0.98938974877814601</v>
      </c>
      <c r="S270" s="8">
        <v>19.742743330663401</v>
      </c>
      <c r="T270" s="7"/>
      <c r="U270" s="1"/>
      <c r="V270" s="1"/>
      <c r="W270" s="8"/>
      <c r="X270" s="7"/>
      <c r="Y270" s="1"/>
      <c r="Z270" s="1"/>
      <c r="AA270" s="8"/>
      <c r="AB270" s="7">
        <v>32</v>
      </c>
      <c r="AC270" s="1">
        <v>0.47169460493598397</v>
      </c>
      <c r="AD270" s="1">
        <v>37.312046847384799</v>
      </c>
      <c r="AE270" s="1">
        <v>0.98944429462290595</v>
      </c>
      <c r="AF270" s="1">
        <v>19.765127399836501</v>
      </c>
      <c r="AG270" s="1">
        <v>41.4945841552235</v>
      </c>
      <c r="AH270" s="1">
        <v>0.99019014823144302</v>
      </c>
      <c r="AI270" s="1">
        <v>20.0833755496298</v>
      </c>
      <c r="AJ270" s="1">
        <v>188.66311001777601</v>
      </c>
      <c r="AK270" s="1">
        <v>107.46057629585199</v>
      </c>
      <c r="AL270" s="7"/>
      <c r="AM270" s="1"/>
      <c r="AN270" s="1"/>
      <c r="AO270" s="8"/>
      <c r="AP270" s="1"/>
      <c r="AQ270" s="1"/>
      <c r="AR270" s="1"/>
      <c r="AS270" s="8"/>
      <c r="AT270" s="7">
        <v>1.28</v>
      </c>
      <c r="AU270" s="1">
        <v>0.61733943539515401</v>
      </c>
      <c r="AV270" s="1">
        <v>35.379357104451501</v>
      </c>
      <c r="AW270" s="1">
        <v>0.99450817905228595</v>
      </c>
      <c r="AX270" s="1">
        <v>22.602836307010399</v>
      </c>
      <c r="AY270" s="1">
        <v>40.2103226846179</v>
      </c>
      <c r="AZ270" s="1">
        <v>0.99493139026076904</v>
      </c>
      <c r="BA270" s="1">
        <v>22.951111462639702</v>
      </c>
      <c r="BB270" s="1">
        <v>483.40125489234902</v>
      </c>
      <c r="BC270" s="1">
        <v>211.64487361907899</v>
      </c>
      <c r="BD270" s="7"/>
      <c r="BE270" s="1"/>
      <c r="BF270" s="1"/>
      <c r="BG270" s="8"/>
      <c r="BH270" s="1"/>
      <c r="BI270" s="1"/>
      <c r="BJ270" s="1"/>
      <c r="BK270" s="8"/>
    </row>
    <row r="271" spans="1:63">
      <c r="A271" s="49"/>
      <c r="B271" s="7" t="s">
        <v>18</v>
      </c>
      <c r="C271" s="17">
        <v>0.25</v>
      </c>
      <c r="D271" s="7">
        <v>34</v>
      </c>
      <c r="E271" s="1">
        <v>0.236301782546669</v>
      </c>
      <c r="F271" s="1">
        <v>34.746059478933098</v>
      </c>
      <c r="G271" s="1">
        <v>0.98022978621216394</v>
      </c>
      <c r="H271" s="1">
        <v>17.039886343597999</v>
      </c>
      <c r="I271" s="1">
        <v>39.058138122338399</v>
      </c>
      <c r="J271" s="1">
        <v>0.98131960665270501</v>
      </c>
      <c r="K271" s="8">
        <v>17.286139832043698</v>
      </c>
      <c r="L271" s="7">
        <v>32</v>
      </c>
      <c r="M271" s="1">
        <v>0.24037039964444901</v>
      </c>
      <c r="N271" s="1">
        <v>35.264511419176998</v>
      </c>
      <c r="O271" s="1">
        <v>0.98216115027946005</v>
      </c>
      <c r="P271" s="1">
        <v>17.486331531060799</v>
      </c>
      <c r="Q271" s="1">
        <v>39.689833472250797</v>
      </c>
      <c r="R271" s="1">
        <v>0.98306160629817496</v>
      </c>
      <c r="S271" s="8">
        <v>17.7112777697523</v>
      </c>
      <c r="T271" s="7"/>
      <c r="U271" s="1"/>
      <c r="V271" s="1"/>
      <c r="W271" s="8"/>
      <c r="X271" s="7"/>
      <c r="Y271" s="1"/>
      <c r="Z271" s="1"/>
      <c r="AA271" s="8"/>
      <c r="AB271" s="7">
        <v>16</v>
      </c>
      <c r="AC271" s="1">
        <v>0.28243653151688097</v>
      </c>
      <c r="AD271" s="1">
        <v>35.2500874071212</v>
      </c>
      <c r="AE271" s="1">
        <v>0.98532543232768199</v>
      </c>
      <c r="AF271" s="1">
        <v>18.334346846488401</v>
      </c>
      <c r="AG271" s="1">
        <v>39.644716022018301</v>
      </c>
      <c r="AH271" s="1">
        <v>0.98609562663281303</v>
      </c>
      <c r="AI271" s="1">
        <v>18.5684857884624</v>
      </c>
      <c r="AJ271" s="1">
        <v>181.70535254478401</v>
      </c>
      <c r="AK271" s="1">
        <v>110.929161787033</v>
      </c>
      <c r="AL271" s="7"/>
      <c r="AM271" s="1"/>
      <c r="AN271" s="1"/>
      <c r="AO271" s="8"/>
      <c r="AP271" s="1"/>
      <c r="AQ271" s="1"/>
      <c r="AR271" s="1"/>
      <c r="AS271" s="8"/>
      <c r="AT271" s="7">
        <v>0.32</v>
      </c>
      <c r="AU271" s="1">
        <v>0.232905653434159</v>
      </c>
      <c r="AV271" s="1">
        <v>32.986887208937098</v>
      </c>
      <c r="AW271" s="1">
        <v>0.98849899509247297</v>
      </c>
      <c r="AX271" s="1">
        <v>19.392642112353901</v>
      </c>
      <c r="AY271" s="1">
        <v>37.683128511024996</v>
      </c>
      <c r="AZ271" s="1">
        <v>0.98926497468337904</v>
      </c>
      <c r="BA271" s="1">
        <v>19.691969270213502</v>
      </c>
      <c r="BB271" s="1">
        <v>355.52992010116498</v>
      </c>
      <c r="BC271" s="1">
        <v>204.66797423362701</v>
      </c>
      <c r="BD271" s="7"/>
      <c r="BE271" s="1"/>
      <c r="BF271" s="1"/>
      <c r="BG271" s="8"/>
      <c r="BH271" s="1"/>
      <c r="BI271" s="1"/>
      <c r="BJ271" s="1"/>
      <c r="BK271" s="8"/>
    </row>
    <row r="272" spans="1:63">
      <c r="A272" s="49"/>
      <c r="B272" s="7" t="s">
        <v>18</v>
      </c>
      <c r="C272" s="17">
        <v>0.12</v>
      </c>
      <c r="D272" s="7">
        <v>38</v>
      </c>
      <c r="E272" s="1">
        <v>0.119909531577781</v>
      </c>
      <c r="F272" s="1">
        <v>32.8868318877783</v>
      </c>
      <c r="G272" s="1">
        <v>0.97163992259931597</v>
      </c>
      <c r="H272" s="1">
        <v>15.4729258820533</v>
      </c>
      <c r="I272" s="1">
        <v>37.384837575227202</v>
      </c>
      <c r="J272" s="1">
        <v>0.97282141179047599</v>
      </c>
      <c r="K272" s="8">
        <v>15.657731064239</v>
      </c>
      <c r="L272" s="7">
        <v>36</v>
      </c>
      <c r="M272" s="1">
        <v>0.114079358765213</v>
      </c>
      <c r="N272" s="1">
        <v>33.168896075017599</v>
      </c>
      <c r="O272" s="1">
        <v>0.97281609767580601</v>
      </c>
      <c r="P272" s="1">
        <v>15.6568819895692</v>
      </c>
      <c r="Q272" s="1">
        <v>37.788898280067301</v>
      </c>
      <c r="R272" s="1">
        <v>0.97384519055900898</v>
      </c>
      <c r="S272" s="8">
        <v>15.824484398127099</v>
      </c>
      <c r="T272" s="7"/>
      <c r="U272" s="1"/>
      <c r="V272" s="1"/>
      <c r="W272" s="8"/>
      <c r="X272" s="7"/>
      <c r="Y272" s="1"/>
      <c r="Z272" s="1"/>
      <c r="AA272" s="8"/>
      <c r="AB272" s="7">
        <v>4</v>
      </c>
      <c r="AC272" s="1">
        <v>9.0360228101705006E-2</v>
      </c>
      <c r="AD272" s="1">
        <v>32.083912880713797</v>
      </c>
      <c r="AE272" s="1">
        <v>0.97210742526932103</v>
      </c>
      <c r="AF272" s="1">
        <v>15.545113946721001</v>
      </c>
      <c r="AG272" s="1">
        <v>36.578161173186601</v>
      </c>
      <c r="AH272" s="1">
        <v>0.97294033911986599</v>
      </c>
      <c r="AI272" s="1">
        <v>15.676776504142801</v>
      </c>
      <c r="AJ272" s="1">
        <v>328.969341278076</v>
      </c>
      <c r="AK272" s="1">
        <v>209.327571630477</v>
      </c>
      <c r="AL272" s="7"/>
      <c r="AM272" s="1"/>
      <c r="AN272" s="1"/>
      <c r="AO272" s="8"/>
      <c r="AP272" s="1"/>
      <c r="AQ272" s="1"/>
      <c r="AR272" s="1"/>
      <c r="AS272" s="8"/>
      <c r="AT272" s="7">
        <v>0.08</v>
      </c>
      <c r="AU272" s="1">
        <v>0.10485823979185201</v>
      </c>
      <c r="AV272" s="1">
        <v>31.2692133390685</v>
      </c>
      <c r="AW272" s="1">
        <v>0.97938511850132004</v>
      </c>
      <c r="AX272" s="1">
        <v>16.858191573272101</v>
      </c>
      <c r="AY272" s="1">
        <v>35.220794180711202</v>
      </c>
      <c r="AZ272" s="1">
        <v>0.98036726428215204</v>
      </c>
      <c r="BA272" s="1">
        <v>17.0701917954501</v>
      </c>
      <c r="BB272" s="1">
        <v>144.62397670745801</v>
      </c>
      <c r="BC272" s="1">
        <v>98.747073650360093</v>
      </c>
      <c r="BD272" s="7"/>
      <c r="BE272" s="1"/>
      <c r="BF272" s="1"/>
      <c r="BG272" s="8"/>
      <c r="BH272" s="1"/>
      <c r="BI272" s="1"/>
      <c r="BJ272" s="1"/>
      <c r="BK272" s="8"/>
    </row>
    <row r="273" spans="1:63">
      <c r="A273" s="49"/>
      <c r="B273" s="7" t="s">
        <v>18</v>
      </c>
      <c r="C273" s="17">
        <v>0.06</v>
      </c>
      <c r="D273" s="7">
        <v>43</v>
      </c>
      <c r="E273" s="1">
        <v>5.66619717762364E-2</v>
      </c>
      <c r="F273" s="1">
        <v>30.903675074234201</v>
      </c>
      <c r="G273" s="1">
        <v>0.95801026725406402</v>
      </c>
      <c r="H273" s="1">
        <v>13.7685688952817</v>
      </c>
      <c r="I273" s="1">
        <v>35.220984859362297</v>
      </c>
      <c r="J273" s="1">
        <v>0.95942955093695903</v>
      </c>
      <c r="K273" s="8">
        <v>13.917901851839799</v>
      </c>
      <c r="L273" s="7">
        <v>41</v>
      </c>
      <c r="M273" s="1">
        <v>5.3210125932769303E-2</v>
      </c>
      <c r="N273" s="1">
        <v>31.2517721428868</v>
      </c>
      <c r="O273" s="1">
        <v>0.96042014846109003</v>
      </c>
      <c r="P273" s="1">
        <v>14.0252583913298</v>
      </c>
      <c r="Q273" s="1">
        <v>35.824603839611598</v>
      </c>
      <c r="R273" s="1">
        <v>0.96160141641666996</v>
      </c>
      <c r="S273" s="8">
        <v>14.156847952493701</v>
      </c>
      <c r="T273" s="7"/>
      <c r="U273" s="1"/>
      <c r="V273" s="1"/>
      <c r="W273" s="8"/>
      <c r="X273" s="7"/>
      <c r="Y273" s="1"/>
      <c r="Z273" s="1"/>
      <c r="AA273" s="8"/>
      <c r="AB273" s="7">
        <v>2</v>
      </c>
      <c r="AC273" s="1">
        <v>5.5085058716364203E-2</v>
      </c>
      <c r="AD273" s="1">
        <v>30.694305646015501</v>
      </c>
      <c r="AE273" s="1">
        <v>0.96373712174627202</v>
      </c>
      <c r="AF273" s="1">
        <v>14.4053772809207</v>
      </c>
      <c r="AG273" s="1">
        <v>35.1426563017245</v>
      </c>
      <c r="AH273" s="1">
        <v>0.96479744675007895</v>
      </c>
      <c r="AI273" s="1">
        <v>14.5342583589296</v>
      </c>
      <c r="AJ273" s="1">
        <v>341.16953969001702</v>
      </c>
      <c r="AK273" s="1">
        <v>202.212179422378</v>
      </c>
      <c r="AL273" s="7"/>
      <c r="AM273" s="1"/>
      <c r="AN273" s="1"/>
      <c r="AO273" s="8"/>
      <c r="AP273" s="1"/>
      <c r="AQ273" s="1"/>
      <c r="AR273" s="1"/>
      <c r="AS273" s="8"/>
      <c r="AT273" s="7">
        <v>0.04</v>
      </c>
      <c r="AU273" s="1">
        <v>6.00244117025866E-2</v>
      </c>
      <c r="AV273" s="1">
        <v>30.055734305476399</v>
      </c>
      <c r="AW273" s="1">
        <v>0.971220545005261</v>
      </c>
      <c r="AX273" s="1">
        <v>15.4091743468777</v>
      </c>
      <c r="AY273" s="1">
        <v>33.869673768796403</v>
      </c>
      <c r="AZ273" s="1">
        <v>0.972450881158333</v>
      </c>
      <c r="BA273" s="1">
        <v>15.5989228749539</v>
      </c>
      <c r="BB273" s="1">
        <v>174.53467106819099</v>
      </c>
      <c r="BC273" s="1">
        <v>129.821083068847</v>
      </c>
      <c r="BD273" s="7"/>
      <c r="BE273" s="1"/>
      <c r="BF273" s="1"/>
      <c r="BG273" s="8"/>
      <c r="BH273" s="1"/>
      <c r="BI273" s="1"/>
      <c r="BJ273" s="1"/>
      <c r="BK273" s="8"/>
    </row>
    <row r="274" spans="1:63">
      <c r="A274" s="49"/>
      <c r="B274" s="7" t="s">
        <v>65</v>
      </c>
      <c r="C274" s="17">
        <v>1.5</v>
      </c>
      <c r="D274" s="7">
        <v>23</v>
      </c>
      <c r="E274" s="1">
        <v>1.4552592901727299</v>
      </c>
      <c r="F274" s="1">
        <v>41.173651438533703</v>
      </c>
      <c r="G274" s="1">
        <v>0.99134887306730202</v>
      </c>
      <c r="H274" s="1">
        <v>20.629273157983601</v>
      </c>
      <c r="I274" s="1">
        <v>44.488307782929802</v>
      </c>
      <c r="J274" s="1">
        <v>0.99317310521249402</v>
      </c>
      <c r="K274" s="8">
        <v>21.6577679021375</v>
      </c>
      <c r="L274" s="7">
        <v>21</v>
      </c>
      <c r="M274" s="1">
        <v>1.4089913872356801</v>
      </c>
      <c r="N274" s="1">
        <v>41.445237556529896</v>
      </c>
      <c r="O274" s="1">
        <v>0.99210135961770995</v>
      </c>
      <c r="P274" s="1">
        <v>21.024476587457801</v>
      </c>
      <c r="Q274" s="1">
        <v>44.668581982370199</v>
      </c>
      <c r="R274" s="1">
        <v>0.99394816349235104</v>
      </c>
      <c r="S274" s="8">
        <v>22.181128130984899</v>
      </c>
      <c r="T274" s="13">
        <f>bdrate(E274:E277,F274:F277,M274:M277,N274:N277)</f>
        <v>-9.3430939184334871E-2</v>
      </c>
      <c r="U274" s="12">
        <f>bdrate(E274:E277,H274:H277,M274:M277,P274:P277)</f>
        <v>-0.10071567207114007</v>
      </c>
      <c r="V274" s="12">
        <f>bdrate(E274:E277,I274:I277,M274:M277,Q274:Q277)</f>
        <v>-7.557483657110553E-2</v>
      </c>
      <c r="W274" s="14">
        <f>bdrate(E274:E277,K274:K277,M274:M277,S274:S277)</f>
        <v>-9.1737353855338988E-2</v>
      </c>
      <c r="X274" s="13">
        <f>bdrate(E276:E279,F276:F279,M276:M279,N276:N279)</f>
        <v>-0.18250930336564497</v>
      </c>
      <c r="Y274" s="12">
        <f>bdrate(E276:E279,H276:H279,M276:M279,P276:P279)</f>
        <v>-0.21337886062753053</v>
      </c>
      <c r="Z274" s="12">
        <f>bdrate(E276:E279,I276:I279,M276:M279,Q276:Q279)</f>
        <v>-0.22833398476742472</v>
      </c>
      <c r="AA274" s="14">
        <f>bdrate(E276:E279,K276:K279,M276:M279,S276:S279)</f>
        <v>-0.16863913360242322</v>
      </c>
      <c r="AB274" s="7">
        <v>256</v>
      </c>
      <c r="AC274" s="1">
        <v>2.0854162130449501</v>
      </c>
      <c r="AD274" s="1">
        <v>43.888918001943303</v>
      </c>
      <c r="AE274" s="1">
        <v>0.99584643498472403</v>
      </c>
      <c r="AF274" s="1">
        <v>23.815789871839101</v>
      </c>
      <c r="AG274" s="1">
        <v>46.835798799418903</v>
      </c>
      <c r="AH274" s="1">
        <v>0.99687494308598301</v>
      </c>
      <c r="AI274" s="1">
        <v>25.051420688100901</v>
      </c>
      <c r="AJ274" s="1">
        <v>298.23877692222499</v>
      </c>
      <c r="AK274" s="1">
        <v>155.15485763549799</v>
      </c>
      <c r="AL274" s="13">
        <f>bdrate(E274:E277,F274:F277,AC274:AC277,AD274:AD277)</f>
        <v>4.2414291574254248E-2</v>
      </c>
      <c r="AM274" s="12">
        <f>bdrate(E274:E277,H274:H277,AC274:AC277,AF274:AF277)</f>
        <v>-0.1334200470087068</v>
      </c>
      <c r="AN274" s="12">
        <f>bdrate(E274:E277,I274:I277,AC274:AC277,AG274:AG277)</f>
        <v>-2.3544044184251378E-2</v>
      </c>
      <c r="AO274" s="14">
        <f>bdrate(E274:E277,K274:K277,AC274:AC277,AI274:AI277)</f>
        <v>-4.4503936591203219E-2</v>
      </c>
      <c r="AP274" s="12">
        <f>bdrate(E276:E279,F276:F279,AC276:AC279,AD276:AD279)</f>
        <v>-0.17767135884945839</v>
      </c>
      <c r="AQ274" s="12">
        <f>bdrate(E276:E279,H276:H279,AC276:AC279,AF276:AF279)</f>
        <v>-0.25713747742716375</v>
      </c>
      <c r="AR274" s="12">
        <f>bdrate(E276:E279,I276:I279,AC276:AC279,AG276:AG279)</f>
        <v>-0.33345843519358642</v>
      </c>
      <c r="AS274" s="14">
        <f>bdrate(E276:E279,K276:K279,AC276:AC279,AI276:AI279)</f>
        <v>-0.15018068670696583</v>
      </c>
      <c r="AT274" s="7">
        <v>3.2</v>
      </c>
      <c r="AU274" s="1">
        <v>1.63009039168723</v>
      </c>
      <c r="AV274" s="1">
        <v>39.678211181724997</v>
      </c>
      <c r="AW274" s="1">
        <v>0.99595818213902199</v>
      </c>
      <c r="AX274" s="1">
        <v>23.9342326126967</v>
      </c>
      <c r="AY274" s="1">
        <v>43.359750315370803</v>
      </c>
      <c r="AZ274" s="1">
        <v>0.99656623293070301</v>
      </c>
      <c r="BA274" s="1">
        <v>24.642291686829999</v>
      </c>
      <c r="BB274" s="1">
        <v>621.96814751625004</v>
      </c>
      <c r="BC274" s="1">
        <v>232.234262228012</v>
      </c>
      <c r="BD274" s="13">
        <f>bdrate(E274:E277,F274:F277,AU274:AU277,AV274:AV277)</f>
        <v>0.62264015094754988</v>
      </c>
      <c r="BE274" s="12">
        <f>bdrate(E274:E277,H274:H277,AU274:AU277,AX274:AX277)</f>
        <v>-0.56071491910792481</v>
      </c>
      <c r="BF274" s="12">
        <f>bdrate(E274:E277,I274:I277,AU274:AU277,AY274:AY277)</f>
        <v>0.4556808809368289</v>
      </c>
      <c r="BG274" s="14">
        <f>bdrate(E274:E277,K274:K277,AU274:AU277,BA274:BA277)</f>
        <v>-0.50176763478776276</v>
      </c>
      <c r="BH274" s="12">
        <f>bdrate(E276:E279,F276:F279,AU276:AU279,AV276:AV279)</f>
        <v>0.99537066206949532</v>
      </c>
      <c r="BI274" s="12">
        <f>bdrate(E276:E279,H276:H279,AU276:AU279,AX276:AX279)</f>
        <v>-0.55576987403777967</v>
      </c>
      <c r="BJ274" s="12">
        <f>bdrate(E276:E279,I276:I279,AU276:AU279,AY276:AY279)</f>
        <v>1.018046826924714</v>
      </c>
      <c r="BK274" s="14">
        <f>bdrate(E276:E279,K276:K279,AU276:AU279,BA276:BA279)</f>
        <v>-0.51824443419011623</v>
      </c>
    </row>
    <row r="275" spans="1:63">
      <c r="A275" s="49"/>
      <c r="B275" s="7" t="s">
        <v>18</v>
      </c>
      <c r="C275" s="17">
        <v>1</v>
      </c>
      <c r="D275" s="7">
        <v>25</v>
      </c>
      <c r="E275" s="1">
        <v>0.96747834712343295</v>
      </c>
      <c r="F275" s="1">
        <v>38.829050301715597</v>
      </c>
      <c r="G275" s="1">
        <v>0.98573047531704705</v>
      </c>
      <c r="H275" s="1">
        <v>18.4559049296866</v>
      </c>
      <c r="I275" s="1">
        <v>42.406806007546102</v>
      </c>
      <c r="J275" s="1">
        <v>0.98786198669521097</v>
      </c>
      <c r="K275" s="8">
        <v>19.158523908039299</v>
      </c>
      <c r="L275" s="7">
        <v>24</v>
      </c>
      <c r="M275" s="1">
        <v>0.83910491363042505</v>
      </c>
      <c r="N275" s="1">
        <v>38.660281359039899</v>
      </c>
      <c r="O275" s="1">
        <v>0.98530274891051295</v>
      </c>
      <c r="P275" s="1">
        <v>18.3276388622497</v>
      </c>
      <c r="Q275" s="1">
        <v>42.184157698002103</v>
      </c>
      <c r="R275" s="1">
        <v>0.98742678538810602</v>
      </c>
      <c r="S275" s="8">
        <v>19.005536714212901</v>
      </c>
      <c r="T275" s="7"/>
      <c r="U275" s="1"/>
      <c r="V275" s="1"/>
      <c r="W275" s="8"/>
      <c r="X275" s="7"/>
      <c r="Y275" s="1"/>
      <c r="Z275" s="1"/>
      <c r="AA275" s="8"/>
      <c r="AB275" s="7">
        <v>128</v>
      </c>
      <c r="AC275" s="1">
        <v>1.5140388360671599</v>
      </c>
      <c r="AD275" s="1">
        <v>41.167173653773602</v>
      </c>
      <c r="AE275" s="1">
        <v>0.99257950473240897</v>
      </c>
      <c r="AF275" s="1">
        <v>21.295671075506799</v>
      </c>
      <c r="AG275" s="1">
        <v>44.491728610619603</v>
      </c>
      <c r="AH275" s="1">
        <v>0.99364800714358703</v>
      </c>
      <c r="AI275" s="1">
        <v>21.970899989975699</v>
      </c>
      <c r="AJ275" s="1">
        <v>239.01821947097699</v>
      </c>
      <c r="AK275" s="1">
        <v>129.650279521942</v>
      </c>
      <c r="AL275" s="7"/>
      <c r="AM275" s="1"/>
      <c r="AN275" s="1"/>
      <c r="AO275" s="8"/>
      <c r="AP275" s="1"/>
      <c r="AQ275" s="1"/>
      <c r="AR275" s="1"/>
      <c r="AS275" s="8"/>
      <c r="AT275" s="7">
        <v>1.28</v>
      </c>
      <c r="AU275" s="1">
        <v>0.73867382179319596</v>
      </c>
      <c r="AV275" s="1">
        <v>36.553717052889702</v>
      </c>
      <c r="AW275" s="1">
        <v>0.99087297968172805</v>
      </c>
      <c r="AX275" s="1">
        <v>20.396709826567498</v>
      </c>
      <c r="AY275" s="1">
        <v>40.688703059123</v>
      </c>
      <c r="AZ275" s="1">
        <v>0.99170577745944</v>
      </c>
      <c r="BA275" s="1">
        <v>20.812243163507901</v>
      </c>
      <c r="BB275" s="1">
        <v>422.74488520622202</v>
      </c>
      <c r="BC275" s="1">
        <v>178.86397933959901</v>
      </c>
      <c r="BD275" s="7"/>
      <c r="BE275" s="1"/>
      <c r="BF275" s="1"/>
      <c r="BG275" s="8"/>
      <c r="BH275" s="1"/>
      <c r="BI275" s="1"/>
      <c r="BJ275" s="1"/>
      <c r="BK275" s="8"/>
    </row>
    <row r="276" spans="1:63">
      <c r="A276" s="49"/>
      <c r="B276" s="7" t="s">
        <v>18</v>
      </c>
      <c r="C276" s="17">
        <v>0.5</v>
      </c>
      <c r="D276" s="7">
        <v>27</v>
      </c>
      <c r="E276" s="1">
        <v>0.394442226738278</v>
      </c>
      <c r="F276" s="1">
        <v>36.398333991393102</v>
      </c>
      <c r="G276" s="1">
        <v>0.97620423664595102</v>
      </c>
      <c r="H276" s="1">
        <v>16.235003587310199</v>
      </c>
      <c r="I276" s="1">
        <v>40.303309280468802</v>
      </c>
      <c r="J276" s="1">
        <v>0.97865481764900797</v>
      </c>
      <c r="K276" s="8">
        <v>16.707001306847499</v>
      </c>
      <c r="L276" s="7">
        <v>26</v>
      </c>
      <c r="M276" s="1">
        <v>0.32726311874002001</v>
      </c>
      <c r="N276" s="1">
        <v>36.295435986182703</v>
      </c>
      <c r="O276" s="1">
        <v>0.97561319051200401</v>
      </c>
      <c r="P276" s="1">
        <v>16.128450144625798</v>
      </c>
      <c r="Q276" s="1">
        <v>40.191558454565801</v>
      </c>
      <c r="R276" s="1">
        <v>0.97781901009206196</v>
      </c>
      <c r="S276" s="8">
        <v>16.540190757720001</v>
      </c>
      <c r="T276" s="7"/>
      <c r="U276" s="1"/>
      <c r="V276" s="1"/>
      <c r="W276" s="8"/>
      <c r="X276" s="7"/>
      <c r="Y276" s="1"/>
      <c r="Z276" s="1"/>
      <c r="AA276" s="8"/>
      <c r="AB276" s="7">
        <v>64</v>
      </c>
      <c r="AC276" s="1">
        <v>0.72985390356607105</v>
      </c>
      <c r="AD276" s="1">
        <v>37.4460542297751</v>
      </c>
      <c r="AE276" s="1">
        <v>0.983680547786281</v>
      </c>
      <c r="AF276" s="1">
        <v>17.872944230669699</v>
      </c>
      <c r="AG276" s="1">
        <v>41.401149239148801</v>
      </c>
      <c r="AH276" s="1">
        <v>0.98485359288108698</v>
      </c>
      <c r="AI276" s="1">
        <v>18.1969037399226</v>
      </c>
      <c r="AJ276" s="1">
        <v>210.23673033714201</v>
      </c>
      <c r="AK276" s="1">
        <v>112.44872307777401</v>
      </c>
      <c r="AL276" s="7"/>
      <c r="AM276" s="1"/>
      <c r="AN276" s="1"/>
      <c r="AO276" s="8"/>
      <c r="AP276" s="1"/>
      <c r="AQ276" s="1"/>
      <c r="AR276" s="1"/>
      <c r="AS276" s="8"/>
      <c r="AT276" s="7">
        <v>0.64</v>
      </c>
      <c r="AU276" s="1">
        <v>0.494911120385155</v>
      </c>
      <c r="AV276" s="1">
        <v>35.890392903263098</v>
      </c>
      <c r="AW276" s="1">
        <v>0.98834962681327099</v>
      </c>
      <c r="AX276" s="1">
        <v>19.3366016302069</v>
      </c>
      <c r="AY276" s="1">
        <v>39.950193259870801</v>
      </c>
      <c r="AZ276" s="1">
        <v>0.98937489144789803</v>
      </c>
      <c r="BA276" s="1">
        <v>19.736666242576</v>
      </c>
      <c r="BB276" s="1">
        <v>252.31372618675201</v>
      </c>
      <c r="BC276" s="1">
        <v>140.26716566085801</v>
      </c>
      <c r="BD276" s="7"/>
      <c r="BE276" s="1"/>
      <c r="BF276" s="1"/>
      <c r="BG276" s="8"/>
      <c r="BH276" s="1"/>
      <c r="BI276" s="1"/>
      <c r="BJ276" s="1"/>
      <c r="BK276" s="8"/>
    </row>
    <row r="277" spans="1:63">
      <c r="A277" s="49"/>
      <c r="B277" s="7" t="s">
        <v>18</v>
      </c>
      <c r="C277" s="17">
        <v>0.25</v>
      </c>
      <c r="D277" s="7">
        <v>28</v>
      </c>
      <c r="E277" s="1">
        <v>0.24165940871921399</v>
      </c>
      <c r="F277" s="1">
        <v>35.767953353386503</v>
      </c>
      <c r="G277" s="1">
        <v>0.97188326031626504</v>
      </c>
      <c r="H277" s="1">
        <v>15.5103503996279</v>
      </c>
      <c r="I277" s="1">
        <v>39.729403838503799</v>
      </c>
      <c r="J277" s="1">
        <v>0.97446835383705699</v>
      </c>
      <c r="K277" s="8">
        <v>15.929211829852401</v>
      </c>
      <c r="L277" s="7">
        <v>27</v>
      </c>
      <c r="M277" s="1">
        <v>0.19271060144191199</v>
      </c>
      <c r="N277" s="1">
        <v>35.708084785857302</v>
      </c>
      <c r="O277" s="1">
        <v>0.97162468365121102</v>
      </c>
      <c r="P277" s="1">
        <v>15.4705928793918</v>
      </c>
      <c r="Q277" s="1">
        <v>39.688818021373102</v>
      </c>
      <c r="R277" s="1">
        <v>0.97382422493806498</v>
      </c>
      <c r="S277" s="8">
        <v>15.82100450045</v>
      </c>
      <c r="T277" s="7"/>
      <c r="U277" s="1"/>
      <c r="V277" s="1"/>
      <c r="W277" s="8"/>
      <c r="X277" s="7"/>
      <c r="Y277" s="1"/>
      <c r="Z277" s="1"/>
      <c r="AA277" s="8"/>
      <c r="AB277" s="7">
        <v>32</v>
      </c>
      <c r="AC277" s="1">
        <v>0.18783946025064099</v>
      </c>
      <c r="AD277" s="1">
        <v>35.700518264885801</v>
      </c>
      <c r="AE277" s="1">
        <v>0.97212761720528496</v>
      </c>
      <c r="AF277" s="1">
        <v>15.548259021025901</v>
      </c>
      <c r="AG277" s="1">
        <v>39.870050512630201</v>
      </c>
      <c r="AH277" s="1">
        <v>0.97358559313621795</v>
      </c>
      <c r="AI277" s="1">
        <v>15.7815913696185</v>
      </c>
      <c r="AJ277" s="1">
        <v>164.25787234306301</v>
      </c>
      <c r="AK277" s="1">
        <v>90.439526081085205</v>
      </c>
      <c r="AL277" s="7"/>
      <c r="AM277" s="1"/>
      <c r="AN277" s="1"/>
      <c r="AO277" s="8"/>
      <c r="AP277" s="1"/>
      <c r="AQ277" s="1"/>
      <c r="AR277" s="1"/>
      <c r="AS277" s="8"/>
      <c r="AT277" s="7">
        <v>0.32</v>
      </c>
      <c r="AU277" s="1">
        <v>0.36772768785987298</v>
      </c>
      <c r="AV277" s="1">
        <v>35.5040804461661</v>
      </c>
      <c r="AW277" s="1">
        <v>0.98501991722445903</v>
      </c>
      <c r="AX277" s="1">
        <v>18.244857868460901</v>
      </c>
      <c r="AY277" s="1">
        <v>39.419245904567198</v>
      </c>
      <c r="AZ277" s="1">
        <v>0.98627490500738102</v>
      </c>
      <c r="BA277" s="1">
        <v>18.624846410762299</v>
      </c>
      <c r="BB277" s="1">
        <v>323.25903916358902</v>
      </c>
      <c r="BC277" s="1">
        <v>184.125675439834</v>
      </c>
      <c r="BD277" s="7"/>
      <c r="BE277" s="1"/>
      <c r="BF277" s="1"/>
      <c r="BG277" s="8"/>
      <c r="BH277" s="1"/>
      <c r="BI277" s="1"/>
      <c r="BJ277" s="1"/>
      <c r="BK277" s="8"/>
    </row>
    <row r="278" spans="1:63">
      <c r="A278" s="49"/>
      <c r="B278" s="7" t="s">
        <v>18</v>
      </c>
      <c r="C278" s="17">
        <v>0.12</v>
      </c>
      <c r="D278" s="7">
        <v>31</v>
      </c>
      <c r="E278" s="1">
        <v>0.117810851841099</v>
      </c>
      <c r="F278" s="1">
        <v>35.145291005456698</v>
      </c>
      <c r="G278" s="1">
        <v>0.96468589622699397</v>
      </c>
      <c r="H278" s="1">
        <v>14.5205181111399</v>
      </c>
      <c r="I278" s="1">
        <v>39.000644098250802</v>
      </c>
      <c r="J278" s="1">
        <v>0.96777733119023301</v>
      </c>
      <c r="K278" s="8">
        <v>14.9183849242844</v>
      </c>
      <c r="L278" s="7">
        <v>29</v>
      </c>
      <c r="M278" s="1">
        <v>0.10798767358590899</v>
      </c>
      <c r="N278" s="1">
        <v>35.263654368712402</v>
      </c>
      <c r="O278" s="1">
        <v>0.96662551867163304</v>
      </c>
      <c r="P278" s="1">
        <v>14.765854749301001</v>
      </c>
      <c r="Q278" s="1">
        <v>39.226326644497497</v>
      </c>
      <c r="R278" s="1">
        <v>0.96899607246882602</v>
      </c>
      <c r="S278" s="8">
        <v>15.085832869052799</v>
      </c>
      <c r="T278" s="7"/>
      <c r="U278" s="1"/>
      <c r="V278" s="1"/>
      <c r="W278" s="8"/>
      <c r="X278" s="7"/>
      <c r="Y278" s="1"/>
      <c r="Z278" s="1"/>
      <c r="AA278" s="8"/>
      <c r="AB278" s="7">
        <v>16</v>
      </c>
      <c r="AC278" s="1">
        <v>8.7912644554120095E-2</v>
      </c>
      <c r="AD278" s="1">
        <v>35.109108080862804</v>
      </c>
      <c r="AE278" s="1">
        <v>0.96488429237082496</v>
      </c>
      <c r="AF278" s="1">
        <v>14.544985755361999</v>
      </c>
      <c r="AG278" s="1">
        <v>39.158650807156697</v>
      </c>
      <c r="AH278" s="1">
        <v>0.96657517839085505</v>
      </c>
      <c r="AI278" s="1">
        <v>14.759309019229899</v>
      </c>
      <c r="AJ278" s="1">
        <v>169.99878883361799</v>
      </c>
      <c r="AK278" s="1">
        <v>108.999704360961</v>
      </c>
      <c r="AL278" s="7"/>
      <c r="AM278" s="1"/>
      <c r="AN278" s="1"/>
      <c r="AO278" s="8"/>
      <c r="AP278" s="1"/>
      <c r="AQ278" s="1"/>
      <c r="AR278" s="1"/>
      <c r="AS278" s="8"/>
      <c r="AT278" s="7">
        <v>0.16</v>
      </c>
      <c r="AU278" s="1">
        <v>0.160662983258334</v>
      </c>
      <c r="AV278" s="1">
        <v>34.8106082472747</v>
      </c>
      <c r="AW278" s="1">
        <v>0.97591775188116203</v>
      </c>
      <c r="AX278" s="1">
        <v>16.1830297339292</v>
      </c>
      <c r="AY278" s="1">
        <v>38.5366375529591</v>
      </c>
      <c r="AZ278" s="1">
        <v>0.97748694928703295</v>
      </c>
      <c r="BA278" s="1">
        <v>16.475656503555498</v>
      </c>
      <c r="BB278" s="1">
        <v>223.91703748703</v>
      </c>
      <c r="BC278" s="1">
        <v>129.33050537109301</v>
      </c>
      <c r="BD278" s="7"/>
      <c r="BE278" s="1"/>
      <c r="BF278" s="1"/>
      <c r="BG278" s="8"/>
      <c r="BH278" s="1"/>
      <c r="BI278" s="1"/>
      <c r="BJ278" s="1"/>
      <c r="BK278" s="8"/>
    </row>
    <row r="279" spans="1:63">
      <c r="A279" s="49"/>
      <c r="B279" s="7" t="s">
        <v>18</v>
      </c>
      <c r="C279" s="17">
        <v>0.06</v>
      </c>
      <c r="D279" s="7">
        <v>36</v>
      </c>
      <c r="E279" s="1">
        <v>5.5543710988532398E-2</v>
      </c>
      <c r="F279" s="1">
        <v>34.459736352143302</v>
      </c>
      <c r="G279" s="1">
        <v>0.95623700102495801</v>
      </c>
      <c r="H279" s="1">
        <v>13.588929244789099</v>
      </c>
      <c r="I279" s="1">
        <v>38.074917687815798</v>
      </c>
      <c r="J279" s="1">
        <v>0.96047828415250902</v>
      </c>
      <c r="K279" s="8">
        <v>14.0316420864613</v>
      </c>
      <c r="L279" s="7">
        <v>33</v>
      </c>
      <c r="M279" s="1">
        <v>5.4152604393477501E-2</v>
      </c>
      <c r="N279" s="1">
        <v>34.7510265196847</v>
      </c>
      <c r="O279" s="1">
        <v>0.960006197804252</v>
      </c>
      <c r="P279" s="1">
        <v>13.9800730569051</v>
      </c>
      <c r="Q279" s="1">
        <v>38.581800967310599</v>
      </c>
      <c r="R279" s="1">
        <v>0.96286786321087503</v>
      </c>
      <c r="S279" s="8">
        <v>14.3025005834119</v>
      </c>
      <c r="T279" s="7"/>
      <c r="U279" s="1"/>
      <c r="V279" s="1"/>
      <c r="W279" s="8"/>
      <c r="X279" s="7"/>
      <c r="Y279" s="1"/>
      <c r="Z279" s="1"/>
      <c r="AA279" s="8"/>
      <c r="AB279" s="7">
        <v>8</v>
      </c>
      <c r="AC279" s="1">
        <v>5.8347093192045202E-2</v>
      </c>
      <c r="AD279" s="1">
        <v>34.775686379171098</v>
      </c>
      <c r="AE279" s="1">
        <v>0.96121490632907403</v>
      </c>
      <c r="AF279" s="1">
        <v>14.113351553422101</v>
      </c>
      <c r="AG279" s="1">
        <v>38.662177151266697</v>
      </c>
      <c r="AH279" s="1">
        <v>0.963202516405123</v>
      </c>
      <c r="AI279" s="1">
        <v>14.3418187964784</v>
      </c>
      <c r="AJ279" s="1">
        <v>135.70714521407999</v>
      </c>
      <c r="AK279" s="1">
        <v>86.451352119445801</v>
      </c>
      <c r="AL279" s="7"/>
      <c r="AM279" s="1"/>
      <c r="AN279" s="1"/>
      <c r="AO279" s="8"/>
      <c r="AP279" s="1"/>
      <c r="AQ279" s="1"/>
      <c r="AR279" s="1"/>
      <c r="AS279" s="8"/>
      <c r="AT279" s="7">
        <v>0.08</v>
      </c>
      <c r="AU279" s="1">
        <v>7.26936359897421E-2</v>
      </c>
      <c r="AV279" s="1">
        <v>34.022565493194897</v>
      </c>
      <c r="AW279" s="1">
        <v>0.96783298852042798</v>
      </c>
      <c r="AX279" s="1">
        <v>14.925892859497701</v>
      </c>
      <c r="AY279" s="1">
        <v>37.340922543336603</v>
      </c>
      <c r="AZ279" s="1">
        <v>0.969976084972625</v>
      </c>
      <c r="BA279" s="1">
        <v>15.2253267771816</v>
      </c>
      <c r="BB279" s="1">
        <v>126.515172481536</v>
      </c>
      <c r="BC279" s="1">
        <v>83.593533515930105</v>
      </c>
      <c r="BD279" s="7"/>
      <c r="BE279" s="1"/>
      <c r="BF279" s="1"/>
      <c r="BG279" s="8"/>
      <c r="BH279" s="1"/>
      <c r="BI279" s="1"/>
      <c r="BJ279" s="1"/>
      <c r="BK279" s="8"/>
    </row>
    <row r="280" spans="1:63">
      <c r="A280" s="49"/>
      <c r="B280" s="7" t="s">
        <v>66</v>
      </c>
      <c r="C280" s="17">
        <v>1.5</v>
      </c>
      <c r="D280" s="7">
        <v>14</v>
      </c>
      <c r="E280" s="1">
        <v>1.41837409679781</v>
      </c>
      <c r="F280" s="1">
        <v>49.4415395239144</v>
      </c>
      <c r="G280" s="1">
        <v>0.99868389767013699</v>
      </c>
      <c r="H280" s="1">
        <v>28.807103420542401</v>
      </c>
      <c r="I280" s="1">
        <v>52.543275257962001</v>
      </c>
      <c r="J280" s="1">
        <v>0.99901163470769905</v>
      </c>
      <c r="K280" s="8">
        <v>30.050825138029701</v>
      </c>
      <c r="L280" s="7">
        <v>12</v>
      </c>
      <c r="M280" s="1">
        <v>1.30399269082633</v>
      </c>
      <c r="N280" s="1">
        <v>47.985566012465497</v>
      </c>
      <c r="O280" s="1">
        <v>0.99835329514231597</v>
      </c>
      <c r="P280" s="1">
        <v>27.833842333532701</v>
      </c>
      <c r="Q280" s="1">
        <v>51.4986703759511</v>
      </c>
      <c r="R280" s="1">
        <v>0.99890615443005903</v>
      </c>
      <c r="S280" s="8">
        <v>29.610439877436399</v>
      </c>
      <c r="T280" s="13">
        <f>bdrate(E280:E283,F280:F283,M280:M283,N280:N283)</f>
        <v>1.2741661164090257E-2</v>
      </c>
      <c r="U280" s="12">
        <f>bdrate(E280:E283,H280:H283,M280:M283,P280:P283)</f>
        <v>-2.2765445674292617E-2</v>
      </c>
      <c r="V280" s="12">
        <f>bdrate(E280:E283,I280:I283,M280:M283,Q280:Q283)</f>
        <v>-3.1081795489981134E-2</v>
      </c>
      <c r="W280" s="14">
        <f>bdrate(E280:E283,K280:K283,M280:M283,S280:S283)</f>
        <v>-4.4113436752496571E-2</v>
      </c>
      <c r="X280" s="13">
        <f>bdrate(E282:E285,F282:F285,M282:M285,N282:N285)</f>
        <v>-0.21866365658040421</v>
      </c>
      <c r="Y280" s="12">
        <f>bdrate(E282:E285,H282:H285,M282:M285,P282:P285)</f>
        <v>-0.22731353872855398</v>
      </c>
      <c r="Z280" s="12">
        <f>bdrate(E282:E285,I282:I285,M282:M285,Q282:Q285)</f>
        <v>-0.22823795318546591</v>
      </c>
      <c r="AA280" s="14">
        <f>bdrate(E282:E285,K282:K285,M282:M285,S282:S285)</f>
        <v>-0.19815240986855109</v>
      </c>
      <c r="AB280" s="7">
        <v>256</v>
      </c>
      <c r="AC280" s="1">
        <v>0.48878407897249798</v>
      </c>
      <c r="AD280" s="1">
        <v>45.942192474979599</v>
      </c>
      <c r="AE280" s="1">
        <v>0.99687455200943398</v>
      </c>
      <c r="AF280" s="1">
        <v>25.050877236363199</v>
      </c>
      <c r="AG280" s="1">
        <v>48.789481612550802</v>
      </c>
      <c r="AH280" s="1">
        <v>0.997801536694913</v>
      </c>
      <c r="AI280" s="1">
        <v>26.5788077886452</v>
      </c>
      <c r="AJ280" s="1">
        <v>421.41687202453602</v>
      </c>
      <c r="AK280" s="1">
        <v>223.44641089439301</v>
      </c>
      <c r="AL280" s="13">
        <f>bdrate(E280:E283,F280:F283,AC280:AC283,AD280:AD283)</f>
        <v>-0.25332719841364126</v>
      </c>
      <c r="AM280" s="12">
        <f>bdrate(E280:E283,H280:H283,AC280:AC283,AF280:AF283)</f>
        <v>-0.28385408342626095</v>
      </c>
      <c r="AN280" s="12">
        <f>bdrate(E280:E283,I280:I283,AC280:AC283,AG280:AG283)</f>
        <v>-0.20354591109841358</v>
      </c>
      <c r="AO280" s="14">
        <f>bdrate(E280:E283,K280:K283,AC280:AC283,AI280:AI283)</f>
        <v>-0.24701480533771381</v>
      </c>
      <c r="AP280" s="12">
        <f>bdrate(E282:E285,F282:F285,AC282:AC285,AD282:AD285)</f>
        <v>-0.27367679321451788</v>
      </c>
      <c r="AQ280" s="12">
        <f>bdrate(E282:E285,H282:H285,AC282:AC285,AF282:AF285)</f>
        <v>-0.31357631472077041</v>
      </c>
      <c r="AR280" s="12">
        <f>bdrate(E282:E285,I282:I285,AC282:AC285,AG282:AG285)</f>
        <v>-0.23123621460193255</v>
      </c>
      <c r="AS280" s="14">
        <f>bdrate(E282:E285,K282:K285,AC282:AC285,AI282:AI285)</f>
        <v>-0.24117786607627723</v>
      </c>
      <c r="AT280" s="7">
        <v>6.4</v>
      </c>
      <c r="AU280" s="1">
        <v>0.74992987251718801</v>
      </c>
      <c r="AV280" s="1">
        <v>45.645991246545599</v>
      </c>
      <c r="AW280" s="1">
        <v>0.99870054622073801</v>
      </c>
      <c r="AX280" s="1">
        <v>28.862391634647</v>
      </c>
      <c r="AY280" s="1">
        <v>48.531836130143802</v>
      </c>
      <c r="AZ280" s="1">
        <v>0.99906682316392503</v>
      </c>
      <c r="BA280" s="1">
        <v>30.300360500859199</v>
      </c>
      <c r="BB280" s="1">
        <v>491.887861967086</v>
      </c>
      <c r="BC280" s="1">
        <v>205.358544826507</v>
      </c>
      <c r="BD280" s="13">
        <f>bdrate(E280:E283,F280:F283,AU280:AU283,AV280:AV283)</f>
        <v>0.20356460824386891</v>
      </c>
      <c r="BE280" s="12">
        <f>bdrate(E280:E283,H280:H283,AU280:AU283,AX280:AX283)</f>
        <v>-0.5141299818502082</v>
      </c>
      <c r="BF280" s="12">
        <f>bdrate(E280:E283,I280:I283,AU280:AU283,AY280:AY283)</f>
        <v>0.29440863899735592</v>
      </c>
      <c r="BG280" s="14">
        <f>bdrate(E280:E283,K280:K283,AU280:AU283,BA280:BA283)</f>
        <v>-0.51110270952642955</v>
      </c>
      <c r="BH280" s="12">
        <f>bdrate(E282:E285,F282:F285,AU282:AU285,AV282:AV285)</f>
        <v>-9.3214151575568893E-2</v>
      </c>
      <c r="BI280" s="12">
        <f>bdrate(E282:E285,H282:H285,AU282:AU285,AX282:AX285)</f>
        <v>-0.51103336761726648</v>
      </c>
      <c r="BJ280" s="12">
        <f>bdrate(E282:E285,I282:I285,AU282:AU285,AY282:AY285)</f>
        <v>-3.8892593595517888E-2</v>
      </c>
      <c r="BK280" s="14">
        <f>bdrate(E282:E285,K282:K285,AU282:AU285,BA282:BA285)</f>
        <v>-0.47830034144077505</v>
      </c>
    </row>
    <row r="281" spans="1:63">
      <c r="A281" s="49"/>
      <c r="B281" s="7" t="s">
        <v>18</v>
      </c>
      <c r="C281" s="17">
        <v>1</v>
      </c>
      <c r="D281" s="7">
        <v>16</v>
      </c>
      <c r="E281" s="1">
        <v>0.97773576760249503</v>
      </c>
      <c r="F281" s="1">
        <v>47.642000946402902</v>
      </c>
      <c r="G281" s="1">
        <v>0.99788170667013099</v>
      </c>
      <c r="H281" s="1">
        <v>26.740139012999901</v>
      </c>
      <c r="I281" s="1">
        <v>50.725189654317397</v>
      </c>
      <c r="J281" s="1">
        <v>0.99845688158364798</v>
      </c>
      <c r="K281" s="8">
        <v>28.116007456186601</v>
      </c>
      <c r="L281" s="7">
        <v>14</v>
      </c>
      <c r="M281" s="1">
        <v>0.91391776881206999</v>
      </c>
      <c r="N281" s="1">
        <v>46.9129698769515</v>
      </c>
      <c r="O281" s="1">
        <v>0.99768449701020201</v>
      </c>
      <c r="P281" s="1">
        <v>26.353546539048399</v>
      </c>
      <c r="Q281" s="1">
        <v>50.248800708636303</v>
      </c>
      <c r="R281" s="1">
        <v>0.99839441974089205</v>
      </c>
      <c r="S281" s="8">
        <v>27.943679802150601</v>
      </c>
      <c r="T281" s="7"/>
      <c r="U281" s="1"/>
      <c r="V281" s="1"/>
      <c r="W281" s="8"/>
      <c r="X281" s="7"/>
      <c r="Y281" s="1"/>
      <c r="Z281" s="1"/>
      <c r="AA281" s="8"/>
      <c r="AB281" s="7">
        <v>128</v>
      </c>
      <c r="AC281" s="1">
        <v>0.32408147918258201</v>
      </c>
      <c r="AD281" s="1">
        <v>44.849376370654703</v>
      </c>
      <c r="AE281" s="1">
        <v>0.99622211892217705</v>
      </c>
      <c r="AF281" s="1">
        <v>24.227517171549</v>
      </c>
      <c r="AG281" s="1">
        <v>47.6897399082956</v>
      </c>
      <c r="AH281" s="1">
        <v>0.99730677786246702</v>
      </c>
      <c r="AI281" s="1">
        <v>25.697278244103099</v>
      </c>
      <c r="AJ281" s="1">
        <v>352.87222051620398</v>
      </c>
      <c r="AK281" s="1">
        <v>196.470835447311</v>
      </c>
      <c r="AL281" s="7"/>
      <c r="AM281" s="1"/>
      <c r="AN281" s="1"/>
      <c r="AO281" s="8"/>
      <c r="AP281" s="1"/>
      <c r="AQ281" s="1"/>
      <c r="AR281" s="1"/>
      <c r="AS281" s="8"/>
      <c r="AT281" s="7">
        <v>3.2</v>
      </c>
      <c r="AU281" s="1">
        <v>0.53851689823656701</v>
      </c>
      <c r="AV281" s="1">
        <v>44.653880884671501</v>
      </c>
      <c r="AW281" s="1">
        <v>0.998128310488408</v>
      </c>
      <c r="AX281" s="1">
        <v>27.277661933042999</v>
      </c>
      <c r="AY281" s="1">
        <v>47.504865016321801</v>
      </c>
      <c r="AZ281" s="1">
        <v>0.99866326059867006</v>
      </c>
      <c r="BA281" s="1">
        <v>28.739532506257898</v>
      </c>
      <c r="BB281" s="1">
        <v>955.01262807846001</v>
      </c>
      <c r="BC281" s="1">
        <v>337.69809246063198</v>
      </c>
      <c r="BD281" s="7"/>
      <c r="BE281" s="1"/>
      <c r="BF281" s="1"/>
      <c r="BG281" s="8"/>
      <c r="BH281" s="1"/>
      <c r="BI281" s="1"/>
      <c r="BJ281" s="1"/>
      <c r="BK281" s="8"/>
    </row>
    <row r="282" spans="1:63">
      <c r="A282" s="49"/>
      <c r="B282" s="7" t="s">
        <v>18</v>
      </c>
      <c r="C282" s="17">
        <v>0.5</v>
      </c>
      <c r="D282" s="7">
        <v>21</v>
      </c>
      <c r="E282" s="1">
        <v>0.47153023141074601</v>
      </c>
      <c r="F282" s="1">
        <v>45.140271090067898</v>
      </c>
      <c r="G282" s="1">
        <v>0.996361672261311</v>
      </c>
      <c r="H282" s="1">
        <v>24.390981824872</v>
      </c>
      <c r="I282" s="1">
        <v>48.194206816674303</v>
      </c>
      <c r="J282" s="1">
        <v>0.99744379022718899</v>
      </c>
      <c r="K282" s="8">
        <v>25.924035091068699</v>
      </c>
      <c r="L282" s="7">
        <v>18</v>
      </c>
      <c r="M282" s="1">
        <v>0.47747564935064901</v>
      </c>
      <c r="N282" s="1">
        <v>45.243221848159799</v>
      </c>
      <c r="O282" s="1">
        <v>0.99647112001188498</v>
      </c>
      <c r="P282" s="1">
        <v>24.5236311108916</v>
      </c>
      <c r="Q282" s="1">
        <v>48.422219346174003</v>
      </c>
      <c r="R282" s="1">
        <v>0.99750614172434204</v>
      </c>
      <c r="S282" s="8">
        <v>26.031282308289001</v>
      </c>
      <c r="T282" s="7"/>
      <c r="U282" s="1"/>
      <c r="V282" s="1"/>
      <c r="W282" s="8"/>
      <c r="X282" s="7"/>
      <c r="Y282" s="1"/>
      <c r="Z282" s="1"/>
      <c r="AA282" s="8"/>
      <c r="AB282" s="7">
        <v>64</v>
      </c>
      <c r="AC282" s="1">
        <v>0.23274515772217899</v>
      </c>
      <c r="AD282" s="1">
        <v>43.768593053563499</v>
      </c>
      <c r="AE282" s="1">
        <v>0.99536302695906997</v>
      </c>
      <c r="AF282" s="1">
        <v>23.337654290577301</v>
      </c>
      <c r="AG282" s="1">
        <v>46.581561360580501</v>
      </c>
      <c r="AH282" s="1">
        <v>0.99662736797220097</v>
      </c>
      <c r="AI282" s="1">
        <v>24.720310400780399</v>
      </c>
      <c r="AJ282" s="1">
        <v>316.31014037132201</v>
      </c>
      <c r="AK282" s="1">
        <v>174.836309194564</v>
      </c>
      <c r="AL282" s="7"/>
      <c r="AM282" s="1"/>
      <c r="AN282" s="1"/>
      <c r="AO282" s="8"/>
      <c r="AP282" s="1"/>
      <c r="AQ282" s="1"/>
      <c r="AR282" s="1"/>
      <c r="AS282" s="8"/>
      <c r="AT282" s="7">
        <v>1.28</v>
      </c>
      <c r="AU282" s="1">
        <v>0.28800163531321599</v>
      </c>
      <c r="AV282" s="1">
        <v>43.273075119938802</v>
      </c>
      <c r="AW282" s="1">
        <v>0.99691989816933402</v>
      </c>
      <c r="AX282" s="1">
        <v>25.114349251343299</v>
      </c>
      <c r="AY282" s="1">
        <v>46.084520087660998</v>
      </c>
      <c r="AZ282" s="1">
        <v>0.99774540631066699</v>
      </c>
      <c r="BA282" s="1">
        <v>26.4693171293464</v>
      </c>
      <c r="BB282" s="1">
        <v>1041.58346009254</v>
      </c>
      <c r="BC282" s="1">
        <v>359.69937133789</v>
      </c>
      <c r="BD282" s="7"/>
      <c r="BE282" s="1"/>
      <c r="BF282" s="1"/>
      <c r="BG282" s="8"/>
      <c r="BH282" s="1"/>
      <c r="BI282" s="1"/>
      <c r="BJ282" s="1"/>
      <c r="BK282" s="8"/>
    </row>
    <row r="283" spans="1:63">
      <c r="A283" s="49"/>
      <c r="B283" s="7" t="s">
        <v>18</v>
      </c>
      <c r="C283" s="17">
        <v>0.25</v>
      </c>
      <c r="D283" s="7">
        <v>27</v>
      </c>
      <c r="E283" s="1">
        <v>0.240763066590272</v>
      </c>
      <c r="F283" s="1">
        <v>42.7889347912323</v>
      </c>
      <c r="G283" s="1">
        <v>0.99413286650872901</v>
      </c>
      <c r="H283" s="1">
        <v>22.315740304366901</v>
      </c>
      <c r="I283" s="1">
        <v>45.810424709638198</v>
      </c>
      <c r="J283" s="1">
        <v>0.99597347579308504</v>
      </c>
      <c r="K283" s="8">
        <v>23.950696856444601</v>
      </c>
      <c r="L283" s="7">
        <v>24</v>
      </c>
      <c r="M283" s="1">
        <v>0.22771189441685699</v>
      </c>
      <c r="N283" s="1">
        <v>43.328142268970097</v>
      </c>
      <c r="O283" s="1">
        <v>0.99484067682434296</v>
      </c>
      <c r="P283" s="1">
        <v>22.874072674341999</v>
      </c>
      <c r="Q283" s="1">
        <v>46.427901567458498</v>
      </c>
      <c r="R283" s="1">
        <v>0.99640834371655995</v>
      </c>
      <c r="S283" s="8">
        <v>24.447052314000299</v>
      </c>
      <c r="T283" s="7"/>
      <c r="U283" s="1"/>
      <c r="V283" s="1"/>
      <c r="W283" s="8"/>
      <c r="X283" s="7"/>
      <c r="Y283" s="1"/>
      <c r="Z283" s="1"/>
      <c r="AA283" s="8"/>
      <c r="AB283" s="7">
        <v>32</v>
      </c>
      <c r="AC283" s="1">
        <v>0.16500698290679899</v>
      </c>
      <c r="AD283" s="1">
        <v>42.641398486223899</v>
      </c>
      <c r="AE283" s="1">
        <v>0.99415643082179095</v>
      </c>
      <c r="AF283" s="1">
        <v>22.333218102640298</v>
      </c>
      <c r="AG283" s="1">
        <v>45.432709004964202</v>
      </c>
      <c r="AH283" s="1">
        <v>0.99569203739543599</v>
      </c>
      <c r="AI283" s="1">
        <v>23.657280752678101</v>
      </c>
      <c r="AJ283" s="1">
        <v>247.15683817863399</v>
      </c>
      <c r="AK283" s="1">
        <v>136.23580670356699</v>
      </c>
      <c r="AL283" s="7"/>
      <c r="AM283" s="1"/>
      <c r="AN283" s="1"/>
      <c r="AO283" s="8"/>
      <c r="AP283" s="1"/>
      <c r="AQ283" s="1"/>
      <c r="AR283" s="1"/>
      <c r="AS283" s="8"/>
      <c r="AT283" s="7">
        <v>0.64</v>
      </c>
      <c r="AU283" s="1">
        <v>0.18210714683600701</v>
      </c>
      <c r="AV283" s="1">
        <v>42.077854667698197</v>
      </c>
      <c r="AW283" s="1">
        <v>0.99584678493326195</v>
      </c>
      <c r="AX283" s="1">
        <v>23.8161557915281</v>
      </c>
      <c r="AY283" s="1">
        <v>44.858070074760398</v>
      </c>
      <c r="AZ283" s="1">
        <v>0.99698187162035601</v>
      </c>
      <c r="BA283" s="1">
        <v>25.202622909405001</v>
      </c>
      <c r="BB283" s="1">
        <v>426.35486292838999</v>
      </c>
      <c r="BC283" s="1">
        <v>224.228050231933</v>
      </c>
      <c r="BD283" s="7"/>
      <c r="BE283" s="1"/>
      <c r="BF283" s="1"/>
      <c r="BG283" s="8"/>
      <c r="BH283" s="1"/>
      <c r="BI283" s="1"/>
      <c r="BJ283" s="1"/>
      <c r="BK283" s="8"/>
    </row>
    <row r="284" spans="1:63">
      <c r="A284" s="49"/>
      <c r="B284" s="7" t="s">
        <v>18</v>
      </c>
      <c r="C284" s="17">
        <v>0.12</v>
      </c>
      <c r="D284" s="7">
        <v>34</v>
      </c>
      <c r="E284" s="1">
        <v>0.112057251878023</v>
      </c>
      <c r="F284" s="1">
        <v>39.592672300180702</v>
      </c>
      <c r="G284" s="1">
        <v>0.98894990474005495</v>
      </c>
      <c r="H284" s="1">
        <v>19.566339780250299</v>
      </c>
      <c r="I284" s="1">
        <v>42.573697494346</v>
      </c>
      <c r="J284" s="1">
        <v>0.99219775603286198</v>
      </c>
      <c r="K284" s="8">
        <v>21.077804739261701</v>
      </c>
      <c r="L284" s="7">
        <v>30</v>
      </c>
      <c r="M284" s="1">
        <v>0.11985731792717</v>
      </c>
      <c r="N284" s="1">
        <v>41.135639887064201</v>
      </c>
      <c r="O284" s="1">
        <v>0.991860253496888</v>
      </c>
      <c r="P284" s="1">
        <v>20.893891201739802</v>
      </c>
      <c r="Q284" s="1">
        <v>44.156239302589398</v>
      </c>
      <c r="R284" s="1">
        <v>0.99409189920539698</v>
      </c>
      <c r="S284" s="8">
        <v>22.285521040564099</v>
      </c>
      <c r="T284" s="7"/>
      <c r="U284" s="1"/>
      <c r="V284" s="1"/>
      <c r="W284" s="8"/>
      <c r="X284" s="7"/>
      <c r="Y284" s="1"/>
      <c r="Z284" s="1"/>
      <c r="AA284" s="8"/>
      <c r="AB284" s="7">
        <v>16</v>
      </c>
      <c r="AC284" s="1">
        <v>0.121630399318818</v>
      </c>
      <c r="AD284" s="1">
        <v>41.308729094945001</v>
      </c>
      <c r="AE284" s="1">
        <v>0.99246368572985999</v>
      </c>
      <c r="AF284" s="1">
        <v>21.2284099942142</v>
      </c>
      <c r="AG284" s="1">
        <v>44.0691059412705</v>
      </c>
      <c r="AH284" s="1">
        <v>0.99431712401281402</v>
      </c>
      <c r="AI284" s="1">
        <v>22.454318211096702</v>
      </c>
      <c r="AJ284" s="1">
        <v>252.53398847579899</v>
      </c>
      <c r="AK284" s="1">
        <v>160.27320718765199</v>
      </c>
      <c r="AL284" s="7"/>
      <c r="AM284" s="1"/>
      <c r="AN284" s="1"/>
      <c r="AO284" s="8"/>
      <c r="AP284" s="1"/>
      <c r="AQ284" s="1"/>
      <c r="AR284" s="1"/>
      <c r="AS284" s="8"/>
      <c r="AT284" s="7">
        <v>0.32</v>
      </c>
      <c r="AU284" s="1">
        <v>0.12818060462821401</v>
      </c>
      <c r="AV284" s="1">
        <v>40.800380112418097</v>
      </c>
      <c r="AW284" s="1">
        <v>0.99460707700235795</v>
      </c>
      <c r="AX284" s="1">
        <v>22.681757807016201</v>
      </c>
      <c r="AY284" s="1">
        <v>43.537469456684001</v>
      </c>
      <c r="AZ284" s="1">
        <v>0.99607902396724801</v>
      </c>
      <c r="BA284" s="1">
        <v>24.066058123479401</v>
      </c>
      <c r="BB284" s="1">
        <v>484.68437075614901</v>
      </c>
      <c r="BC284" s="1">
        <v>260.27766466140702</v>
      </c>
      <c r="BD284" s="7"/>
      <c r="BE284" s="1"/>
      <c r="BF284" s="1"/>
      <c r="BG284" s="8"/>
      <c r="BH284" s="1"/>
      <c r="BI284" s="1"/>
      <c r="BJ284" s="1"/>
      <c r="BK284" s="8"/>
    </row>
    <row r="285" spans="1:63">
      <c r="A285" s="49"/>
      <c r="B285" s="7" t="s">
        <v>18</v>
      </c>
      <c r="C285" s="17">
        <v>0.06</v>
      </c>
      <c r="D285" s="7">
        <v>40</v>
      </c>
      <c r="E285" s="1">
        <v>5.7315042494270399E-2</v>
      </c>
      <c r="F285" s="1">
        <v>36.417233526624699</v>
      </c>
      <c r="G285" s="1">
        <v>0.98010972504949501</v>
      </c>
      <c r="H285" s="1">
        <v>17.013592134234901</v>
      </c>
      <c r="I285" s="1">
        <v>39.357436439220699</v>
      </c>
      <c r="J285" s="1">
        <v>0.98511254287517103</v>
      </c>
      <c r="K285" s="8">
        <v>18.271794762549</v>
      </c>
      <c r="L285" s="7">
        <v>37</v>
      </c>
      <c r="M285" s="1">
        <v>5.5797603132161901E-2</v>
      </c>
      <c r="N285" s="1">
        <v>37.813954694898499</v>
      </c>
      <c r="O285" s="1">
        <v>0.984498137571999</v>
      </c>
      <c r="P285" s="1">
        <v>18.096161215965601</v>
      </c>
      <c r="Q285" s="1">
        <v>40.752508013751999</v>
      </c>
      <c r="R285" s="1">
        <v>0.98813619301270905</v>
      </c>
      <c r="S285" s="8">
        <v>19.257759274750001</v>
      </c>
      <c r="T285" s="7"/>
      <c r="U285" s="1"/>
      <c r="V285" s="1"/>
      <c r="W285" s="8"/>
      <c r="X285" s="7"/>
      <c r="Y285" s="1"/>
      <c r="Z285" s="1"/>
      <c r="AA285" s="8"/>
      <c r="AB285" s="7">
        <v>4</v>
      </c>
      <c r="AC285" s="1">
        <v>6.4163662624140499E-2</v>
      </c>
      <c r="AD285" s="1">
        <v>38.533887721510098</v>
      </c>
      <c r="AE285" s="1">
        <v>0.98725770262916901</v>
      </c>
      <c r="AF285" s="1">
        <v>18.947522638746001</v>
      </c>
      <c r="AG285" s="1">
        <v>41.249563997729098</v>
      </c>
      <c r="AH285" s="1">
        <v>0.98988496496771095</v>
      </c>
      <c r="AI285" s="1">
        <v>19.950326087603599</v>
      </c>
      <c r="AJ285" s="1">
        <v>327.01936459541298</v>
      </c>
      <c r="AK285" s="1">
        <v>222.85102653503401</v>
      </c>
      <c r="AL285" s="7"/>
      <c r="AM285" s="1"/>
      <c r="AN285" s="1"/>
      <c r="AO285" s="8"/>
      <c r="AP285" s="1"/>
      <c r="AQ285" s="1"/>
      <c r="AR285" s="1"/>
      <c r="AS285" s="8"/>
      <c r="AT285" s="7">
        <v>0.08</v>
      </c>
      <c r="AU285" s="1">
        <v>6.5884521422205203E-2</v>
      </c>
      <c r="AV285" s="1">
        <v>37.264661990790401</v>
      </c>
      <c r="AW285" s="1">
        <v>0.98976999933400001</v>
      </c>
      <c r="AX285" s="1">
        <v>19.901243380141299</v>
      </c>
      <c r="AY285" s="1">
        <v>39.947708605432197</v>
      </c>
      <c r="AZ285" s="1">
        <v>0.99249720290811205</v>
      </c>
      <c r="BA285" s="1">
        <v>21.2477679859382</v>
      </c>
      <c r="BB285" s="1">
        <v>188.26078915596</v>
      </c>
      <c r="BC285" s="1">
        <v>126.31441640853799</v>
      </c>
      <c r="BD285" s="7"/>
      <c r="BE285" s="1"/>
      <c r="BF285" s="1"/>
      <c r="BG285" s="8"/>
      <c r="BH285" s="1"/>
      <c r="BI285" s="1"/>
      <c r="BJ285" s="1"/>
      <c r="BK285" s="8"/>
    </row>
    <row r="286" spans="1:63">
      <c r="A286" s="49"/>
      <c r="B286" s="7" t="s">
        <v>67</v>
      </c>
      <c r="C286" s="17">
        <v>1.5</v>
      </c>
      <c r="D286" s="7">
        <v>24</v>
      </c>
      <c r="E286" s="1">
        <v>1.3727825010520101</v>
      </c>
      <c r="F286" s="1">
        <v>40.471607860175801</v>
      </c>
      <c r="G286" s="1">
        <v>0.99561201901221597</v>
      </c>
      <c r="H286" s="1">
        <v>23.5773526280162</v>
      </c>
      <c r="I286" s="1">
        <v>43.9269267672654</v>
      </c>
      <c r="J286" s="1">
        <v>0.997533815753053</v>
      </c>
      <c r="K286" s="8">
        <v>26.079744806830298</v>
      </c>
      <c r="L286" s="7">
        <v>20</v>
      </c>
      <c r="M286" s="1">
        <v>1.4151816610763599</v>
      </c>
      <c r="N286" s="1">
        <v>42.202514925495301</v>
      </c>
      <c r="O286" s="1">
        <v>0.99705198934780503</v>
      </c>
      <c r="P286" s="1">
        <v>25.3047095155218</v>
      </c>
      <c r="Q286" s="1">
        <v>45.745213054694503</v>
      </c>
      <c r="R286" s="1">
        <v>0.99826763116040595</v>
      </c>
      <c r="S286" s="8">
        <v>27.613596365989999</v>
      </c>
      <c r="T286" s="13">
        <f>bdrate(E286:E289,F286:F289,M286:M289,N286:N289)</f>
        <v>-0.27066672275557069</v>
      </c>
      <c r="U286" s="12">
        <f>bdrate(E286:E289,H286:H289,M286:M289,P286:P289)</f>
        <v>-0.30301324145800479</v>
      </c>
      <c r="V286" s="12">
        <f>bdrate(E286:E289,I286:I289,M286:M289,Q286:Q289)</f>
        <v>-0.25994693464949914</v>
      </c>
      <c r="W286" s="14">
        <f>bdrate(E286:E289,K286:K289,M286:M289,S286:S289)</f>
        <v>-0.19726353361905657</v>
      </c>
      <c r="X286" s="13">
        <f>bdrate(E288:E291,F288:F291,M288:M291,N288:N291)</f>
        <v>-0.28364202911231795</v>
      </c>
      <c r="Y286" s="12">
        <f>bdrate(E288:E291,H288:H291,M288:M291,P288:P291)</f>
        <v>-0.29705724259403576</v>
      </c>
      <c r="Z286" s="12">
        <f>bdrate(E288:E291,I288:I291,M288:M291,Q288:Q291)</f>
        <v>-0.28369111482576415</v>
      </c>
      <c r="AA286" s="14">
        <f>bdrate(E288:E291,K288:K291,M288:M291,S288:S291)</f>
        <v>-0.20152435747331976</v>
      </c>
      <c r="AB286" s="7">
        <v>256</v>
      </c>
      <c r="AC286" s="1">
        <v>1.5781712553468701</v>
      </c>
      <c r="AD286" s="1">
        <v>43.661298070395503</v>
      </c>
      <c r="AE286" s="1">
        <v>0.99821909596959502</v>
      </c>
      <c r="AF286" s="1">
        <v>27.493594832255599</v>
      </c>
      <c r="AG286" s="1">
        <v>46.665508557900502</v>
      </c>
      <c r="AH286" s="1">
        <v>0.99888683302686898</v>
      </c>
      <c r="AI286" s="1">
        <v>29.534396873539201</v>
      </c>
      <c r="AJ286" s="1">
        <v>378.16090250015202</v>
      </c>
      <c r="AK286" s="1">
        <v>149.50008988380401</v>
      </c>
      <c r="AL286" s="13">
        <f>bdrate(E286:E289,F286:F289,AC286:AC289,AD286:AD289)</f>
        <v>-0.34465374240381608</v>
      </c>
      <c r="AM286" s="12">
        <f>bdrate(E286:E289,H286:H289,AC286:AC289,AF286:AF289)</f>
        <v>-0.45475788864632261</v>
      </c>
      <c r="AN286" s="12">
        <f>bdrate(E286:E289,I286:I289,AC286:AC289,AG286:AG289)</f>
        <v>-0.2868433589994287</v>
      </c>
      <c r="AO286" s="14">
        <f>bdrate(E286:E289,K286:K289,AC286:AC289,AI286:AI289)</f>
        <v>-0.32597511995151152</v>
      </c>
      <c r="AP286" s="12">
        <f>bdrate(E288:E291,F288:F291,AC288:AC291,AD288:AD291)</f>
        <v>-0.34550780021496996</v>
      </c>
      <c r="AQ286" s="12">
        <f>bdrate(E288:E291,H288:H291,AC288:AC291,AF288:AF291)</f>
        <v>-0.45416922353193689</v>
      </c>
      <c r="AR286" s="12">
        <f>bdrate(E288:E291,I288:I291,AC288:AC291,AG288:AG291)</f>
        <v>-0.30689835106296748</v>
      </c>
      <c r="AS286" s="14">
        <f>bdrate(E288:E291,K288:K291,AC288:AC291,AI288:AI291)</f>
        <v>-0.33501758633614775</v>
      </c>
      <c r="AT286" s="7">
        <v>6.4</v>
      </c>
      <c r="AU286" s="1">
        <v>1.1521810359972</v>
      </c>
      <c r="AV286" s="1">
        <v>38.544226644998297</v>
      </c>
      <c r="AW286" s="1">
        <v>0.99866269956033205</v>
      </c>
      <c r="AX286" s="1">
        <v>28.7377101260942</v>
      </c>
      <c r="AY286" s="1">
        <v>41.426369314170302</v>
      </c>
      <c r="AZ286" s="1">
        <v>0.99912795479299998</v>
      </c>
      <c r="BA286" s="1">
        <v>30.594610005701199</v>
      </c>
      <c r="BB286" s="1">
        <v>400.43639731407097</v>
      </c>
      <c r="BC286" s="1">
        <v>125.208195209503</v>
      </c>
      <c r="BD286" s="13">
        <f>bdrate(E286:E289,F286:F289,AU286:AU289,AV286:AV289)</f>
        <v>1.0190121751923131E-2</v>
      </c>
      <c r="BE286" s="12">
        <f>bdrate(E286:E289,H286:H289,AU286:AU289,AX286:AX289)</f>
        <v>-0.65434336027798601</v>
      </c>
      <c r="BF286" s="12">
        <f>bdrate(E286:E289,I286:I289,AU286:AU289,AY286:AY289)</f>
        <v>5.7563468359100423E-2</v>
      </c>
      <c r="BG286" s="14">
        <f>bdrate(E286:E289,K286:K289,AU286:AU289,BA286:BA289)</f>
        <v>-0.57568374607870576</v>
      </c>
      <c r="BH286" s="12">
        <f>bdrate(E288:E291,F288:F291,AU288:AU291,AV288:AV291)</f>
        <v>-0.13154310459595708</v>
      </c>
      <c r="BI286" s="12">
        <f>bdrate(E288:E291,H288:H291,AU288:AU291,AX288:AX291)</f>
        <v>-0.61693635603464192</v>
      </c>
      <c r="BJ286" s="12">
        <f>bdrate(E288:E291,I288:I291,AU288:AU291,AY288:AY291)</f>
        <v>-0.10197361154502227</v>
      </c>
      <c r="BK286" s="14">
        <f>bdrate(E288:E291,K288:K291,AU288:AU291,BA288:BA291)</f>
        <v>-0.54158637357643014</v>
      </c>
    </row>
    <row r="287" spans="1:63">
      <c r="A287" s="49"/>
      <c r="B287" s="7" t="s">
        <v>18</v>
      </c>
      <c r="C287" s="17">
        <v>1</v>
      </c>
      <c r="D287" s="7">
        <v>28</v>
      </c>
      <c r="E287" s="1">
        <v>0.90421172615813195</v>
      </c>
      <c r="F287" s="1">
        <v>37.856921528748401</v>
      </c>
      <c r="G287" s="1">
        <v>0.99251456461990795</v>
      </c>
      <c r="H287" s="1">
        <v>21.2578293444286</v>
      </c>
      <c r="I287" s="1">
        <v>41.166257239201201</v>
      </c>
      <c r="J287" s="1">
        <v>0.99550117003954597</v>
      </c>
      <c r="K287" s="8">
        <v>23.469004212893001</v>
      </c>
      <c r="L287" s="7">
        <v>24</v>
      </c>
      <c r="M287" s="1">
        <v>0.94515155105425896</v>
      </c>
      <c r="N287" s="1">
        <v>39.843649929394203</v>
      </c>
      <c r="O287" s="1">
        <v>0.99526307386136703</v>
      </c>
      <c r="P287" s="1">
        <v>23.245033870336002</v>
      </c>
      <c r="Q287" s="1">
        <v>43.167900335553703</v>
      </c>
      <c r="R287" s="1">
        <v>0.99684944162226297</v>
      </c>
      <c r="S287" s="8">
        <v>25.016124687884499</v>
      </c>
      <c r="T287" s="7"/>
      <c r="U287" s="1"/>
      <c r="V287" s="1"/>
      <c r="W287" s="8"/>
      <c r="X287" s="7"/>
      <c r="Y287" s="1"/>
      <c r="Z287" s="1"/>
      <c r="AA287" s="8"/>
      <c r="AB287" s="7">
        <v>64</v>
      </c>
      <c r="AC287" s="1">
        <v>0.85225906875462099</v>
      </c>
      <c r="AD287" s="1">
        <v>39.904801160925203</v>
      </c>
      <c r="AE287" s="1">
        <v>0.99602894732688496</v>
      </c>
      <c r="AF287" s="1">
        <v>24.010943522987102</v>
      </c>
      <c r="AG287" s="1">
        <v>42.7342213404687</v>
      </c>
      <c r="AH287" s="1">
        <v>0.99709355231265895</v>
      </c>
      <c r="AI287" s="1">
        <v>25.3663748942996</v>
      </c>
      <c r="AJ287" s="1">
        <v>215.716941595077</v>
      </c>
      <c r="AK287" s="1">
        <v>114.69077205657899</v>
      </c>
      <c r="AL287" s="7"/>
      <c r="AM287" s="1"/>
      <c r="AN287" s="1"/>
      <c r="AO287" s="8"/>
      <c r="AP287" s="1"/>
      <c r="AQ287" s="1"/>
      <c r="AR287" s="1"/>
      <c r="AS287" s="8"/>
      <c r="AT287" s="7">
        <v>3.2</v>
      </c>
      <c r="AU287" s="1">
        <v>0.85409263427966697</v>
      </c>
      <c r="AV287" s="1">
        <v>36.897926385699598</v>
      </c>
      <c r="AW287" s="1">
        <v>0.99801190206364099</v>
      </c>
      <c r="AX287" s="1">
        <v>27.015622254856499</v>
      </c>
      <c r="AY287" s="1">
        <v>39.813439125900601</v>
      </c>
      <c r="AZ287" s="1">
        <v>0.99862708477803896</v>
      </c>
      <c r="BA287" s="1">
        <v>28.623562797852902</v>
      </c>
      <c r="BB287" s="1">
        <v>775.51564669609002</v>
      </c>
      <c r="BC287" s="1">
        <v>226.95269823074301</v>
      </c>
      <c r="BD287" s="7"/>
      <c r="BE287" s="1"/>
      <c r="BF287" s="1"/>
      <c r="BG287" s="8"/>
      <c r="BH287" s="1"/>
      <c r="BI287" s="1"/>
      <c r="BJ287" s="1"/>
      <c r="BK287" s="8"/>
    </row>
    <row r="288" spans="1:63">
      <c r="A288" s="49"/>
      <c r="B288" s="7" t="s">
        <v>18</v>
      </c>
      <c r="C288" s="17">
        <v>0.5</v>
      </c>
      <c r="D288" s="7">
        <v>34</v>
      </c>
      <c r="E288" s="1">
        <v>0.46129125828842699</v>
      </c>
      <c r="F288" s="1">
        <v>34.078114628146601</v>
      </c>
      <c r="G288" s="1">
        <v>0.98372754545212304</v>
      </c>
      <c r="H288" s="1">
        <v>17.885469328531599</v>
      </c>
      <c r="I288" s="1">
        <v>37.234263994617002</v>
      </c>
      <c r="J288" s="1">
        <v>0.98941618531976605</v>
      </c>
      <c r="K288" s="8">
        <v>19.753577731343</v>
      </c>
      <c r="L288" s="7">
        <v>30</v>
      </c>
      <c r="M288" s="1">
        <v>0.49981983012554598</v>
      </c>
      <c r="N288" s="1">
        <v>36.278061945718797</v>
      </c>
      <c r="O288" s="1">
        <v>0.99025350585888405</v>
      </c>
      <c r="P288" s="1">
        <v>20.111515739397898</v>
      </c>
      <c r="Q288" s="1">
        <v>39.424276042355402</v>
      </c>
      <c r="R288" s="1">
        <v>0.99275610854810104</v>
      </c>
      <c r="S288" s="8">
        <v>21.400280661153602</v>
      </c>
      <c r="T288" s="7"/>
      <c r="U288" s="1"/>
      <c r="V288" s="1"/>
      <c r="W288" s="8"/>
      <c r="X288" s="7"/>
      <c r="Y288" s="1"/>
      <c r="Z288" s="1"/>
      <c r="AA288" s="8"/>
      <c r="AB288" s="7">
        <v>16</v>
      </c>
      <c r="AC288" s="1">
        <v>0.43618513782382501</v>
      </c>
      <c r="AD288" s="1">
        <v>36.175366547762003</v>
      </c>
      <c r="AE288" s="1">
        <v>0.99149725898458296</v>
      </c>
      <c r="AF288" s="1">
        <v>20.704410488769099</v>
      </c>
      <c r="AG288" s="1">
        <v>38.9769762383062</v>
      </c>
      <c r="AH288" s="1">
        <v>0.99320547208205801</v>
      </c>
      <c r="AI288" s="1">
        <v>21.678407125525499</v>
      </c>
      <c r="AJ288" s="1">
        <v>173.12689733505201</v>
      </c>
      <c r="AK288" s="1">
        <v>108.43020415306</v>
      </c>
      <c r="AL288" s="7"/>
      <c r="AM288" s="1"/>
      <c r="AN288" s="1"/>
      <c r="AO288" s="8"/>
      <c r="AP288" s="1"/>
      <c r="AQ288" s="1"/>
      <c r="AR288" s="1"/>
      <c r="AS288" s="8"/>
      <c r="AT288" s="7">
        <v>0.64</v>
      </c>
      <c r="AU288" s="1">
        <v>0.42527362533654101</v>
      </c>
      <c r="AV288" s="1">
        <v>33.835038931422702</v>
      </c>
      <c r="AW288" s="1">
        <v>0.99501429507030603</v>
      </c>
      <c r="AX288" s="1">
        <v>23.022734280379801</v>
      </c>
      <c r="AY288" s="1">
        <v>36.774633464601102</v>
      </c>
      <c r="AZ288" s="1">
        <v>0.99618799139389902</v>
      </c>
      <c r="BA288" s="1">
        <v>24.188461275568301</v>
      </c>
      <c r="BB288" s="1">
        <v>352.39877247810301</v>
      </c>
      <c r="BC288" s="1">
        <v>148.7715010643</v>
      </c>
      <c r="BD288" s="7"/>
      <c r="BE288" s="1"/>
      <c r="BF288" s="1"/>
      <c r="BG288" s="8"/>
      <c r="BH288" s="1"/>
      <c r="BI288" s="1"/>
      <c r="BJ288" s="1"/>
      <c r="BK288" s="8"/>
    </row>
    <row r="289" spans="1:63">
      <c r="A289" s="49"/>
      <c r="B289" s="7" t="s">
        <v>18</v>
      </c>
      <c r="C289" s="17">
        <v>0.25</v>
      </c>
      <c r="D289" s="7">
        <v>40</v>
      </c>
      <c r="E289" s="1">
        <v>0.22342371787276899</v>
      </c>
      <c r="F289" s="1">
        <v>30.462771331189</v>
      </c>
      <c r="G289" s="1">
        <v>0.96434157308471402</v>
      </c>
      <c r="H289" s="1">
        <v>14.478378198000399</v>
      </c>
      <c r="I289" s="1">
        <v>33.527989417135103</v>
      </c>
      <c r="J289" s="1">
        <v>0.97435782290540895</v>
      </c>
      <c r="K289" s="8">
        <v>15.9104510473713</v>
      </c>
      <c r="L289" s="7">
        <v>37</v>
      </c>
      <c r="M289" s="1">
        <v>0.22323170009273999</v>
      </c>
      <c r="N289" s="1">
        <v>32.102516364848398</v>
      </c>
      <c r="O289" s="1">
        <v>0.97599825289328601</v>
      </c>
      <c r="P289" s="1">
        <v>16.197571444888499</v>
      </c>
      <c r="Q289" s="1">
        <v>35.167534356095899</v>
      </c>
      <c r="R289" s="1">
        <v>0.98042489567607205</v>
      </c>
      <c r="S289" s="8">
        <v>17.082959147267101</v>
      </c>
      <c r="T289" s="7"/>
      <c r="U289" s="1"/>
      <c r="V289" s="1"/>
      <c r="W289" s="8"/>
      <c r="X289" s="7"/>
      <c r="Y289" s="1"/>
      <c r="Z289" s="1"/>
      <c r="AA289" s="8"/>
      <c r="AB289" s="7">
        <v>8</v>
      </c>
      <c r="AC289" s="1">
        <v>0.31456516143792701</v>
      </c>
      <c r="AD289" s="1">
        <v>34.481098536641099</v>
      </c>
      <c r="AE289" s="1">
        <v>0.98761089084376796</v>
      </c>
      <c r="AF289" s="1">
        <v>19.069599206168501</v>
      </c>
      <c r="AG289" s="1">
        <v>37.286348453563001</v>
      </c>
      <c r="AH289" s="1">
        <v>0.98974563352635903</v>
      </c>
      <c r="AI289" s="1">
        <v>19.890911656711499</v>
      </c>
      <c r="AJ289" s="1">
        <v>128.15811896324101</v>
      </c>
      <c r="AK289" s="1">
        <v>77.934996604919405</v>
      </c>
      <c r="AL289" s="7"/>
      <c r="AM289" s="1"/>
      <c r="AN289" s="1"/>
      <c r="AO289" s="8"/>
      <c r="AP289" s="1"/>
      <c r="AQ289" s="1"/>
      <c r="AR289" s="1"/>
      <c r="AS289" s="8"/>
      <c r="AT289" s="7">
        <v>0.16</v>
      </c>
      <c r="AU289" s="1">
        <v>0.22512736498494401</v>
      </c>
      <c r="AV289" s="1">
        <v>31.268156244308599</v>
      </c>
      <c r="AW289" s="1">
        <v>0.98856097895447703</v>
      </c>
      <c r="AX289" s="1">
        <v>19.416111409905099</v>
      </c>
      <c r="AY289" s="1">
        <v>34.199433415194399</v>
      </c>
      <c r="AZ289" s="1">
        <v>0.99058143798175002</v>
      </c>
      <c r="BA289" s="1">
        <v>20.260153981848699</v>
      </c>
      <c r="BB289" s="1">
        <v>232.46699905395499</v>
      </c>
      <c r="BC289" s="1">
        <v>125.59863686561501</v>
      </c>
      <c r="BD289" s="7"/>
      <c r="BE289" s="1"/>
      <c r="BF289" s="1"/>
      <c r="BG289" s="8"/>
      <c r="BH289" s="1"/>
      <c r="BI289" s="1"/>
      <c r="BJ289" s="1"/>
      <c r="BK289" s="8"/>
    </row>
    <row r="290" spans="1:63">
      <c r="A290" s="49"/>
      <c r="B290" s="7" t="s">
        <v>18</v>
      </c>
      <c r="C290" s="17">
        <v>0.12</v>
      </c>
      <c r="D290" s="7">
        <v>45</v>
      </c>
      <c r="E290" s="1">
        <v>0.116643038946925</v>
      </c>
      <c r="F290" s="1">
        <v>27.574284740003201</v>
      </c>
      <c r="G290" s="1">
        <v>0.93238983504163397</v>
      </c>
      <c r="H290" s="1">
        <v>11.6998800445109</v>
      </c>
      <c r="I290" s="1">
        <v>30.622020297892</v>
      </c>
      <c r="J290" s="1">
        <v>0.94630993170872901</v>
      </c>
      <c r="K290" s="8">
        <v>12.7010604363402</v>
      </c>
      <c r="L290" s="7">
        <v>43</v>
      </c>
      <c r="M290" s="1">
        <v>0.10641952208000099</v>
      </c>
      <c r="N290" s="1">
        <v>28.607944361962801</v>
      </c>
      <c r="O290" s="1">
        <v>0.94666269998044805</v>
      </c>
      <c r="P290" s="1">
        <v>12.729689724535699</v>
      </c>
      <c r="Q290" s="1">
        <v>31.674207531654801</v>
      </c>
      <c r="R290" s="1">
        <v>0.953510334290816</v>
      </c>
      <c r="S290" s="8">
        <v>13.3264357666437</v>
      </c>
      <c r="T290" s="7"/>
      <c r="U290" s="1"/>
      <c r="V290" s="1"/>
      <c r="W290" s="8"/>
      <c r="X290" s="7"/>
      <c r="Y290" s="1"/>
      <c r="Z290" s="1"/>
      <c r="AA290" s="8"/>
      <c r="AB290" s="7">
        <v>4</v>
      </c>
      <c r="AC290" s="1">
        <v>0.22659160269478501</v>
      </c>
      <c r="AD290" s="1">
        <v>32.579197230910601</v>
      </c>
      <c r="AE290" s="1">
        <v>0.98153935347108201</v>
      </c>
      <c r="AF290" s="1">
        <v>17.3375309317878</v>
      </c>
      <c r="AG290" s="1">
        <v>35.380406567703403</v>
      </c>
      <c r="AH290" s="1">
        <v>0.98438474495857398</v>
      </c>
      <c r="AI290" s="1">
        <v>18.064509181145699</v>
      </c>
      <c r="AJ290" s="1">
        <v>224.30255103111199</v>
      </c>
      <c r="AK290" s="1">
        <v>134.50353837013199</v>
      </c>
      <c r="AL290" s="7"/>
      <c r="AM290" s="1"/>
      <c r="AN290" s="1"/>
      <c r="AO290" s="8"/>
      <c r="AP290" s="1"/>
      <c r="AQ290" s="1"/>
      <c r="AR290" s="1"/>
      <c r="AS290" s="8"/>
      <c r="AT290" s="7">
        <v>0.08</v>
      </c>
      <c r="AU290" s="1">
        <v>0.16311787848951401</v>
      </c>
      <c r="AV290" s="1">
        <v>29.766497173173502</v>
      </c>
      <c r="AW290" s="1">
        <v>0.98239233098704004</v>
      </c>
      <c r="AX290" s="1">
        <v>17.542981341982401</v>
      </c>
      <c r="AY290" s="1">
        <v>32.658255576697101</v>
      </c>
      <c r="AZ290" s="1">
        <v>0.98530226897023898</v>
      </c>
      <c r="BA290" s="1">
        <v>18.327497045247299</v>
      </c>
      <c r="BB290" s="1">
        <v>116.038965225219</v>
      </c>
      <c r="BC290" s="1">
        <v>77.379207372665405</v>
      </c>
      <c r="BD290" s="7"/>
      <c r="BE290" s="1"/>
      <c r="BF290" s="1"/>
      <c r="BG290" s="8"/>
      <c r="BH290" s="1"/>
      <c r="BI290" s="1"/>
      <c r="BJ290" s="1"/>
      <c r="BK290" s="8"/>
    </row>
    <row r="291" spans="1:63" ht="15" thickBot="1">
      <c r="A291" s="50"/>
      <c r="B291" s="7" t="s">
        <v>18</v>
      </c>
      <c r="C291" s="17">
        <v>0.06</v>
      </c>
      <c r="D291" s="7">
        <v>50</v>
      </c>
      <c r="E291" s="1">
        <v>5.58020010703969E-2</v>
      </c>
      <c r="F291" s="1">
        <v>24.814017508941401</v>
      </c>
      <c r="G291" s="1">
        <v>0.87781700280847097</v>
      </c>
      <c r="H291" s="1">
        <v>9.12989225678254</v>
      </c>
      <c r="I291" s="1">
        <v>27.870831145293799</v>
      </c>
      <c r="J291" s="1">
        <v>0.89399805473862803</v>
      </c>
      <c r="K291" s="8">
        <v>9.7468616484345603</v>
      </c>
      <c r="L291" s="7">
        <v>48</v>
      </c>
      <c r="M291" s="1">
        <v>5.3399736077689497E-2</v>
      </c>
      <c r="N291" s="1">
        <v>25.732412564213298</v>
      </c>
      <c r="O291" s="1">
        <v>0.89920635477022903</v>
      </c>
      <c r="P291" s="1">
        <v>9.9656684813496508</v>
      </c>
      <c r="Q291" s="1">
        <v>28.828714720064699</v>
      </c>
      <c r="R291" s="1">
        <v>0.90825660807467401</v>
      </c>
      <c r="S291" s="8">
        <v>10.374252072254</v>
      </c>
      <c r="T291" s="9"/>
      <c r="U291" s="10"/>
      <c r="V291" s="10"/>
      <c r="W291" s="11"/>
      <c r="X291" s="9"/>
      <c r="Y291" s="10"/>
      <c r="Z291" s="10"/>
      <c r="AA291" s="11"/>
      <c r="AB291" s="7">
        <v>2</v>
      </c>
      <c r="AC291" s="1">
        <v>0.14838562072811501</v>
      </c>
      <c r="AD291" s="1">
        <v>30.4795952226516</v>
      </c>
      <c r="AE291" s="1">
        <v>0.97142341934398702</v>
      </c>
      <c r="AF291" s="1">
        <v>15.4398973814359</v>
      </c>
      <c r="AG291" s="1">
        <v>33.270797437389596</v>
      </c>
      <c r="AH291" s="1">
        <v>0.97510956129019599</v>
      </c>
      <c r="AI291" s="1">
        <v>16.0396744860764</v>
      </c>
      <c r="AJ291" s="1">
        <v>265.607978343963</v>
      </c>
      <c r="AK291" s="1">
        <v>157.66477632522501</v>
      </c>
      <c r="AL291" s="9"/>
      <c r="AM291" s="10"/>
      <c r="AN291" s="10"/>
      <c r="AO291" s="11"/>
      <c r="AP291" s="10"/>
      <c r="AQ291" s="10"/>
      <c r="AR291" s="10"/>
      <c r="AS291" s="11"/>
      <c r="AT291" s="7">
        <v>0.04</v>
      </c>
      <c r="AU291" s="1">
        <v>0.113951521638769</v>
      </c>
      <c r="AV291" s="1">
        <v>28.1573150555848</v>
      </c>
      <c r="AW291" s="1">
        <v>0.97325322067851905</v>
      </c>
      <c r="AX291" s="1">
        <v>15.727285054976401</v>
      </c>
      <c r="AY291" s="1">
        <v>31.050873645836901</v>
      </c>
      <c r="AZ291" s="1">
        <v>0.97731420811429903</v>
      </c>
      <c r="BA291" s="1">
        <v>16.442460563544302</v>
      </c>
      <c r="BB291" s="1">
        <v>141.64103555679301</v>
      </c>
      <c r="BC291" s="1">
        <v>100.067779302597</v>
      </c>
      <c r="BD291" s="9"/>
      <c r="BE291" s="10"/>
      <c r="BF291" s="10"/>
      <c r="BG291" s="11"/>
      <c r="BH291" s="10"/>
      <c r="BI291" s="10"/>
      <c r="BJ291" s="10"/>
      <c r="BK291" s="11"/>
    </row>
    <row r="292" spans="1:63">
      <c r="A292" s="48" t="s">
        <v>68</v>
      </c>
      <c r="B292" s="15" t="s">
        <v>69</v>
      </c>
      <c r="C292" s="16">
        <v>1.5</v>
      </c>
      <c r="D292" s="15">
        <v>16</v>
      </c>
      <c r="E292" s="19">
        <v>1.3934577546296201</v>
      </c>
      <c r="F292" s="19">
        <v>46.393437796586902</v>
      </c>
      <c r="G292" s="19">
        <v>0.99678742078885096</v>
      </c>
      <c r="H292" s="19">
        <v>24.9314615532112</v>
      </c>
      <c r="I292" s="19">
        <v>49.6379327318921</v>
      </c>
      <c r="J292" s="19">
        <v>0.99832824539481702</v>
      </c>
      <c r="K292" s="20">
        <v>27.768274717753101</v>
      </c>
      <c r="L292" s="15">
        <v>14</v>
      </c>
      <c r="M292" s="19">
        <v>1.32527777777777</v>
      </c>
      <c r="N292" s="19">
        <v>46.363750033009502</v>
      </c>
      <c r="O292" s="19">
        <v>0.99696165191771202</v>
      </c>
      <c r="P292" s="19">
        <v>25.173624735420301</v>
      </c>
      <c r="Q292" s="19">
        <v>49.668722485119297</v>
      </c>
      <c r="R292" s="19">
        <v>0.99836750294953802</v>
      </c>
      <c r="S292" s="19">
        <v>27.8714759472034</v>
      </c>
      <c r="T292" s="21">
        <f>bdrate(E292:E295,F292:F295,M292:M295,N292:N295)</f>
        <v>-8.5708623880965229E-2</v>
      </c>
      <c r="U292" s="22">
        <f>bdrate(E292:E295,H292:H295,M292:M295,P292:P295)</f>
        <v>-0.16530383339452659</v>
      </c>
      <c r="V292" s="22">
        <f>bdrate(E292:E295,I292:I295,M292:M295,Q292:Q295)</f>
        <v>-9.0486395717561674E-2</v>
      </c>
      <c r="W292" s="23">
        <f>bdrate(E292:E295,K292:K295,M292:M295,S292:S295)</f>
        <v>-0.12053951417262676</v>
      </c>
      <c r="X292" s="21">
        <f>bdrate(E294:E297,F294:F297,M294:M297,N294:N297)</f>
        <v>-0.25210197847146243</v>
      </c>
      <c r="Y292" s="22">
        <f>bdrate(E294:E297,H294:H297,M294:M297,P294:P297)</f>
        <v>-0.28557718578218105</v>
      </c>
      <c r="Z292" s="22">
        <f>bdrate(E294:E297,I294:I297,M294:M297,Q294:Q297)</f>
        <v>-0.24638401700887747</v>
      </c>
      <c r="AA292" s="23">
        <f>bdrate(E294:E297,K294:K297,M294:M297,S294:S297)</f>
        <v>-0.23707944039012063</v>
      </c>
      <c r="AB292" s="15">
        <v>256</v>
      </c>
      <c r="AC292" s="19">
        <v>0.62610821759259205</v>
      </c>
      <c r="AD292" s="19">
        <v>44.3428897914877</v>
      </c>
      <c r="AE292" s="19">
        <v>0.99558824075323105</v>
      </c>
      <c r="AF292" s="19">
        <v>23.553881953824899</v>
      </c>
      <c r="AG292" s="19">
        <v>47.236634699817799</v>
      </c>
      <c r="AH292" s="19">
        <v>0.996775336255461</v>
      </c>
      <c r="AI292" s="19">
        <v>24.915155652163101</v>
      </c>
      <c r="AJ292" s="19">
        <v>263.883806705474</v>
      </c>
      <c r="AK292" s="19">
        <v>92.200809240341101</v>
      </c>
      <c r="AL292" s="21">
        <f>bdrate(E292:E295,F292:F295,AC292:AC295,AD292:AD295)</f>
        <v>-0.22223264415352662</v>
      </c>
      <c r="AM292" s="22">
        <f>bdrate(E292:E295,H292:H295,AC292:AC295,AF292:AF295)</f>
        <v>-0.28924654607061806</v>
      </c>
      <c r="AN292" s="22">
        <f>bdrate(E292:E295,I292:I295,AC292:AC295,AG292:AG295)</f>
        <v>-0.17241635301242564</v>
      </c>
      <c r="AO292" s="23">
        <f>bdrate(E292:E295,K292:K295,AC292:AC295,AI292:AI295)</f>
        <v>-0.1063089710594679</v>
      </c>
      <c r="AP292" s="22">
        <f>bdrate(E294:E297,F294:F297,AC294:AC297,AD294:AD297)</f>
        <v>-0.15535733141245467</v>
      </c>
      <c r="AQ292" s="22">
        <f>bdrate(E294:E297,H294:H297,AC294:AC297,AF294:AF297)</f>
        <v>-0.33051694499432782</v>
      </c>
      <c r="AR292" s="22">
        <f>bdrate(E294:E297,I294:I297,AC294:AC297,AG294:AG297)</f>
        <v>-0.11332335678938776</v>
      </c>
      <c r="AS292" s="23">
        <f>bdrate(E294:E297,K294:K297,AC294:AC297,AI294:AI297)</f>
        <v>-0.19903265638897061</v>
      </c>
      <c r="AT292" s="15">
        <v>6.4</v>
      </c>
      <c r="AU292" s="19">
        <v>1.0276128472222199</v>
      </c>
      <c r="AV292" s="19">
        <v>44.561445943985802</v>
      </c>
      <c r="AW292" s="19">
        <v>0.99822536997164901</v>
      </c>
      <c r="AX292" s="19">
        <v>27.508921740982501</v>
      </c>
      <c r="AY292" s="19">
        <v>47.509174867708602</v>
      </c>
      <c r="AZ292" s="19">
        <v>0.99873433840825898</v>
      </c>
      <c r="BA292" s="19">
        <v>28.976823989678401</v>
      </c>
      <c r="BB292" s="19">
        <v>830.12328529357899</v>
      </c>
      <c r="BC292" s="19">
        <v>118.59303736686699</v>
      </c>
      <c r="BD292" s="21">
        <f>bdrate(E292:E295,F292:F295,AU292:AU295,AV292:AV295)</f>
        <v>0.43062455165168845</v>
      </c>
      <c r="BE292" s="22">
        <f>bdrate(E292:E295,H292:H295,AU292:AU295,AX292:AX295)</f>
        <v>-0.65144763544538864</v>
      </c>
      <c r="BF292" s="22">
        <f>bdrate(E292:E295,I292:I295,AU292:AU295,AY292:AY295)</f>
        <v>0.48812745942248315</v>
      </c>
      <c r="BG292" s="23">
        <f>bdrate(E292:E295,K292:K295,AU292:AU295,BA292:BA295)</f>
        <v>-0.52313727803881394</v>
      </c>
      <c r="BH292" s="22">
        <f>bdrate(E294:E297,F294:F297,AU294:AU297,AV294:AV297)</f>
        <v>0.91712574629753574</v>
      </c>
      <c r="BI292" s="22">
        <f>bdrate(E294:E297,H294:H297,AU294:AU297,AX294:AX297)</f>
        <v>-0.61559677083324249</v>
      </c>
      <c r="BJ292" s="22">
        <f>bdrate(E294:E297,I294:I297,AU294:AU297,AY294:AY297)</f>
        <v>0.93341346376992718</v>
      </c>
      <c r="BK292" s="23">
        <f>bdrate(E294:E297,K294:K297,AU294:AU297,BA294:BA297)</f>
        <v>-0.53583982144711317</v>
      </c>
    </row>
    <row r="293" spans="1:63">
      <c r="A293" s="49"/>
      <c r="B293" s="7" t="s">
        <v>18</v>
      </c>
      <c r="C293" s="17">
        <v>1</v>
      </c>
      <c r="D293" s="7">
        <v>18</v>
      </c>
      <c r="E293" s="1">
        <v>0.94128761574074005</v>
      </c>
      <c r="F293" s="1">
        <v>45.014104138123301</v>
      </c>
      <c r="G293" s="1">
        <v>0.99578383559307104</v>
      </c>
      <c r="H293" s="1">
        <v>23.750824623994198</v>
      </c>
      <c r="I293" s="1">
        <v>48.139383388990403</v>
      </c>
      <c r="J293" s="1">
        <v>0.997523858159864</v>
      </c>
      <c r="K293" s="8">
        <v>26.0622448137084</v>
      </c>
      <c r="L293" s="7">
        <v>16</v>
      </c>
      <c r="M293" s="1">
        <v>0.94345486111111099</v>
      </c>
      <c r="N293" s="1">
        <v>45.228472455181503</v>
      </c>
      <c r="O293" s="1">
        <v>0.99614858771863801</v>
      </c>
      <c r="P293" s="1">
        <v>24.143799890540599</v>
      </c>
      <c r="Q293" s="1">
        <v>48.403944931303002</v>
      </c>
      <c r="R293" s="1">
        <v>0.99772005659871299</v>
      </c>
      <c r="S293" s="1">
        <v>26.420759340582599</v>
      </c>
      <c r="T293" s="7"/>
      <c r="U293" s="1"/>
      <c r="V293" s="1"/>
      <c r="W293" s="8"/>
      <c r="X293" s="7"/>
      <c r="Y293" s="1"/>
      <c r="Z293" s="1"/>
      <c r="AA293" s="8"/>
      <c r="AB293" s="7">
        <v>128</v>
      </c>
      <c r="AC293" s="1">
        <v>0.25875868055555501</v>
      </c>
      <c r="AD293" s="1">
        <v>42.7688208603711</v>
      </c>
      <c r="AE293" s="1">
        <v>0.99305038525857103</v>
      </c>
      <c r="AF293" s="1">
        <v>21.580392702745399</v>
      </c>
      <c r="AG293" s="1">
        <v>45.762965481292703</v>
      </c>
      <c r="AH293" s="1">
        <v>0.99455701863425205</v>
      </c>
      <c r="AI293" s="1">
        <v>22.641631525039301</v>
      </c>
      <c r="AJ293" s="1">
        <v>299.38106989860501</v>
      </c>
      <c r="AK293" s="1">
        <v>92.391503810882497</v>
      </c>
      <c r="AL293" s="7"/>
      <c r="AM293" s="1"/>
      <c r="AN293" s="1"/>
      <c r="AO293" s="8"/>
      <c r="AP293" s="1"/>
      <c r="AQ293" s="1"/>
      <c r="AR293" s="1"/>
      <c r="AS293" s="8"/>
      <c r="AT293" s="7">
        <v>3.2</v>
      </c>
      <c r="AU293" s="1">
        <v>0.62695891203703702</v>
      </c>
      <c r="AV293" s="1">
        <v>43.157476907774601</v>
      </c>
      <c r="AW293" s="1">
        <v>0.99737260571587305</v>
      </c>
      <c r="AX293" s="1">
        <v>25.804747492270799</v>
      </c>
      <c r="AY293" s="1">
        <v>46.172664075668102</v>
      </c>
      <c r="AZ293" s="1">
        <v>0.99807017819548405</v>
      </c>
      <c r="BA293" s="1">
        <v>27.144827909343402</v>
      </c>
      <c r="BB293" s="1">
        <v>318.45969605445799</v>
      </c>
      <c r="BC293" s="1">
        <v>185.21935153007499</v>
      </c>
      <c r="BD293" s="7"/>
      <c r="BE293" s="1"/>
      <c r="BF293" s="1"/>
      <c r="BG293" s="8"/>
      <c r="BH293" s="1"/>
      <c r="BI293" s="1"/>
      <c r="BJ293" s="1"/>
      <c r="BK293" s="8"/>
    </row>
    <row r="294" spans="1:63">
      <c r="A294" s="49"/>
      <c r="B294" s="7" t="s">
        <v>18</v>
      </c>
      <c r="C294" s="17">
        <v>0.5</v>
      </c>
      <c r="D294" s="7">
        <v>21</v>
      </c>
      <c r="E294" s="1">
        <v>0.39928819444444402</v>
      </c>
      <c r="F294" s="1">
        <v>42.9949936716094</v>
      </c>
      <c r="G294" s="1">
        <v>0.99323077557691797</v>
      </c>
      <c r="H294" s="1">
        <v>21.694610873076002</v>
      </c>
      <c r="I294" s="1">
        <v>46.076065831730503</v>
      </c>
      <c r="J294" s="1">
        <v>0.99525652262910702</v>
      </c>
      <c r="K294" s="8">
        <v>23.2390316691206</v>
      </c>
      <c r="L294" s="7">
        <v>19</v>
      </c>
      <c r="M294" s="1">
        <v>0.43447337962962901</v>
      </c>
      <c r="N294" s="1">
        <v>43.343391156262001</v>
      </c>
      <c r="O294" s="1">
        <v>0.99408904306461598</v>
      </c>
      <c r="P294" s="1">
        <v>22.2834220471699</v>
      </c>
      <c r="Q294" s="1">
        <v>46.4271266296889</v>
      </c>
      <c r="R294" s="1">
        <v>0.99592112042576997</v>
      </c>
      <c r="S294" s="1">
        <v>23.894591167029301</v>
      </c>
      <c r="T294" s="7"/>
      <c r="U294" s="1"/>
      <c r="V294" s="1"/>
      <c r="W294" s="8"/>
      <c r="X294" s="7"/>
      <c r="Y294" s="1"/>
      <c r="Z294" s="1"/>
      <c r="AA294" s="8"/>
      <c r="AB294" s="7">
        <v>64</v>
      </c>
      <c r="AC294" s="1">
        <v>0.17160011574073999</v>
      </c>
      <c r="AD294" s="1">
        <v>42.132157324829997</v>
      </c>
      <c r="AE294" s="1">
        <v>0.99200724476382496</v>
      </c>
      <c r="AF294" s="1">
        <v>20.9730348631781</v>
      </c>
      <c r="AG294" s="1">
        <v>45.137575337976799</v>
      </c>
      <c r="AH294" s="1">
        <v>0.99371697449230501</v>
      </c>
      <c r="AI294" s="1">
        <v>22.0183117714089</v>
      </c>
      <c r="AJ294" s="1">
        <v>56.492861032485898</v>
      </c>
      <c r="AK294" s="1">
        <v>30.191433429718</v>
      </c>
      <c r="AL294" s="7"/>
      <c r="AM294" s="1"/>
      <c r="AN294" s="1"/>
      <c r="AO294" s="8"/>
      <c r="AP294" s="1"/>
      <c r="AQ294" s="1"/>
      <c r="AR294" s="1"/>
      <c r="AS294" s="8"/>
      <c r="AT294" s="7">
        <v>1.28</v>
      </c>
      <c r="AU294" s="1">
        <v>0.37132233796296299</v>
      </c>
      <c r="AV294" s="1">
        <v>42.033287379177402</v>
      </c>
      <c r="AW294" s="1">
        <v>0.99611160251575204</v>
      </c>
      <c r="AX294" s="1">
        <v>24.102293465256</v>
      </c>
      <c r="AY294" s="1">
        <v>45.064046784588498</v>
      </c>
      <c r="AZ294" s="1">
        <v>0.99711741503038198</v>
      </c>
      <c r="BA294" s="1">
        <v>25.402178821972601</v>
      </c>
      <c r="BB294" s="1">
        <v>102.95279836654601</v>
      </c>
      <c r="BC294" s="1">
        <v>45.153811454772899</v>
      </c>
      <c r="BD294" s="7"/>
      <c r="BE294" s="1"/>
      <c r="BF294" s="1"/>
      <c r="BG294" s="8"/>
      <c r="BH294" s="1"/>
      <c r="BI294" s="1"/>
      <c r="BJ294" s="1"/>
      <c r="BK294" s="8"/>
    </row>
    <row r="295" spans="1:63">
      <c r="A295" s="49"/>
      <c r="B295" s="7" t="s">
        <v>18</v>
      </c>
      <c r="C295" s="17">
        <v>0.25</v>
      </c>
      <c r="D295" s="7">
        <v>23</v>
      </c>
      <c r="E295" s="1">
        <v>0.22968460648148101</v>
      </c>
      <c r="F295" s="1">
        <v>42.255420696474999</v>
      </c>
      <c r="G295" s="1">
        <v>0.99189165594888296</v>
      </c>
      <c r="H295" s="1">
        <v>20.910678317191199</v>
      </c>
      <c r="I295" s="1">
        <v>45.340091088228597</v>
      </c>
      <c r="J295" s="1">
        <v>0.99399192408845705</v>
      </c>
      <c r="K295" s="8">
        <v>22.212645886943299</v>
      </c>
      <c r="L295" s="7">
        <v>21</v>
      </c>
      <c r="M295" s="1">
        <v>0.213220486111111</v>
      </c>
      <c r="N295" s="1">
        <v>42.379290343153798</v>
      </c>
      <c r="O295" s="1">
        <v>0.99232576001349604</v>
      </c>
      <c r="P295" s="1">
        <v>21.1496462380011</v>
      </c>
      <c r="Q295" s="1">
        <v>45.451674736828302</v>
      </c>
      <c r="R295" s="1">
        <v>0.99426665869020303</v>
      </c>
      <c r="S295" s="1">
        <v>22.4159220360314</v>
      </c>
      <c r="T295" s="7"/>
      <c r="U295" s="1"/>
      <c r="V295" s="1"/>
      <c r="W295" s="8"/>
      <c r="X295" s="7"/>
      <c r="Y295" s="1"/>
      <c r="Z295" s="1"/>
      <c r="AA295" s="8"/>
      <c r="AB295" s="7">
        <v>32</v>
      </c>
      <c r="AC295" s="1">
        <v>0.11142071759259201</v>
      </c>
      <c r="AD295" s="1">
        <v>41.570744465941203</v>
      </c>
      <c r="AE295" s="1">
        <v>0.99131595778513304</v>
      </c>
      <c r="AF295" s="1">
        <v>20.612780740201401</v>
      </c>
      <c r="AG295" s="1">
        <v>44.571348136690801</v>
      </c>
      <c r="AH295" s="1">
        <v>0.99316614509369705</v>
      </c>
      <c r="AI295" s="1">
        <v>21.653342462076001</v>
      </c>
      <c r="AJ295" s="1">
        <v>44.333130598068202</v>
      </c>
      <c r="AK295" s="1">
        <v>23.4644935131073</v>
      </c>
      <c r="AL295" s="7"/>
      <c r="AM295" s="1"/>
      <c r="AN295" s="1"/>
      <c r="AO295" s="8"/>
      <c r="AP295" s="1"/>
      <c r="AQ295" s="1"/>
      <c r="AR295" s="1"/>
      <c r="AS295" s="8"/>
      <c r="AT295" s="7">
        <v>0.64</v>
      </c>
      <c r="AU295" s="1">
        <v>0.203388310185185</v>
      </c>
      <c r="AV295" s="1">
        <v>40.8165823069792</v>
      </c>
      <c r="AW295" s="1">
        <v>0.99435231932949397</v>
      </c>
      <c r="AX295" s="1">
        <v>22.481298670125099</v>
      </c>
      <c r="AY295" s="1">
        <v>43.898767867354799</v>
      </c>
      <c r="AZ295" s="1">
        <v>0.99565055056693597</v>
      </c>
      <c r="BA295" s="1">
        <v>23.615657139223899</v>
      </c>
      <c r="BB295" s="1">
        <v>85.332947731017995</v>
      </c>
      <c r="BC295" s="1">
        <v>43.965219974517801</v>
      </c>
      <c r="BD295" s="7"/>
      <c r="BE295" s="1"/>
      <c r="BF295" s="1"/>
      <c r="BG295" s="8"/>
      <c r="BH295" s="1"/>
      <c r="BI295" s="1"/>
      <c r="BJ295" s="1"/>
      <c r="BK295" s="8"/>
    </row>
    <row r="296" spans="1:63">
      <c r="A296" s="49"/>
      <c r="B296" s="7" t="s">
        <v>18</v>
      </c>
      <c r="C296" s="17">
        <v>0.12</v>
      </c>
      <c r="D296" s="7">
        <v>28</v>
      </c>
      <c r="E296" s="1">
        <v>0.115040509259259</v>
      </c>
      <c r="F296" s="1">
        <v>41.254148894767901</v>
      </c>
      <c r="G296" s="1">
        <v>0.99034644565659102</v>
      </c>
      <c r="H296" s="1">
        <v>20.1531275427079</v>
      </c>
      <c r="I296" s="1">
        <v>44.332502422974798</v>
      </c>
      <c r="J296" s="1">
        <v>0.99273143335763903</v>
      </c>
      <c r="K296" s="8">
        <v>21.385512233483102</v>
      </c>
      <c r="L296" s="7">
        <v>24</v>
      </c>
      <c r="M296" s="1">
        <v>0.119024884259259</v>
      </c>
      <c r="N296" s="1">
        <v>41.810164760334402</v>
      </c>
      <c r="O296" s="1">
        <v>0.99129496792324601</v>
      </c>
      <c r="P296" s="1">
        <v>20.602296242328801</v>
      </c>
      <c r="Q296" s="1">
        <v>44.878079265483002</v>
      </c>
      <c r="R296" s="1">
        <v>0.99341166952353699</v>
      </c>
      <c r="S296" s="1">
        <v>21.812246243619398</v>
      </c>
      <c r="T296" s="7"/>
      <c r="U296" s="1"/>
      <c r="V296" s="1"/>
      <c r="W296" s="8"/>
      <c r="X296" s="7"/>
      <c r="Y296" s="1"/>
      <c r="Z296" s="1"/>
      <c r="AA296" s="8"/>
      <c r="AB296" s="7">
        <v>16</v>
      </c>
      <c r="AC296" s="1">
        <v>8.1941550925925893E-2</v>
      </c>
      <c r="AD296" s="1">
        <v>40.843013553090202</v>
      </c>
      <c r="AE296" s="1">
        <v>0.99047213471297002</v>
      </c>
      <c r="AF296" s="1">
        <v>20.210043919024098</v>
      </c>
      <c r="AG296" s="1">
        <v>43.827594074778801</v>
      </c>
      <c r="AH296" s="1">
        <v>0.99243599342651101</v>
      </c>
      <c r="AI296" s="1">
        <v>21.212481024038699</v>
      </c>
      <c r="AJ296" s="1">
        <v>49.3343245983123</v>
      </c>
      <c r="AK296" s="1">
        <v>30.086331844329798</v>
      </c>
      <c r="AL296" s="7"/>
      <c r="AM296" s="1"/>
      <c r="AN296" s="1"/>
      <c r="AO296" s="8"/>
      <c r="AP296" s="1"/>
      <c r="AQ296" s="1"/>
      <c r="AR296" s="1"/>
      <c r="AS296" s="8"/>
      <c r="AT296" s="7">
        <v>0.32</v>
      </c>
      <c r="AU296" s="1">
        <v>9.5627893518518498E-2</v>
      </c>
      <c r="AV296" s="1">
        <v>40.067799949909897</v>
      </c>
      <c r="AW296" s="1">
        <v>0.99216327504512403</v>
      </c>
      <c r="AX296" s="1">
        <v>21.058653953752199</v>
      </c>
      <c r="AY296" s="1">
        <v>43.1104665331885</v>
      </c>
      <c r="AZ296" s="1">
        <v>0.99379808813995496</v>
      </c>
      <c r="BA296" s="1">
        <v>22.0747441013485</v>
      </c>
      <c r="BB296" s="1">
        <v>73.669357538223196</v>
      </c>
      <c r="BC296" s="1">
        <v>44.749295949935899</v>
      </c>
      <c r="BD296" s="7"/>
      <c r="BE296" s="1"/>
      <c r="BF296" s="1"/>
      <c r="BG296" s="8"/>
      <c r="BH296" s="1"/>
      <c r="BI296" s="1"/>
      <c r="BJ296" s="1"/>
      <c r="BK296" s="8"/>
    </row>
    <row r="297" spans="1:63">
      <c r="A297" s="49"/>
      <c r="B297" s="7" t="s">
        <v>18</v>
      </c>
      <c r="C297" s="17">
        <v>0.06</v>
      </c>
      <c r="D297" s="7">
        <v>34</v>
      </c>
      <c r="E297" s="1">
        <v>5.9184027777777697E-2</v>
      </c>
      <c r="F297" s="1">
        <v>39.680173792657499</v>
      </c>
      <c r="G297" s="1">
        <v>0.98781670325353899</v>
      </c>
      <c r="H297" s="1">
        <v>19.142351776255602</v>
      </c>
      <c r="I297" s="1">
        <v>42.760348855152799</v>
      </c>
      <c r="J297" s="1">
        <v>0.99058855178571203</v>
      </c>
      <c r="K297" s="8">
        <v>20.263435430891601</v>
      </c>
      <c r="L297" s="7">
        <v>31</v>
      </c>
      <c r="M297" s="1">
        <v>5.4473379629629601E-2</v>
      </c>
      <c r="N297" s="1">
        <v>40.574879775293297</v>
      </c>
      <c r="O297" s="1">
        <v>0.98949037506822801</v>
      </c>
      <c r="P297" s="1">
        <v>19.7841278282697</v>
      </c>
      <c r="Q297" s="1">
        <v>43.657062233960602</v>
      </c>
      <c r="R297" s="1">
        <v>0.99185427308904905</v>
      </c>
      <c r="S297" s="1">
        <v>20.8907015391801</v>
      </c>
      <c r="T297" s="7"/>
      <c r="U297" s="1"/>
      <c r="V297" s="1"/>
      <c r="W297" s="8"/>
      <c r="X297" s="7"/>
      <c r="Y297" s="1"/>
      <c r="Z297" s="1"/>
      <c r="AA297" s="8"/>
      <c r="AB297" s="7">
        <v>8</v>
      </c>
      <c r="AC297" s="1">
        <v>5.9892939814814798E-2</v>
      </c>
      <c r="AD297" s="1">
        <v>40.119910656020899</v>
      </c>
      <c r="AE297" s="1">
        <v>0.98940722905226897</v>
      </c>
      <c r="AF297" s="1">
        <v>19.749904185614</v>
      </c>
      <c r="AG297" s="1">
        <v>43.081962122341402</v>
      </c>
      <c r="AH297" s="1">
        <v>0.99149708745491805</v>
      </c>
      <c r="AI297" s="1">
        <v>20.704322877450299</v>
      </c>
      <c r="AJ297" s="1">
        <v>35.767004251480103</v>
      </c>
      <c r="AK297" s="1">
        <v>22.466425418853699</v>
      </c>
      <c r="AL297" s="7"/>
      <c r="AM297" s="1"/>
      <c r="AN297" s="1"/>
      <c r="AO297" s="8"/>
      <c r="AP297" s="1"/>
      <c r="AQ297" s="1"/>
      <c r="AR297" s="1"/>
      <c r="AS297" s="8"/>
      <c r="AT297" s="7">
        <v>0.16</v>
      </c>
      <c r="AU297" s="1">
        <v>5.8723958333333298E-2</v>
      </c>
      <c r="AV297" s="1">
        <v>38.808418380252299</v>
      </c>
      <c r="AW297" s="1">
        <v>0.99061368053019605</v>
      </c>
      <c r="AX297" s="1">
        <v>20.2750466836222</v>
      </c>
      <c r="AY297" s="1">
        <v>41.821311453810701</v>
      </c>
      <c r="AZ297" s="1">
        <v>0.99259076492713505</v>
      </c>
      <c r="BA297" s="1">
        <v>21.302266261342801</v>
      </c>
      <c r="BB297" s="1">
        <v>62.762163162231403</v>
      </c>
      <c r="BC297" s="1">
        <v>36.361399650573702</v>
      </c>
      <c r="BD297" s="7"/>
      <c r="BE297" s="1"/>
      <c r="BF297" s="1"/>
      <c r="BG297" s="8"/>
      <c r="BH297" s="1"/>
      <c r="BI297" s="1"/>
      <c r="BJ297" s="1"/>
      <c r="BK297" s="8"/>
    </row>
    <row r="298" spans="1:63">
      <c r="A298" s="49"/>
      <c r="B298" s="7" t="s">
        <v>70</v>
      </c>
      <c r="C298" s="17">
        <v>1.5</v>
      </c>
      <c r="D298" s="7">
        <v>24</v>
      </c>
      <c r="E298" s="1">
        <v>1.36642071759259</v>
      </c>
      <c r="F298" s="1">
        <v>39.590370610957002</v>
      </c>
      <c r="G298" s="1">
        <v>0.99255591287866995</v>
      </c>
      <c r="H298" s="1">
        <v>21.281885527778101</v>
      </c>
      <c r="I298" s="1">
        <v>42.747578000678899</v>
      </c>
      <c r="J298" s="1">
        <v>0.99547115554770504</v>
      </c>
      <c r="K298" s="8">
        <v>23.4401259534052</v>
      </c>
      <c r="L298" s="7">
        <v>21</v>
      </c>
      <c r="M298" s="1">
        <v>1.4796556712962901</v>
      </c>
      <c r="N298" s="1">
        <v>40.661214806708202</v>
      </c>
      <c r="O298" s="1">
        <v>0.99407690729590903</v>
      </c>
      <c r="P298" s="1">
        <v>22.2745147003337</v>
      </c>
      <c r="Q298" s="1">
        <v>43.933080456426801</v>
      </c>
      <c r="R298" s="1">
        <v>0.99653139398352497</v>
      </c>
      <c r="S298" s="1">
        <v>24.598450269346301</v>
      </c>
      <c r="T298" s="13">
        <f>bdrate(E298:E301,F298:F301,M298:M301,N298:N301)</f>
        <v>-0.17961598082629593</v>
      </c>
      <c r="U298" s="12">
        <f>bdrate(E298:E301,H298:H301,M298:M301,P298:P301)</f>
        <v>-0.17273943769854616</v>
      </c>
      <c r="V298" s="12">
        <f>bdrate(E298:E301,I298:I301,M298:M301,Q298:Q301)</f>
        <v>-0.18483568319263455</v>
      </c>
      <c r="W298" s="14">
        <f>bdrate(E298:E301,K298:K301,M298:M301,S298:S301)</f>
        <v>-0.14792333570261507</v>
      </c>
      <c r="X298" s="13">
        <f>bdrate(E300:E303,F300:F303,M300:M303,N300:N303)</f>
        <v>-0.29625672200182085</v>
      </c>
      <c r="Y298" s="12">
        <f>bdrate(E300:E303,H300:H303,M300:M303,P300:P303)</f>
        <v>-0.2602489779275019</v>
      </c>
      <c r="Z298" s="12">
        <f>bdrate(E300:E303,I300:I303,M300:M303,Q300:Q303)</f>
        <v>-0.30704256878090841</v>
      </c>
      <c r="AA298" s="14">
        <f>bdrate(E300:E303,K300:K303,M300:M303,S300:S303)</f>
        <v>-0.2243079869729957</v>
      </c>
      <c r="AB298" s="7">
        <v>128</v>
      </c>
      <c r="AC298" s="1">
        <v>1.4656336805555501</v>
      </c>
      <c r="AD298" s="1">
        <v>40.3645931684202</v>
      </c>
      <c r="AE298" s="1">
        <v>0.99446806048087699</v>
      </c>
      <c r="AF298" s="1">
        <v>22.5712257669264</v>
      </c>
      <c r="AG298" s="1">
        <v>43.167024854449899</v>
      </c>
      <c r="AH298" s="1">
        <v>0.99647423156711001</v>
      </c>
      <c r="AI298" s="1">
        <v>24.527462149012901</v>
      </c>
      <c r="AJ298" s="1">
        <v>289.34671831130902</v>
      </c>
      <c r="AK298" s="1">
        <v>90.050441741943303</v>
      </c>
      <c r="AL298" s="13">
        <f>bdrate(E298:E301,F298:F301,AC298:AC301,AD298:AD301)</f>
        <v>-8.4527253355484167E-2</v>
      </c>
      <c r="AM298" s="12">
        <f>bdrate(E298:E301,H298:H301,AC298:AC301,AF298:AF301)</f>
        <v>-0.19097235420066083</v>
      </c>
      <c r="AN298" s="12">
        <f>bdrate(E298:E301,I298:I301,AC298:AC301,AG298:AG301)</f>
        <v>-2.9698081615566418E-2</v>
      </c>
      <c r="AO298" s="14">
        <f>bdrate(E298:E301,K298:K301,AC298:AC301,AI298:AI301)</f>
        <v>-0.12167215768432815</v>
      </c>
      <c r="AP298" s="12">
        <f>bdrate(E300:E303,F300:F303,AC300:AC303,AD300:AD303)</f>
        <v>-0.14115632432926184</v>
      </c>
      <c r="AQ298" s="12">
        <f>bdrate(E300:E303,H300:H303,AC300:AC303,AF300:AF303)</f>
        <v>-0.22410493440470958</v>
      </c>
      <c r="AR298" s="12">
        <f>bdrate(E300:E303,I300:I303,AC300:AC303,AG300:AG303)</f>
        <v>-0.11757994452827936</v>
      </c>
      <c r="AS298" s="14">
        <f>bdrate(E300:E303,K300:K303,AC300:AC303,AI300:AI303)</f>
        <v>-0.16780125319926609</v>
      </c>
      <c r="AT298" s="7">
        <v>3.2</v>
      </c>
      <c r="AU298" s="1">
        <v>1.27770543981481</v>
      </c>
      <c r="AV298" s="1">
        <v>37.199981115716398</v>
      </c>
      <c r="AW298" s="1">
        <v>0.99656705359407405</v>
      </c>
      <c r="AX298" s="1">
        <v>24.6433297658958</v>
      </c>
      <c r="AY298" s="1">
        <v>40.1579744731741</v>
      </c>
      <c r="AZ298" s="1">
        <v>0.997516597225098</v>
      </c>
      <c r="BA298" s="1">
        <v>26.0495283794396</v>
      </c>
      <c r="BB298" s="1">
        <v>350.91756319999598</v>
      </c>
      <c r="BC298" s="1">
        <v>144.44365358352599</v>
      </c>
      <c r="BD298" s="13">
        <f>bdrate(E298:E301,F298:F301,AU298:AU301,AV298:AV301)</f>
        <v>0.77621319428264512</v>
      </c>
      <c r="BE298" s="12">
        <f>bdrate(E298:E301,H298:H301,AU298:AU301,AX298:AX301)</f>
        <v>-0.56778500353401817</v>
      </c>
      <c r="BF298" s="12">
        <f>bdrate(E298:E301,I298:I301,AU298:AU301,AY298:AY301)</f>
        <v>0.7771841447287311</v>
      </c>
      <c r="BG298" s="14">
        <f>bdrate(E298:E301,K298:K301,AU298:AU301,BA298:BA301)</f>
        <v>-0.50748681914182425</v>
      </c>
      <c r="BH298" s="12">
        <f>bdrate(E300:E303,F300:F303,AU300:AU303,AV300:AV303)</f>
        <v>0.47513133095204152</v>
      </c>
      <c r="BI298" s="12">
        <f>bdrate(E300:E303,H300:H303,AU300:AU303,AX300:AX303)</f>
        <v>-0.51969404471490765</v>
      </c>
      <c r="BJ298" s="12">
        <f>bdrate(E300:E303,I300:I303,AU300:AU303,AY300:AY303)</f>
        <v>0.45067921528288668</v>
      </c>
      <c r="BK298" s="14">
        <f>bdrate(E300:E303,K300:K303,AU300:AU303,BA300:BA303)</f>
        <v>-0.48908702281778604</v>
      </c>
    </row>
    <row r="299" spans="1:63">
      <c r="A299" s="49"/>
      <c r="B299" s="7" t="s">
        <v>18</v>
      </c>
      <c r="C299" s="17">
        <v>1</v>
      </c>
      <c r="D299" s="7">
        <v>26</v>
      </c>
      <c r="E299" s="1">
        <v>0.99173611111111104</v>
      </c>
      <c r="F299" s="1">
        <v>38.030912376572303</v>
      </c>
      <c r="G299" s="1">
        <v>0.98949510162908405</v>
      </c>
      <c r="H299" s="1">
        <v>19.786081447967199</v>
      </c>
      <c r="I299" s="1">
        <v>41.1155647388887</v>
      </c>
      <c r="J299" s="1">
        <v>0.993095541747262</v>
      </c>
      <c r="K299" s="8">
        <v>21.608703919697199</v>
      </c>
      <c r="L299" s="7">
        <v>24</v>
      </c>
      <c r="M299" s="1">
        <v>0.95165509259259196</v>
      </c>
      <c r="N299" s="1">
        <v>38.503498860902802</v>
      </c>
      <c r="O299" s="1">
        <v>0.99061999073494</v>
      </c>
      <c r="P299" s="1">
        <v>20.277967326484301</v>
      </c>
      <c r="Q299" s="1">
        <v>41.633763728455499</v>
      </c>
      <c r="R299" s="1">
        <v>0.99385591872688295</v>
      </c>
      <c r="S299" s="1">
        <v>22.11543048147</v>
      </c>
      <c r="T299" s="7"/>
      <c r="U299" s="1"/>
      <c r="V299" s="1"/>
      <c r="W299" s="8"/>
      <c r="X299" s="7"/>
      <c r="Y299" s="1"/>
      <c r="Z299" s="1"/>
      <c r="AA299" s="8"/>
      <c r="AB299" s="7">
        <v>64</v>
      </c>
      <c r="AC299" s="1">
        <v>0.96380497685185096</v>
      </c>
      <c r="AD299" s="1">
        <v>38.168740383615201</v>
      </c>
      <c r="AE299" s="1">
        <v>0.991160820510124</v>
      </c>
      <c r="AF299" s="1">
        <v>20.535880471540999</v>
      </c>
      <c r="AG299" s="1">
        <v>40.966274963362999</v>
      </c>
      <c r="AH299" s="1">
        <v>0.99378366902760595</v>
      </c>
      <c r="AI299" s="1">
        <v>22.064658707101</v>
      </c>
      <c r="AJ299" s="1">
        <v>56.214450597762998</v>
      </c>
      <c r="AK299" s="1">
        <v>29.052577972412099</v>
      </c>
      <c r="AL299" s="7"/>
      <c r="AM299" s="1"/>
      <c r="AN299" s="1"/>
      <c r="AO299" s="8"/>
      <c r="AP299" s="1"/>
      <c r="AQ299" s="1"/>
      <c r="AR299" s="1"/>
      <c r="AS299" s="8"/>
      <c r="AT299" s="7">
        <v>1.28</v>
      </c>
      <c r="AU299" s="1">
        <v>0.77559895833333303</v>
      </c>
      <c r="AV299" s="1">
        <v>35.0263581138056</v>
      </c>
      <c r="AW299" s="1">
        <v>0.99393650355908802</v>
      </c>
      <c r="AX299" s="1">
        <v>22.1727687301161</v>
      </c>
      <c r="AY299" s="1">
        <v>38.061518219302201</v>
      </c>
      <c r="AZ299" s="1">
        <v>0.99550851982385802</v>
      </c>
      <c r="BA299" s="1">
        <v>23.476105128061398</v>
      </c>
      <c r="BB299" s="1">
        <v>99.149079561233506</v>
      </c>
      <c r="BC299" s="1">
        <v>41.659463644027703</v>
      </c>
      <c r="BD299" s="7"/>
      <c r="BE299" s="1"/>
      <c r="BF299" s="1"/>
      <c r="BG299" s="8"/>
      <c r="BH299" s="1"/>
      <c r="BI299" s="1"/>
      <c r="BJ299" s="1"/>
      <c r="BK299" s="8"/>
    </row>
    <row r="300" spans="1:63">
      <c r="A300" s="49"/>
      <c r="B300" s="7" t="s">
        <v>18</v>
      </c>
      <c r="C300" s="17">
        <v>0.5</v>
      </c>
      <c r="D300" s="7">
        <v>31</v>
      </c>
      <c r="E300" s="1">
        <v>0.43761574074074</v>
      </c>
      <c r="F300" s="1">
        <v>35.116340699128202</v>
      </c>
      <c r="G300" s="1">
        <v>0.97936640773487404</v>
      </c>
      <c r="H300" s="1">
        <v>16.854251556861499</v>
      </c>
      <c r="I300" s="1">
        <v>38.144665100422102</v>
      </c>
      <c r="J300" s="1">
        <v>0.98439320885634196</v>
      </c>
      <c r="K300" s="8">
        <v>18.066863814896902</v>
      </c>
      <c r="L300" s="7">
        <v>28</v>
      </c>
      <c r="M300" s="1">
        <v>0.46499710648148102</v>
      </c>
      <c r="N300" s="1">
        <v>36.007928271608897</v>
      </c>
      <c r="O300" s="1">
        <v>0.98283166961439805</v>
      </c>
      <c r="P300" s="1">
        <v>17.652719377789101</v>
      </c>
      <c r="Q300" s="1">
        <v>39.072299599713901</v>
      </c>
      <c r="R300" s="1">
        <v>0.987050536437731</v>
      </c>
      <c r="S300" s="1">
        <v>18.877482220670501</v>
      </c>
      <c r="T300" s="7"/>
      <c r="U300" s="1"/>
      <c r="V300" s="1"/>
      <c r="W300" s="8"/>
      <c r="X300" s="7"/>
      <c r="Y300" s="1"/>
      <c r="Z300" s="1"/>
      <c r="AA300" s="8"/>
      <c r="AB300" s="7">
        <v>32</v>
      </c>
      <c r="AC300" s="1">
        <v>0.58862557870370302</v>
      </c>
      <c r="AD300" s="1">
        <v>36.399606547240502</v>
      </c>
      <c r="AE300" s="1">
        <v>0.98582872843369596</v>
      </c>
      <c r="AF300" s="1">
        <v>18.4859117943125</v>
      </c>
      <c r="AG300" s="1">
        <v>39.242048878926703</v>
      </c>
      <c r="AH300" s="1">
        <v>0.98918955228508698</v>
      </c>
      <c r="AI300" s="1">
        <v>19.6615631935938</v>
      </c>
      <c r="AJ300" s="1">
        <v>46.108956336975098</v>
      </c>
      <c r="AK300" s="1">
        <v>23.480509281158401</v>
      </c>
      <c r="AL300" s="7"/>
      <c r="AM300" s="1"/>
      <c r="AN300" s="1"/>
      <c r="AO300" s="8"/>
      <c r="AP300" s="1"/>
      <c r="AQ300" s="1"/>
      <c r="AR300" s="1"/>
      <c r="AS300" s="8"/>
      <c r="AT300" s="7">
        <v>0.64</v>
      </c>
      <c r="AU300" s="1">
        <v>0.52361400462962904</v>
      </c>
      <c r="AV300" s="1">
        <v>33.695814097307299</v>
      </c>
      <c r="AW300" s="1">
        <v>0.99126818330626698</v>
      </c>
      <c r="AX300" s="1">
        <v>20.588953899734499</v>
      </c>
      <c r="AY300" s="1">
        <v>36.756414934416497</v>
      </c>
      <c r="AZ300" s="1">
        <v>0.99347772864454997</v>
      </c>
      <c r="BA300" s="1">
        <v>21.856011365753002</v>
      </c>
      <c r="BB300" s="1">
        <v>83.009636402130099</v>
      </c>
      <c r="BC300" s="1">
        <v>42.795945405959998</v>
      </c>
      <c r="BD300" s="7"/>
      <c r="BE300" s="1"/>
      <c r="BF300" s="1"/>
      <c r="BG300" s="8"/>
      <c r="BH300" s="1"/>
      <c r="BI300" s="1"/>
      <c r="BJ300" s="1"/>
      <c r="BK300" s="8"/>
    </row>
    <row r="301" spans="1:63">
      <c r="A301" s="49"/>
      <c r="B301" s="7" t="s">
        <v>18</v>
      </c>
      <c r="C301" s="17">
        <v>0.25</v>
      </c>
      <c r="D301" s="7">
        <v>36</v>
      </c>
      <c r="E301" s="1">
        <v>0.22276909722222199</v>
      </c>
      <c r="F301" s="1">
        <v>32.950760804764599</v>
      </c>
      <c r="G301" s="1">
        <v>0.97004495534628299</v>
      </c>
      <c r="H301" s="1">
        <v>15.235300286742399</v>
      </c>
      <c r="I301" s="1">
        <v>35.960680079012697</v>
      </c>
      <c r="J301" s="1">
        <v>0.97608524131904795</v>
      </c>
      <c r="K301" s="8">
        <v>16.213339971486899</v>
      </c>
      <c r="L301" s="7">
        <v>33</v>
      </c>
      <c r="M301" s="1">
        <v>0.22298900462962901</v>
      </c>
      <c r="N301" s="1">
        <v>34.0014183765105</v>
      </c>
      <c r="O301" s="1">
        <v>0.97422382735869895</v>
      </c>
      <c r="P301" s="1">
        <v>15.887815681371</v>
      </c>
      <c r="Q301" s="1">
        <v>37.047007949752498</v>
      </c>
      <c r="R301" s="1">
        <v>0.97931433935035905</v>
      </c>
      <c r="S301" s="1">
        <v>16.8433060423854</v>
      </c>
      <c r="T301" s="7"/>
      <c r="U301" s="1"/>
      <c r="V301" s="1"/>
      <c r="W301" s="8"/>
      <c r="X301" s="7"/>
      <c r="Y301" s="1"/>
      <c r="Z301" s="1"/>
      <c r="AA301" s="8"/>
      <c r="AB301" s="7">
        <v>8</v>
      </c>
      <c r="AC301" s="1">
        <v>0.240737847222222</v>
      </c>
      <c r="AD301" s="1">
        <v>33.7047045553293</v>
      </c>
      <c r="AE301" s="1">
        <v>0.97477661770478796</v>
      </c>
      <c r="AF301" s="1">
        <v>15.9819667772898</v>
      </c>
      <c r="AG301" s="1">
        <v>36.6239591080843</v>
      </c>
      <c r="AH301" s="1">
        <v>0.97938899734436602</v>
      </c>
      <c r="AI301" s="1">
        <v>16.8590088074784</v>
      </c>
      <c r="AJ301" s="1">
        <v>36.565867662429802</v>
      </c>
      <c r="AK301" s="1">
        <v>22.8472144603729</v>
      </c>
      <c r="AL301" s="7"/>
      <c r="AM301" s="1"/>
      <c r="AN301" s="1"/>
      <c r="AO301" s="8"/>
      <c r="AP301" s="1"/>
      <c r="AQ301" s="1"/>
      <c r="AR301" s="1"/>
      <c r="AS301" s="8"/>
      <c r="AT301" s="7">
        <v>0.16</v>
      </c>
      <c r="AU301" s="1">
        <v>0.22536747685185099</v>
      </c>
      <c r="AV301" s="1">
        <v>31.528066054071001</v>
      </c>
      <c r="AW301" s="1">
        <v>0.98170540420826602</v>
      </c>
      <c r="AX301" s="1">
        <v>17.376771815509102</v>
      </c>
      <c r="AY301" s="1">
        <v>34.612749786546402</v>
      </c>
      <c r="AZ301" s="1">
        <v>0.98548879412383095</v>
      </c>
      <c r="BA301" s="1">
        <v>18.382964963420299</v>
      </c>
      <c r="BB301" s="1">
        <v>53.937877655029297</v>
      </c>
      <c r="BC301" s="1">
        <v>37.072238206863403</v>
      </c>
      <c r="BD301" s="7"/>
      <c r="BE301" s="1"/>
      <c r="BF301" s="1"/>
      <c r="BG301" s="8"/>
      <c r="BH301" s="1"/>
      <c r="BI301" s="1"/>
      <c r="BJ301" s="1"/>
      <c r="BK301" s="8"/>
    </row>
    <row r="302" spans="1:63">
      <c r="A302" s="49"/>
      <c r="B302" s="7" t="s">
        <v>18</v>
      </c>
      <c r="C302" s="17">
        <v>0.12</v>
      </c>
      <c r="D302" s="7">
        <v>41</v>
      </c>
      <c r="E302" s="1">
        <v>0.114580439814814</v>
      </c>
      <c r="F302" s="1">
        <v>30.614665088852199</v>
      </c>
      <c r="G302" s="1">
        <v>0.95665100864001396</v>
      </c>
      <c r="H302" s="1">
        <v>13.6302100319097</v>
      </c>
      <c r="I302" s="1">
        <v>33.636306174435802</v>
      </c>
      <c r="J302" s="1">
        <v>0.963828310200598</v>
      </c>
      <c r="K302" s="8">
        <v>14.4163120223053</v>
      </c>
      <c r="L302" s="7">
        <v>38</v>
      </c>
      <c r="M302" s="1">
        <v>0.11755787037036999</v>
      </c>
      <c r="N302" s="1">
        <v>31.987268511119201</v>
      </c>
      <c r="O302" s="1">
        <v>0.96421834808471196</v>
      </c>
      <c r="P302" s="1">
        <v>14.4633961342953</v>
      </c>
      <c r="Q302" s="1">
        <v>35.055425376844703</v>
      </c>
      <c r="R302" s="1">
        <v>0.96987783654860105</v>
      </c>
      <c r="S302" s="1">
        <v>15.2111383920234</v>
      </c>
      <c r="T302" s="7"/>
      <c r="U302" s="1"/>
      <c r="V302" s="1"/>
      <c r="W302" s="8"/>
      <c r="X302" s="7"/>
      <c r="Y302" s="1"/>
      <c r="Z302" s="1"/>
      <c r="AA302" s="8"/>
      <c r="AB302" s="7">
        <v>4</v>
      </c>
      <c r="AC302" s="1">
        <v>0.16308738425925901</v>
      </c>
      <c r="AD302" s="1">
        <v>32.3901096857889</v>
      </c>
      <c r="AE302" s="1">
        <v>0.96911870212321405</v>
      </c>
      <c r="AF302" s="1">
        <v>15.1030445545801</v>
      </c>
      <c r="AG302" s="1">
        <v>35.333552131346899</v>
      </c>
      <c r="AH302" s="1">
        <v>0.97423798686632901</v>
      </c>
      <c r="AI302" s="1">
        <v>15.8902020269873</v>
      </c>
      <c r="AJ302" s="1">
        <v>54.705779552459703</v>
      </c>
      <c r="AK302" s="1">
        <v>40.401001691818202</v>
      </c>
      <c r="AL302" s="7"/>
      <c r="AM302" s="1"/>
      <c r="AN302" s="1"/>
      <c r="AO302" s="8"/>
      <c r="AP302" s="1"/>
      <c r="AQ302" s="1"/>
      <c r="AR302" s="1"/>
      <c r="AS302" s="8"/>
      <c r="AT302" s="7">
        <v>0.08</v>
      </c>
      <c r="AU302" s="1">
        <v>0.135923032407407</v>
      </c>
      <c r="AV302" s="1">
        <v>30.322373490403901</v>
      </c>
      <c r="AW302" s="1">
        <v>0.97370520049544595</v>
      </c>
      <c r="AX302" s="1">
        <v>15.801301362936799</v>
      </c>
      <c r="AY302" s="1">
        <v>33.372913612285402</v>
      </c>
      <c r="AZ302" s="1">
        <v>0.97845309183759199</v>
      </c>
      <c r="BA302" s="1">
        <v>16.666150393937301</v>
      </c>
      <c r="BB302" s="1">
        <v>35.047060728073099</v>
      </c>
      <c r="BC302" s="1">
        <v>22.4616487026214</v>
      </c>
      <c r="BD302" s="7"/>
      <c r="BE302" s="1"/>
      <c r="BF302" s="1"/>
      <c r="BG302" s="8"/>
      <c r="BH302" s="1"/>
      <c r="BI302" s="1"/>
      <c r="BJ302" s="1"/>
      <c r="BK302" s="8"/>
    </row>
    <row r="303" spans="1:63">
      <c r="A303" s="49"/>
      <c r="B303" s="7" t="s">
        <v>18</v>
      </c>
      <c r="C303" s="17">
        <v>0.06</v>
      </c>
      <c r="D303" s="7">
        <v>46</v>
      </c>
      <c r="E303" s="1">
        <v>5.7627314814814798E-2</v>
      </c>
      <c r="F303" s="1">
        <v>28.1441625727381</v>
      </c>
      <c r="G303" s="1">
        <v>0.93387363709053195</v>
      </c>
      <c r="H303" s="1">
        <v>11.796253637588499</v>
      </c>
      <c r="I303" s="1">
        <v>31.2015098019323</v>
      </c>
      <c r="J303" s="1">
        <v>0.94299587170649002</v>
      </c>
      <c r="K303" s="8">
        <v>12.440936911666601</v>
      </c>
      <c r="L303" s="7">
        <v>44</v>
      </c>
      <c r="M303" s="1">
        <v>5.3263888888888798E-2</v>
      </c>
      <c r="N303" s="1">
        <v>29.2658881810301</v>
      </c>
      <c r="O303" s="1">
        <v>0.94375168519761399</v>
      </c>
      <c r="P303" s="1">
        <v>12.498904844697201</v>
      </c>
      <c r="Q303" s="1">
        <v>32.3940952095383</v>
      </c>
      <c r="R303" s="1">
        <v>0.950290322837954</v>
      </c>
      <c r="S303" s="1">
        <v>13.035590573638601</v>
      </c>
      <c r="T303" s="7"/>
      <c r="U303" s="1"/>
      <c r="V303" s="1"/>
      <c r="W303" s="8"/>
      <c r="X303" s="7"/>
      <c r="Y303" s="1"/>
      <c r="Z303" s="1"/>
      <c r="AA303" s="8"/>
      <c r="AB303" s="7">
        <v>2</v>
      </c>
      <c r="AC303" s="1">
        <v>0.105274884259259</v>
      </c>
      <c r="AD303" s="1">
        <v>30.934725685752099</v>
      </c>
      <c r="AE303" s="1">
        <v>0.96158992330135196</v>
      </c>
      <c r="AF303" s="1">
        <v>14.1555482561883</v>
      </c>
      <c r="AG303" s="1">
        <v>33.885765644562703</v>
      </c>
      <c r="AH303" s="1">
        <v>0.96729842075136097</v>
      </c>
      <c r="AI303" s="1">
        <v>14.854312735657601</v>
      </c>
      <c r="AJ303" s="1">
        <v>68.472953796386705</v>
      </c>
      <c r="AK303" s="1">
        <v>45.433688879012998</v>
      </c>
      <c r="AL303" s="7"/>
      <c r="AM303" s="1"/>
      <c r="AN303" s="1"/>
      <c r="AO303" s="8"/>
      <c r="AP303" s="1"/>
      <c r="AQ303" s="1"/>
      <c r="AR303" s="1"/>
      <c r="AS303" s="8"/>
      <c r="AT303" s="7">
        <v>0.04</v>
      </c>
      <c r="AU303" s="1">
        <v>8.3799189814814795E-2</v>
      </c>
      <c r="AV303" s="1">
        <v>29.079729791711198</v>
      </c>
      <c r="AW303" s="1">
        <v>0.96481128641896596</v>
      </c>
      <c r="AX303" s="1">
        <v>14.535966096885501</v>
      </c>
      <c r="AY303" s="1">
        <v>32.079204715514003</v>
      </c>
      <c r="AZ303" s="1">
        <v>0.97042928020055697</v>
      </c>
      <c r="BA303" s="1">
        <v>15.2913810391076</v>
      </c>
      <c r="BB303" s="1">
        <v>41.793329477310103</v>
      </c>
      <c r="BC303" s="1">
        <v>29.943649530410699</v>
      </c>
      <c r="BD303" s="7"/>
      <c r="BE303" s="1"/>
      <c r="BF303" s="1"/>
      <c r="BG303" s="8"/>
      <c r="BH303" s="1"/>
      <c r="BI303" s="1"/>
      <c r="BJ303" s="1"/>
      <c r="BK303" s="8"/>
    </row>
    <row r="304" spans="1:63">
      <c r="A304" s="49"/>
      <c r="B304" s="7" t="s">
        <v>71</v>
      </c>
      <c r="C304" s="17">
        <v>1.5</v>
      </c>
      <c r="D304" s="7">
        <v>26</v>
      </c>
      <c r="E304" s="1">
        <v>1.3110706018518501</v>
      </c>
      <c r="F304" s="1">
        <v>37.196459299759198</v>
      </c>
      <c r="G304" s="1">
        <v>0.98269843465662099</v>
      </c>
      <c r="H304" s="1">
        <v>17.619146026955999</v>
      </c>
      <c r="I304" s="1">
        <v>40.899770477477503</v>
      </c>
      <c r="J304" s="1">
        <v>0.99174419873302699</v>
      </c>
      <c r="K304" s="8">
        <v>20.8324076989513</v>
      </c>
      <c r="L304" s="7">
        <v>23</v>
      </c>
      <c r="M304" s="1">
        <v>1.397421875</v>
      </c>
      <c r="N304" s="1">
        <v>38.032870226754397</v>
      </c>
      <c r="O304" s="1">
        <v>0.98599624581656597</v>
      </c>
      <c r="P304" s="1">
        <v>18.537555212800001</v>
      </c>
      <c r="Q304" s="1">
        <v>41.917394368500503</v>
      </c>
      <c r="R304" s="1">
        <v>0.99368480625313704</v>
      </c>
      <c r="S304" s="1">
        <v>21.996133209752099</v>
      </c>
      <c r="T304" s="13">
        <f>bdrate(E304:E307,F304:F307,M304:M307,N304:N307)</f>
        <v>-0.19702901739638612</v>
      </c>
      <c r="U304" s="12">
        <f>bdrate(E304:E307,H304:H307,M304:M307,P304:P307)</f>
        <v>-0.17335081065362956</v>
      </c>
      <c r="V304" s="12">
        <f>bdrate(E304:E307,I304:I307,M304:M307,Q304:Q307)</f>
        <v>-0.20625025482843606</v>
      </c>
      <c r="W304" s="14">
        <f>bdrate(E304:E307,K304:K307,M304:M307,S304:S307)</f>
        <v>-0.17516197845340986</v>
      </c>
      <c r="X304" s="13">
        <f>bdrate(E306:E309,F306:F309,M306:M309,N306:N309)</f>
        <v>-0.27494443947877378</v>
      </c>
      <c r="Y304" s="12">
        <f>bdrate(E306:E309,H306:H309,M306:M309,P306:P309)</f>
        <v>-0.22931217013809491</v>
      </c>
      <c r="Z304" s="12">
        <f>bdrate(E306:E309,I306:I309,M306:M309,Q306:Q309)</f>
        <v>-0.27294192701308162</v>
      </c>
      <c r="AA304" s="14">
        <f>bdrate(E306:E309,K306:K309,M306:M309,S306:S309)</f>
        <v>-0.21132164747935323</v>
      </c>
      <c r="AB304" s="7">
        <v>128</v>
      </c>
      <c r="AC304" s="1">
        <v>1.6301475694444401</v>
      </c>
      <c r="AD304" s="1">
        <v>38.347701997870701</v>
      </c>
      <c r="AE304" s="1">
        <v>0.98842098481938601</v>
      </c>
      <c r="AF304" s="1">
        <v>19.363283766891598</v>
      </c>
      <c r="AG304" s="1">
        <v>41.720449624631001</v>
      </c>
      <c r="AH304" s="1">
        <v>0.99440700293529605</v>
      </c>
      <c r="AI304" s="1">
        <v>22.5235540859656</v>
      </c>
      <c r="AJ304" s="1">
        <v>305.23701500892599</v>
      </c>
      <c r="AK304" s="1">
        <v>90.695304632186804</v>
      </c>
      <c r="AL304" s="13">
        <f>bdrate(E304:E307,F304:F307,AC304:AC307,AD304:AD307)</f>
        <v>-9.412348312314367E-2</v>
      </c>
      <c r="AM304" s="12">
        <f>bdrate(E304:E307,H304:H307,AC304:AC307,AF304:AF307)</f>
        <v>-0.14835997613279694</v>
      </c>
      <c r="AN304" s="12">
        <f>bdrate(E304:E307,I304:I307,AC304:AC307,AG304:AG307)</f>
        <v>-2.5303961319043444E-2</v>
      </c>
      <c r="AO304" s="14">
        <f>bdrate(E304:E307,K304:K307,AC304:AC307,AI304:AI307)</f>
        <v>-0.22393818367795104</v>
      </c>
      <c r="AP304" s="12">
        <f>bdrate(E306:E309,F306:F309,AC306:AC309,AD306:AD309)</f>
        <v>-0.16947616175914504</v>
      </c>
      <c r="AQ304" s="12">
        <f>bdrate(E306:E309,H306:H309,AC306:AC309,AF306:AF309)</f>
        <v>-0.27001726567566331</v>
      </c>
      <c r="AR304" s="12">
        <f>bdrate(E306:E309,I306:I309,AC306:AC309,AG306:AG309)</f>
        <v>-0.10988088099832372</v>
      </c>
      <c r="AS304" s="14">
        <f>bdrate(E306:E309,K306:K309,AC306:AC309,AI306:AI309)</f>
        <v>-0.26825068678893849</v>
      </c>
      <c r="AT304" s="7">
        <v>3.2</v>
      </c>
      <c r="AU304" s="1">
        <v>1.76216145833333</v>
      </c>
      <c r="AV304" s="1">
        <v>35.805423521060597</v>
      </c>
      <c r="AW304" s="1">
        <v>0.99599708481175198</v>
      </c>
      <c r="AX304" s="1">
        <v>23.976236114103202</v>
      </c>
      <c r="AY304" s="1">
        <v>38.555985281322997</v>
      </c>
      <c r="AZ304" s="1">
        <v>0.99772339698910295</v>
      </c>
      <c r="BA304" s="1">
        <v>26.427126941141299</v>
      </c>
      <c r="BB304" s="1">
        <v>352.14317250251702</v>
      </c>
      <c r="BC304" s="1">
        <v>142.63813161849899</v>
      </c>
      <c r="BD304" s="13">
        <f>bdrate(E304:E307,F304:F307,AU304:AU307,AV304:AV307)</f>
        <v>1.1597424002214316</v>
      </c>
      <c r="BE304" s="12">
        <f>bdrate(E304:E307,H304:H307,AU304:AU307,AX304:AX307)</f>
        <v>-0.56690032215412067</v>
      </c>
      <c r="BF304" s="12">
        <f>bdrate(E304:E307,I304:I307,AU304:AU307,AY304:AY307)</f>
        <v>1.5870673810102263</v>
      </c>
      <c r="BG304" s="14">
        <f>bdrate(E304:E307,K304:K307,AU304:AU307,BA304:BA307)</f>
        <v>-0.46464470576819161</v>
      </c>
      <c r="BH304" s="12">
        <f>bdrate(E306:E309,F306:F309,AU306:AU309,AV306:AV309)</f>
        <v>0.6991042981799962</v>
      </c>
      <c r="BI304" s="12">
        <f>bdrate(E306:E309,H306:H309,AU306:AU309,AX306:AX309)</f>
        <v>-0.58596873324982102</v>
      </c>
      <c r="BJ304" s="12">
        <f>bdrate(E306:E309,I306:I309,AU306:AU309,AY306:AY309)</f>
        <v>0.80199478237436339</v>
      </c>
      <c r="BK304" s="14">
        <f>bdrate(E306:E309,K306:K309,AU306:AU309,BA306:BA309)</f>
        <v>-0.3808104125403845</v>
      </c>
    </row>
    <row r="305" spans="1:63">
      <c r="A305" s="49"/>
      <c r="B305" s="7" t="s">
        <v>18</v>
      </c>
      <c r="C305" s="17">
        <v>1</v>
      </c>
      <c r="D305" s="7">
        <v>28</v>
      </c>
      <c r="E305" s="1">
        <v>0.98913483796296298</v>
      </c>
      <c r="F305" s="1">
        <v>35.9928372913446</v>
      </c>
      <c r="G305" s="1">
        <v>0.97614346052025203</v>
      </c>
      <c r="H305" s="1">
        <v>16.223925528637299</v>
      </c>
      <c r="I305" s="1">
        <v>39.647429638905201</v>
      </c>
      <c r="J305" s="1">
        <v>0.98890392833148</v>
      </c>
      <c r="K305" s="8">
        <v>19.548307468570901</v>
      </c>
      <c r="L305" s="7">
        <v>26</v>
      </c>
      <c r="M305" s="1">
        <v>0.90481192129629595</v>
      </c>
      <c r="N305" s="1">
        <v>36.277007477590502</v>
      </c>
      <c r="O305" s="1">
        <v>0.97748286367092796</v>
      </c>
      <c r="P305" s="1">
        <v>16.474868427533099</v>
      </c>
      <c r="Q305" s="1">
        <v>40.042150515677903</v>
      </c>
      <c r="R305" s="1">
        <v>0.98983106901961504</v>
      </c>
      <c r="S305" s="1">
        <v>19.927247003439899</v>
      </c>
      <c r="T305" s="7"/>
      <c r="U305" s="1"/>
      <c r="V305" s="1"/>
      <c r="W305" s="8"/>
      <c r="X305" s="7"/>
      <c r="Y305" s="1"/>
      <c r="Z305" s="1"/>
      <c r="AA305" s="8"/>
      <c r="AB305" s="7">
        <v>64</v>
      </c>
      <c r="AC305" s="1">
        <v>1.0742042824074001</v>
      </c>
      <c r="AD305" s="1">
        <v>36.4757769439708</v>
      </c>
      <c r="AE305" s="1">
        <v>0.98085285298466196</v>
      </c>
      <c r="AF305" s="1">
        <v>17.1789592810795</v>
      </c>
      <c r="AG305" s="1">
        <v>39.853383474933104</v>
      </c>
      <c r="AH305" s="1">
        <v>0.99137722915536397</v>
      </c>
      <c r="AI305" s="1">
        <v>20.643531553852501</v>
      </c>
      <c r="AJ305" s="1">
        <v>57.3115200996398</v>
      </c>
      <c r="AK305" s="1">
        <v>30.9772465229034</v>
      </c>
      <c r="AL305" s="7"/>
      <c r="AM305" s="1"/>
      <c r="AN305" s="1"/>
      <c r="AO305" s="8"/>
      <c r="AP305" s="1"/>
      <c r="AQ305" s="1"/>
      <c r="AR305" s="1"/>
      <c r="AS305" s="8"/>
      <c r="AT305" s="7">
        <v>1.28</v>
      </c>
      <c r="AU305" s="1">
        <v>1.1974971064814799</v>
      </c>
      <c r="AV305" s="1">
        <v>33.631874602670003</v>
      </c>
      <c r="AW305" s="1">
        <v>0.99253184806396499</v>
      </c>
      <c r="AX305" s="1">
        <v>21.2678685511633</v>
      </c>
      <c r="AY305" s="1">
        <v>36.342129374453698</v>
      </c>
      <c r="AZ305" s="1">
        <v>0.995727343283347</v>
      </c>
      <c r="BA305" s="1">
        <v>23.693019988403101</v>
      </c>
      <c r="BB305" s="1">
        <v>99.603451728820801</v>
      </c>
      <c r="BC305" s="1">
        <v>43.0841643810272</v>
      </c>
      <c r="BD305" s="7"/>
      <c r="BE305" s="1"/>
      <c r="BF305" s="1"/>
      <c r="BG305" s="8"/>
      <c r="BH305" s="1"/>
      <c r="BI305" s="1"/>
      <c r="BJ305" s="1"/>
      <c r="BK305" s="8"/>
    </row>
    <row r="306" spans="1:63">
      <c r="A306" s="49"/>
      <c r="B306" s="7" t="s">
        <v>18</v>
      </c>
      <c r="C306" s="17">
        <v>0.5</v>
      </c>
      <c r="D306" s="7">
        <v>33</v>
      </c>
      <c r="E306" s="1">
        <v>0.49097222222222198</v>
      </c>
      <c r="F306" s="1">
        <v>33.352484932892501</v>
      </c>
      <c r="G306" s="1">
        <v>0.95740865052129498</v>
      </c>
      <c r="H306" s="1">
        <v>13.706785993751801</v>
      </c>
      <c r="I306" s="1">
        <v>36.819065149781601</v>
      </c>
      <c r="J306" s="1">
        <v>0.98250267707489702</v>
      </c>
      <c r="K306" s="8">
        <v>17.570283929018402</v>
      </c>
      <c r="L306" s="7">
        <v>31</v>
      </c>
      <c r="M306" s="1">
        <v>0.43571469907407401</v>
      </c>
      <c r="N306" s="1">
        <v>33.792910985043903</v>
      </c>
      <c r="O306" s="1">
        <v>0.96031668450198304</v>
      </c>
      <c r="P306" s="1">
        <v>14.013920501685501</v>
      </c>
      <c r="Q306" s="1">
        <v>37.325281950257597</v>
      </c>
      <c r="R306" s="1">
        <v>0.98316688151345</v>
      </c>
      <c r="S306" s="1">
        <v>17.738354196129499</v>
      </c>
      <c r="T306" s="7"/>
      <c r="U306" s="1"/>
      <c r="V306" s="1"/>
      <c r="W306" s="8"/>
      <c r="X306" s="7"/>
      <c r="Y306" s="1"/>
      <c r="Z306" s="1"/>
      <c r="AA306" s="8"/>
      <c r="AB306" s="7">
        <v>16</v>
      </c>
      <c r="AC306" s="1">
        <v>0.459082754629629</v>
      </c>
      <c r="AD306" s="1">
        <v>33.634933685861199</v>
      </c>
      <c r="AE306" s="1">
        <v>0.96079481471290895</v>
      </c>
      <c r="AF306" s="1">
        <v>14.0665648928967</v>
      </c>
      <c r="AG306" s="1">
        <v>36.840276953052097</v>
      </c>
      <c r="AH306" s="1">
        <v>0.98462090291115401</v>
      </c>
      <c r="AI306" s="1">
        <v>18.130691613383998</v>
      </c>
      <c r="AJ306" s="1">
        <v>48.754803180694502</v>
      </c>
      <c r="AK306" s="1">
        <v>31.0185256004333</v>
      </c>
      <c r="AL306" s="7"/>
      <c r="AM306" s="1"/>
      <c r="AN306" s="1"/>
      <c r="AO306" s="8"/>
      <c r="AP306" s="1"/>
      <c r="AQ306" s="1"/>
      <c r="AR306" s="1"/>
      <c r="AS306" s="8"/>
      <c r="AT306" s="7">
        <v>0.32</v>
      </c>
      <c r="AU306" s="1">
        <v>0.48877604166666599</v>
      </c>
      <c r="AV306" s="1">
        <v>30.678212675265598</v>
      </c>
      <c r="AW306" s="1">
        <v>0.97869823351204499</v>
      </c>
      <c r="AX306" s="1">
        <v>16.7158438040349</v>
      </c>
      <c r="AY306" s="1">
        <v>33.403335985405803</v>
      </c>
      <c r="AZ306" s="1">
        <v>0.98834935272243696</v>
      </c>
      <c r="BA306" s="1">
        <v>19.336499457740199</v>
      </c>
      <c r="BB306" s="1">
        <v>76.068409204483004</v>
      </c>
      <c r="BC306" s="1">
        <v>47.037032842636101</v>
      </c>
      <c r="BD306" s="7"/>
      <c r="BE306" s="1"/>
      <c r="BF306" s="1"/>
      <c r="BG306" s="8"/>
      <c r="BH306" s="1"/>
      <c r="BI306" s="1"/>
      <c r="BJ306" s="1"/>
      <c r="BK306" s="8"/>
    </row>
    <row r="307" spans="1:63">
      <c r="A307" s="49"/>
      <c r="B307" s="7" t="s">
        <v>18</v>
      </c>
      <c r="C307" s="17">
        <v>0.25</v>
      </c>
      <c r="D307" s="7">
        <v>39</v>
      </c>
      <c r="E307" s="1">
        <v>0.224337384259259</v>
      </c>
      <c r="F307" s="1">
        <v>30.503172420387401</v>
      </c>
      <c r="G307" s="1">
        <v>0.94032559733106902</v>
      </c>
      <c r="H307" s="1">
        <v>12.242119195166</v>
      </c>
      <c r="I307" s="1">
        <v>33.587599861896102</v>
      </c>
      <c r="J307" s="1">
        <v>0.97143199261241497</v>
      </c>
      <c r="K307" s="8">
        <v>15.441200505082501</v>
      </c>
      <c r="L307" s="7">
        <v>36</v>
      </c>
      <c r="M307" s="1">
        <v>0.225651041666666</v>
      </c>
      <c r="N307" s="1">
        <v>31.661430856374398</v>
      </c>
      <c r="O307" s="1">
        <v>0.94593762530115599</v>
      </c>
      <c r="P307" s="1">
        <v>12.671048817606099</v>
      </c>
      <c r="Q307" s="1">
        <v>34.846282281532297</v>
      </c>
      <c r="R307" s="1">
        <v>0.97553758587532602</v>
      </c>
      <c r="S307" s="1">
        <v>16.115006859224199</v>
      </c>
      <c r="T307" s="7"/>
      <c r="U307" s="1"/>
      <c r="V307" s="1"/>
      <c r="W307" s="8"/>
      <c r="X307" s="7"/>
      <c r="Y307" s="1"/>
      <c r="Z307" s="1"/>
      <c r="AA307" s="8"/>
      <c r="AB307" s="7">
        <v>8</v>
      </c>
      <c r="AC307" s="1">
        <v>0.307138310185185</v>
      </c>
      <c r="AD307" s="1">
        <v>32.380503454785497</v>
      </c>
      <c r="AE307" s="1">
        <v>0.95322832223295095</v>
      </c>
      <c r="AF307" s="1">
        <v>13.300170510471901</v>
      </c>
      <c r="AG307" s="1">
        <v>35.393777842864203</v>
      </c>
      <c r="AH307" s="1">
        <v>0.98059088094006697</v>
      </c>
      <c r="AI307" s="1">
        <v>17.119941758992301</v>
      </c>
      <c r="AJ307" s="1">
        <v>36.373260259628204</v>
      </c>
      <c r="AK307" s="1">
        <v>23.018278837203901</v>
      </c>
      <c r="AL307" s="7"/>
      <c r="AM307" s="1"/>
      <c r="AN307" s="1"/>
      <c r="AO307" s="8"/>
      <c r="AP307" s="1"/>
      <c r="AQ307" s="1"/>
      <c r="AR307" s="1"/>
      <c r="AS307" s="8"/>
      <c r="AT307" s="7">
        <v>0.16</v>
      </c>
      <c r="AU307" s="1">
        <v>0.31417534722222201</v>
      </c>
      <c r="AV307" s="1">
        <v>29.4823034947986</v>
      </c>
      <c r="AW307" s="1">
        <v>0.97050680978789605</v>
      </c>
      <c r="AX307" s="1">
        <v>15.3027824824924</v>
      </c>
      <c r="AY307" s="1">
        <v>32.222389118102498</v>
      </c>
      <c r="AZ307" s="1">
        <v>0.98358345641930101</v>
      </c>
      <c r="BA307" s="1">
        <v>17.847182760742701</v>
      </c>
      <c r="BB307" s="1">
        <v>55.512234449386597</v>
      </c>
      <c r="BC307" s="1">
        <v>38.051087141036902</v>
      </c>
      <c r="BD307" s="7"/>
      <c r="BE307" s="1"/>
      <c r="BF307" s="1"/>
      <c r="BG307" s="8"/>
      <c r="BH307" s="1"/>
      <c r="BI307" s="1"/>
      <c r="BJ307" s="1"/>
      <c r="BK307" s="8"/>
    </row>
    <row r="308" spans="1:63">
      <c r="A308" s="49"/>
      <c r="B308" s="7" t="s">
        <v>18</v>
      </c>
      <c r="C308" s="17">
        <v>0.12</v>
      </c>
      <c r="D308" s="7">
        <v>44</v>
      </c>
      <c r="E308" s="1">
        <v>0.113029513888888</v>
      </c>
      <c r="F308" s="1">
        <v>28.0369721033512</v>
      </c>
      <c r="G308" s="1">
        <v>0.91968700995418895</v>
      </c>
      <c r="H308" s="1">
        <v>10.9521420504567</v>
      </c>
      <c r="I308" s="1">
        <v>30.9585029670341</v>
      </c>
      <c r="J308" s="1">
        <v>0.95334369610880898</v>
      </c>
      <c r="K308" s="8">
        <v>13.3108966895505</v>
      </c>
      <c r="L308" s="7">
        <v>41</v>
      </c>
      <c r="M308" s="1">
        <v>0.117265625</v>
      </c>
      <c r="N308" s="1">
        <v>29.340741494964298</v>
      </c>
      <c r="O308" s="1">
        <v>0.93017785994666402</v>
      </c>
      <c r="P308" s="1">
        <v>11.560068441624599</v>
      </c>
      <c r="Q308" s="1">
        <v>32.324706029304402</v>
      </c>
      <c r="R308" s="1">
        <v>0.96190851606101702</v>
      </c>
      <c r="S308" s="1">
        <v>14.1917210809625</v>
      </c>
      <c r="T308" s="7"/>
      <c r="U308" s="1"/>
      <c r="V308" s="1"/>
      <c r="W308" s="8"/>
      <c r="X308" s="7"/>
      <c r="Y308" s="1"/>
      <c r="Z308" s="1"/>
      <c r="AA308" s="8"/>
      <c r="AB308" s="7">
        <v>4</v>
      </c>
      <c r="AC308" s="1">
        <v>0.20550636574073999</v>
      </c>
      <c r="AD308" s="1">
        <v>30.8136601185623</v>
      </c>
      <c r="AE308" s="1">
        <v>0.94632262568215897</v>
      </c>
      <c r="AF308" s="1">
        <v>12.7020873626608</v>
      </c>
      <c r="AG308" s="1">
        <v>33.658396816228702</v>
      </c>
      <c r="AH308" s="1">
        <v>0.97531805934833005</v>
      </c>
      <c r="AI308" s="1">
        <v>16.076206962929</v>
      </c>
      <c r="AJ308" s="1">
        <v>54.180305957794097</v>
      </c>
      <c r="AK308" s="1">
        <v>39.5139899253845</v>
      </c>
      <c r="AL308" s="7"/>
      <c r="AM308" s="1"/>
      <c r="AN308" s="1"/>
      <c r="AO308" s="8"/>
      <c r="AP308" s="1"/>
      <c r="AQ308" s="1"/>
      <c r="AR308" s="1"/>
      <c r="AS308" s="8"/>
      <c r="AT308" s="7">
        <v>0.08</v>
      </c>
      <c r="AU308" s="1">
        <v>0.195512152777777</v>
      </c>
      <c r="AV308" s="1">
        <v>28.322537213236998</v>
      </c>
      <c r="AW308" s="1">
        <v>0.95844092846013496</v>
      </c>
      <c r="AX308" s="1">
        <v>13.813341634636901</v>
      </c>
      <c r="AY308" s="1">
        <v>31.089243848590201</v>
      </c>
      <c r="AZ308" s="1">
        <v>0.97664843898226905</v>
      </c>
      <c r="BA308" s="1">
        <v>16.316840821759701</v>
      </c>
      <c r="BB308" s="1">
        <v>34.248504400253204</v>
      </c>
      <c r="BC308" s="1">
        <v>22.3434686660766</v>
      </c>
      <c r="BD308" s="7"/>
      <c r="BE308" s="1"/>
      <c r="BF308" s="1"/>
      <c r="BG308" s="8"/>
      <c r="BH308" s="1"/>
      <c r="BI308" s="1"/>
      <c r="BJ308" s="1"/>
      <c r="BK308" s="8"/>
    </row>
    <row r="309" spans="1:63">
      <c r="A309" s="49"/>
      <c r="B309" s="7" t="s">
        <v>18</v>
      </c>
      <c r="C309" s="17">
        <v>0.06</v>
      </c>
      <c r="D309" s="7">
        <v>49</v>
      </c>
      <c r="E309" s="1">
        <v>5.12326388888888E-2</v>
      </c>
      <c r="F309" s="1">
        <v>25.554675831030401</v>
      </c>
      <c r="G309" s="1">
        <v>0.88518134092796297</v>
      </c>
      <c r="H309" s="1">
        <v>9.3998752941593207</v>
      </c>
      <c r="I309" s="1">
        <v>28.469373087118299</v>
      </c>
      <c r="J309" s="1">
        <v>0.92090452895069796</v>
      </c>
      <c r="K309" s="8">
        <v>11.018483831850901</v>
      </c>
      <c r="L309" s="7">
        <v>46</v>
      </c>
      <c r="M309" s="1">
        <v>5.7071759259259197E-2</v>
      </c>
      <c r="N309" s="1">
        <v>26.919333380540699</v>
      </c>
      <c r="O309" s="1">
        <v>0.903721120218829</v>
      </c>
      <c r="P309" s="1">
        <v>10.164689714473401</v>
      </c>
      <c r="Q309" s="1">
        <v>29.862797318449498</v>
      </c>
      <c r="R309" s="1">
        <v>0.93734699984302206</v>
      </c>
      <c r="S309" s="1">
        <v>12.0305812785541</v>
      </c>
      <c r="T309" s="7"/>
      <c r="U309" s="1"/>
      <c r="V309" s="1"/>
      <c r="W309" s="8"/>
      <c r="X309" s="7"/>
      <c r="Y309" s="1"/>
      <c r="Z309" s="1"/>
      <c r="AA309" s="8"/>
      <c r="AB309" s="7">
        <v>2</v>
      </c>
      <c r="AC309" s="1">
        <v>0.127896412037037</v>
      </c>
      <c r="AD309" s="1">
        <v>29.164762601406</v>
      </c>
      <c r="AE309" s="1">
        <v>0.936324609896514</v>
      </c>
      <c r="AF309" s="1">
        <v>11.960283856769101</v>
      </c>
      <c r="AG309" s="1">
        <v>31.931754682042602</v>
      </c>
      <c r="AH309" s="1">
        <v>0.96688586390688303</v>
      </c>
      <c r="AI309" s="1">
        <v>14.7998657067556</v>
      </c>
      <c r="AJ309" s="1">
        <v>68.386418819427405</v>
      </c>
      <c r="AK309" s="1">
        <v>47.482189893722499</v>
      </c>
      <c r="AL309" s="7"/>
      <c r="AM309" s="1"/>
      <c r="AN309" s="1"/>
      <c r="AO309" s="8"/>
      <c r="AP309" s="1"/>
      <c r="AQ309" s="1"/>
      <c r="AR309" s="1"/>
      <c r="AS309" s="8"/>
      <c r="AT309" s="7">
        <v>0.04</v>
      </c>
      <c r="AU309" s="1">
        <v>0.11181423611111101</v>
      </c>
      <c r="AV309" s="1">
        <v>27.159248807570599</v>
      </c>
      <c r="AW309" s="1">
        <v>0.94351176150660798</v>
      </c>
      <c r="AX309" s="1">
        <v>12.480419679177199</v>
      </c>
      <c r="AY309" s="1">
        <v>29.942615217694701</v>
      </c>
      <c r="AZ309" s="1">
        <v>0.96831996163665901</v>
      </c>
      <c r="BA309" s="1">
        <v>14.9921430116786</v>
      </c>
      <c r="BB309" s="1">
        <v>40.868191957473698</v>
      </c>
      <c r="BC309" s="1">
        <v>30.093655586242601</v>
      </c>
      <c r="BD309" s="7"/>
      <c r="BE309" s="1"/>
      <c r="BF309" s="1"/>
      <c r="BG309" s="8"/>
      <c r="BH309" s="1"/>
      <c r="BI309" s="1"/>
      <c r="BJ309" s="1"/>
      <c r="BK309" s="8"/>
    </row>
    <row r="310" spans="1:63">
      <c r="A310" s="49"/>
      <c r="B310" s="7" t="s">
        <v>72</v>
      </c>
      <c r="C310" s="17">
        <v>1.5</v>
      </c>
      <c r="D310" s="7">
        <v>29</v>
      </c>
      <c r="E310" s="1">
        <v>1.4867939814814799</v>
      </c>
      <c r="F310" s="1">
        <v>35.1373239579708</v>
      </c>
      <c r="G310" s="1">
        <v>0.99210131468364504</v>
      </c>
      <c r="H310" s="1">
        <v>21.024451881229901</v>
      </c>
      <c r="I310" s="1">
        <v>38.467208547903503</v>
      </c>
      <c r="J310" s="1">
        <v>0.99534769063962503</v>
      </c>
      <c r="K310" s="8">
        <v>23.3233141409914</v>
      </c>
      <c r="L310" s="7">
        <v>26</v>
      </c>
      <c r="M310" s="1">
        <v>1.4607793209876501</v>
      </c>
      <c r="N310" s="1">
        <v>36.695716140455502</v>
      </c>
      <c r="O310" s="1">
        <v>0.994169436615152</v>
      </c>
      <c r="P310" s="1">
        <v>22.342894790130199</v>
      </c>
      <c r="Q310" s="1">
        <v>39.931582351992198</v>
      </c>
      <c r="R310" s="1">
        <v>0.99641024565857605</v>
      </c>
      <c r="S310" s="1">
        <v>24.449352705900701</v>
      </c>
      <c r="T310" s="13">
        <f>bdrate(E310:E313,F310:F313,M310:M313,N310:N313)</f>
        <v>-0.22736853125836631</v>
      </c>
      <c r="U310" s="12">
        <f>bdrate(E310:E313,H310:H313,M310:M313,P310:P313)</f>
        <v>-0.18697785156789004</v>
      </c>
      <c r="V310" s="12">
        <f>bdrate(E310:E313,I310:I313,M310:M313,Q310:Q313)</f>
        <v>-0.23423008781774102</v>
      </c>
      <c r="W310" s="14">
        <f>bdrate(E310:E313,K310:K313,M310:M313,S310:S313)</f>
        <v>-0.13170716998172627</v>
      </c>
      <c r="X310" s="13">
        <f>bdrate(E312:E315,F312:F315,M312:M315,N312:N315)</f>
        <v>-0.20114218835932096</v>
      </c>
      <c r="Y310" s="12">
        <f>bdrate(E312:E315,H312:H315,M312:M315,P312:P315)</f>
        <v>-0.16042133653767121</v>
      </c>
      <c r="Z310" s="12">
        <f>bdrate(E312:E315,I312:I315,M312:M315,Q312:Q315)</f>
        <v>-0.25032288933408686</v>
      </c>
      <c r="AA310" s="14">
        <f>bdrate(E312:E315,K312:K315,M312:M315,S312:S315)</f>
        <v>-0.1313510768967</v>
      </c>
      <c r="AB310" s="7">
        <v>64</v>
      </c>
      <c r="AC310" s="1">
        <v>1.51630015432098</v>
      </c>
      <c r="AD310" s="1">
        <v>36.575173624135203</v>
      </c>
      <c r="AE310" s="1">
        <v>0.99570489295456299</v>
      </c>
      <c r="AF310" s="1">
        <v>23.670260079297599</v>
      </c>
      <c r="AG310" s="1">
        <v>39.532641377072601</v>
      </c>
      <c r="AH310" s="1">
        <v>0.99742621131780296</v>
      </c>
      <c r="AI310" s="1">
        <v>25.894271131904802</v>
      </c>
      <c r="AJ310" s="1">
        <v>43.428293704986501</v>
      </c>
      <c r="AK310" s="1">
        <v>21.588185548782299</v>
      </c>
      <c r="AL310" s="13">
        <f>bdrate(E310:E313,F310:F313,AC310:AC313,AD310:AD313)</f>
        <v>-0.1628667529542861</v>
      </c>
      <c r="AM310" s="12">
        <f>bdrate(E310:E313,H310:H313,AC310:AC313,AF310:AF313)</f>
        <v>-0.30792956249047732</v>
      </c>
      <c r="AN310" s="12">
        <f>bdrate(E310:E313,I310:I313,AC310:AC313,AG310:AG313)</f>
        <v>-0.12750202064935356</v>
      </c>
      <c r="AO310" s="14">
        <f>bdrate(E310:E313,K310:K313,AC310:AC313,AI310:AI313)</f>
        <v>-0.24456866582946502</v>
      </c>
      <c r="AP310" s="12">
        <f>bdrate(E312:E315,F312:F315,AC312:AC315,AD312:AD315)</f>
        <v>-4.1851941026936235E-2</v>
      </c>
      <c r="AQ310" s="12">
        <f>bdrate(E312:E315,H312:H315,AC312:AC315,AF312:AF315)</f>
        <v>-0.25084699941983346</v>
      </c>
      <c r="AR310" s="12">
        <f>bdrate(E312:E315,I312:I315,AC312:AC315,AG312:AG315)</f>
        <v>-7.7366609465493674E-2</v>
      </c>
      <c r="AS310" s="14">
        <f>bdrate(E312:E315,K312:K315,AC312:AC315,AI312:AI315)</f>
        <v>-0.19886590064361509</v>
      </c>
      <c r="AT310" s="7">
        <v>3.2</v>
      </c>
      <c r="AU310" s="1">
        <v>1.3868711419752999</v>
      </c>
      <c r="AV310" s="1">
        <v>33.8205045841177</v>
      </c>
      <c r="AW310" s="1">
        <v>0.99719735265568799</v>
      </c>
      <c r="AX310" s="1">
        <v>25.524315458553701</v>
      </c>
      <c r="AY310" s="1">
        <v>36.752444542982502</v>
      </c>
      <c r="AZ310" s="1">
        <v>0.99812748895519099</v>
      </c>
      <c r="BA310" s="1">
        <v>27.275756119808701</v>
      </c>
      <c r="BB310" s="1">
        <v>285.49700665473898</v>
      </c>
      <c r="BC310" s="1">
        <v>105.371201515197</v>
      </c>
      <c r="BD310" s="13">
        <f>bdrate(E310:E313,F310:F313,AU310:AU313,AV310:AV313)</f>
        <v>0.17925996367743458</v>
      </c>
      <c r="BE310" s="12">
        <f>bdrate(E310:E313,H310:H313,AU310:AU313,AX310:AX313)</f>
        <v>-0.52557607436469223</v>
      </c>
      <c r="BF310" s="12">
        <f>bdrate(E310:E313,I310:I313,AU310:AU313,AY310:AY313)</f>
        <v>0.17379884473364693</v>
      </c>
      <c r="BG310" s="14">
        <f>bdrate(E310:E313,K310:K313,AU310:AU313,BA310:BA313)</f>
        <v>-0.46317236228811209</v>
      </c>
      <c r="BH310" s="12">
        <f>bdrate(E312:E315,F312:F315,AU312:AU315,AV312:AV315)</f>
        <v>0.12087609492324369</v>
      </c>
      <c r="BI310" s="12">
        <f>bdrate(E312:E315,H312:H315,AU312:AU315,AX312:AX315)</f>
        <v>-0.4556658217631242</v>
      </c>
      <c r="BJ310" s="12">
        <f>bdrate(E312:E315,I312:I315,AU312:AU315,AY312:AY315)</f>
        <v>6.8043283796358711E-2</v>
      </c>
      <c r="BK310" s="14">
        <f>bdrate(E312:E315,K312:K315,AU312:AU315,BA312:BA315)</f>
        <v>-0.41414940418427604</v>
      </c>
    </row>
    <row r="311" spans="1:63">
      <c r="A311" s="49"/>
      <c r="B311" s="7" t="s">
        <v>18</v>
      </c>
      <c r="C311" s="17">
        <v>1</v>
      </c>
      <c r="D311" s="7">
        <v>33</v>
      </c>
      <c r="E311" s="1">
        <v>0.94282021604938204</v>
      </c>
      <c r="F311" s="1">
        <v>32.385744313931298</v>
      </c>
      <c r="G311" s="1">
        <v>0.98512413309119296</v>
      </c>
      <c r="H311" s="1">
        <v>18.275177158353301</v>
      </c>
      <c r="I311" s="1">
        <v>35.528468678356099</v>
      </c>
      <c r="J311" s="1">
        <v>0.99002299992479503</v>
      </c>
      <c r="K311" s="8">
        <v>20.010000245080501</v>
      </c>
      <c r="L311" s="7">
        <v>30</v>
      </c>
      <c r="M311" s="1">
        <v>0.95326388888888802</v>
      </c>
      <c r="N311" s="1">
        <v>34.0121476849543</v>
      </c>
      <c r="O311" s="1">
        <v>0.98917219935155098</v>
      </c>
      <c r="P311" s="1">
        <v>19.654597486602899</v>
      </c>
      <c r="Q311" s="1">
        <v>37.110272313113697</v>
      </c>
      <c r="R311" s="1">
        <v>0.99227192631221794</v>
      </c>
      <c r="S311" s="1">
        <v>21.1192874554126</v>
      </c>
      <c r="T311" s="7"/>
      <c r="U311" s="1"/>
      <c r="V311" s="1"/>
      <c r="W311" s="8"/>
      <c r="X311" s="7"/>
      <c r="Y311" s="1"/>
      <c r="Z311" s="1"/>
      <c r="AA311" s="8"/>
      <c r="AB311" s="7">
        <v>32</v>
      </c>
      <c r="AC311" s="1">
        <v>1.14758101851851</v>
      </c>
      <c r="AD311" s="1">
        <v>34.7998349523806</v>
      </c>
      <c r="AE311" s="1">
        <v>0.99321399558017498</v>
      </c>
      <c r="AF311" s="1">
        <v>21.683858618284098</v>
      </c>
      <c r="AG311" s="1">
        <v>37.683549604963702</v>
      </c>
      <c r="AH311" s="1">
        <v>0.99549338133121101</v>
      </c>
      <c r="AI311" s="1">
        <v>23.461491885558502</v>
      </c>
      <c r="AJ311" s="1">
        <v>35.529191732406602</v>
      </c>
      <c r="AK311" s="1">
        <v>17.542206764221099</v>
      </c>
      <c r="AL311" s="7"/>
      <c r="AM311" s="1"/>
      <c r="AN311" s="1"/>
      <c r="AO311" s="8"/>
      <c r="AP311" s="1"/>
      <c r="AQ311" s="1"/>
      <c r="AR311" s="1"/>
      <c r="AS311" s="8"/>
      <c r="AT311" s="7">
        <v>1.28</v>
      </c>
      <c r="AU311" s="1">
        <v>0.93670138888888799</v>
      </c>
      <c r="AV311" s="1">
        <v>31.399852918808101</v>
      </c>
      <c r="AW311" s="1">
        <v>0.99481846055457102</v>
      </c>
      <c r="AX311" s="1">
        <v>22.855411913497701</v>
      </c>
      <c r="AY311" s="1">
        <v>34.459991868817703</v>
      </c>
      <c r="AZ311" s="1">
        <v>0.996349223231765</v>
      </c>
      <c r="BA311" s="1">
        <v>24.376147217716699</v>
      </c>
      <c r="BB311" s="1">
        <v>78.995175600051795</v>
      </c>
      <c r="BC311" s="1">
        <v>32.2060449123382</v>
      </c>
      <c r="BD311" s="7"/>
      <c r="BE311" s="1"/>
      <c r="BF311" s="1"/>
      <c r="BG311" s="8"/>
      <c r="BH311" s="1"/>
      <c r="BI311" s="1"/>
      <c r="BJ311" s="1"/>
      <c r="BK311" s="8"/>
    </row>
    <row r="312" spans="1:63">
      <c r="A312" s="49"/>
      <c r="B312" s="7" t="s">
        <v>18</v>
      </c>
      <c r="C312" s="17">
        <v>0.5</v>
      </c>
      <c r="D312" s="7">
        <v>38</v>
      </c>
      <c r="E312" s="1">
        <v>0.49521219135802402</v>
      </c>
      <c r="F312" s="1">
        <v>29.154752895922901</v>
      </c>
      <c r="G312" s="1">
        <v>0.96769413794848003</v>
      </c>
      <c r="H312" s="1">
        <v>14.9071866572974</v>
      </c>
      <c r="I312" s="1">
        <v>32.196755696819899</v>
      </c>
      <c r="J312" s="1">
        <v>0.97485922971950301</v>
      </c>
      <c r="K312" s="8">
        <v>15.9962142022825</v>
      </c>
      <c r="L312" s="7">
        <v>36</v>
      </c>
      <c r="M312" s="1">
        <v>0.46315972222222201</v>
      </c>
      <c r="N312" s="1">
        <v>30.045599860603701</v>
      </c>
      <c r="O312" s="1">
        <v>0.97223686044132296</v>
      </c>
      <c r="P312" s="1">
        <v>15.5653142381114</v>
      </c>
      <c r="Q312" s="1">
        <v>33.204880810229</v>
      </c>
      <c r="R312" s="1">
        <v>0.97700226053398898</v>
      </c>
      <c r="S312" s="1">
        <v>16.383148503165501</v>
      </c>
      <c r="T312" s="7"/>
      <c r="U312" s="1"/>
      <c r="V312" s="1"/>
      <c r="W312" s="8"/>
      <c r="X312" s="7"/>
      <c r="Y312" s="1"/>
      <c r="Z312" s="1"/>
      <c r="AA312" s="8"/>
      <c r="AB312" s="7">
        <v>16</v>
      </c>
      <c r="AC312" s="1">
        <v>0.80226466049382705</v>
      </c>
      <c r="AD312" s="1">
        <v>32.4486654752235</v>
      </c>
      <c r="AE312" s="1">
        <v>0.98881433266326901</v>
      </c>
      <c r="AF312" s="1">
        <v>19.513381007927102</v>
      </c>
      <c r="AG312" s="1">
        <v>35.352322088108799</v>
      </c>
      <c r="AH312" s="1">
        <v>0.99182018492990098</v>
      </c>
      <c r="AI312" s="1">
        <v>20.8725651478141</v>
      </c>
      <c r="AJ312" s="1">
        <v>39.719861984252901</v>
      </c>
      <c r="AK312" s="1">
        <v>22.8170647621154</v>
      </c>
      <c r="AL312" s="7"/>
      <c r="AM312" s="1"/>
      <c r="AN312" s="1"/>
      <c r="AO312" s="8"/>
      <c r="AP312" s="1"/>
      <c r="AQ312" s="1"/>
      <c r="AR312" s="1"/>
      <c r="AS312" s="8"/>
      <c r="AT312" s="7">
        <v>0.32</v>
      </c>
      <c r="AU312" s="1">
        <v>0.52299768518518497</v>
      </c>
      <c r="AV312" s="1">
        <v>28.671026065406501</v>
      </c>
      <c r="AW312" s="1">
        <v>0.98802114892979198</v>
      </c>
      <c r="AX312" s="1">
        <v>19.2158483451744</v>
      </c>
      <c r="AY312" s="1">
        <v>31.8839146938139</v>
      </c>
      <c r="AZ312" s="1">
        <v>0.99060530078482001</v>
      </c>
      <c r="BA312" s="1">
        <v>20.271171199039198</v>
      </c>
      <c r="BB312" s="1">
        <v>53.8698406219482</v>
      </c>
      <c r="BC312" s="1">
        <v>34.9152219295501</v>
      </c>
      <c r="BD312" s="7"/>
      <c r="BE312" s="1"/>
      <c r="BF312" s="1"/>
      <c r="BG312" s="8"/>
      <c r="BH312" s="1"/>
      <c r="BI312" s="1"/>
      <c r="BJ312" s="1"/>
      <c r="BK312" s="8"/>
    </row>
    <row r="313" spans="1:63">
      <c r="A313" s="49"/>
      <c r="B313" s="7" t="s">
        <v>18</v>
      </c>
      <c r="C313" s="17">
        <v>0.25</v>
      </c>
      <c r="D313" s="7">
        <v>43</v>
      </c>
      <c r="E313" s="1">
        <v>0.24008487654320901</v>
      </c>
      <c r="F313" s="1">
        <v>26.228986254585799</v>
      </c>
      <c r="G313" s="1">
        <v>0.93312781535147504</v>
      </c>
      <c r="H313" s="1">
        <v>11.7475448859461</v>
      </c>
      <c r="I313" s="1">
        <v>29.3665940588164</v>
      </c>
      <c r="J313" s="1">
        <v>0.94223616831815604</v>
      </c>
      <c r="K313" s="8">
        <v>12.383440061744301</v>
      </c>
      <c r="L313" s="7">
        <v>41</v>
      </c>
      <c r="M313" s="1">
        <v>0.22863811728395</v>
      </c>
      <c r="N313" s="1">
        <v>26.882388172721701</v>
      </c>
      <c r="O313" s="1">
        <v>0.94049400203274403</v>
      </c>
      <c r="P313" s="1">
        <v>12.2543925691353</v>
      </c>
      <c r="Q313" s="1">
        <v>30.1682646244961</v>
      </c>
      <c r="R313" s="1">
        <v>0.94724377241758395</v>
      </c>
      <c r="S313" s="1">
        <v>12.7772626692997</v>
      </c>
      <c r="T313" s="7"/>
      <c r="U313" s="1"/>
      <c r="V313" s="1"/>
      <c r="W313" s="8"/>
      <c r="X313" s="7"/>
      <c r="Y313" s="1"/>
      <c r="Z313" s="1"/>
      <c r="AA313" s="8"/>
      <c r="AB313" s="7">
        <v>8</v>
      </c>
      <c r="AC313" s="1">
        <v>0.56220293209876504</v>
      </c>
      <c r="AD313" s="1">
        <v>30.3908187633692</v>
      </c>
      <c r="AE313" s="1">
        <v>0.98165256510404297</v>
      </c>
      <c r="AF313" s="1">
        <v>17.3642464467626</v>
      </c>
      <c r="AG313" s="1">
        <v>33.389878303598799</v>
      </c>
      <c r="AH313" s="1">
        <v>0.98541359139005702</v>
      </c>
      <c r="AI313" s="1">
        <v>18.360516246851301</v>
      </c>
      <c r="AJ313" s="1">
        <v>28.255927085876401</v>
      </c>
      <c r="AK313" s="1">
        <v>16.760169267654401</v>
      </c>
      <c r="AL313" s="7"/>
      <c r="AM313" s="1"/>
      <c r="AN313" s="1"/>
      <c r="AO313" s="8"/>
      <c r="AP313" s="1"/>
      <c r="AQ313" s="1"/>
      <c r="AR313" s="1"/>
      <c r="AS313" s="8"/>
      <c r="AT313" s="7">
        <v>0.16</v>
      </c>
      <c r="AU313" s="1">
        <v>0.38798225308641898</v>
      </c>
      <c r="AV313" s="1">
        <v>27.628869269122699</v>
      </c>
      <c r="AW313" s="1">
        <v>0.98146362288606503</v>
      </c>
      <c r="AX313" s="1">
        <v>17.319751436098102</v>
      </c>
      <c r="AY313" s="1">
        <v>30.874903027639501</v>
      </c>
      <c r="AZ313" s="1">
        <v>0.98481987448984798</v>
      </c>
      <c r="BA313" s="1">
        <v>18.1872463765392</v>
      </c>
      <c r="BB313" s="1">
        <v>44.006911039352403</v>
      </c>
      <c r="BC313" s="1">
        <v>28.6168372631073</v>
      </c>
      <c r="BD313" s="7"/>
      <c r="BE313" s="1"/>
      <c r="BF313" s="1"/>
      <c r="BG313" s="8"/>
      <c r="BH313" s="1"/>
      <c r="BI313" s="1"/>
      <c r="BJ313" s="1"/>
      <c r="BK313" s="8"/>
    </row>
    <row r="314" spans="1:63">
      <c r="A314" s="49"/>
      <c r="B314" s="7" t="s">
        <v>18</v>
      </c>
      <c r="C314" s="17">
        <v>0.12</v>
      </c>
      <c r="D314" s="7">
        <v>48</v>
      </c>
      <c r="E314" s="1">
        <v>0.10390432098765399</v>
      </c>
      <c r="F314" s="1">
        <v>23.61319075159</v>
      </c>
      <c r="G314" s="1">
        <v>0.86770153773797798</v>
      </c>
      <c r="H314" s="1">
        <v>8.7844520369609604</v>
      </c>
      <c r="I314" s="1">
        <v>26.956838384969998</v>
      </c>
      <c r="J314" s="1">
        <v>0.87750368818027402</v>
      </c>
      <c r="K314" s="8">
        <v>9.1187698705826108</v>
      </c>
      <c r="L314" s="7">
        <v>46</v>
      </c>
      <c r="M314" s="1">
        <v>0.101439043209876</v>
      </c>
      <c r="N314" s="1">
        <v>24.152832761964</v>
      </c>
      <c r="O314" s="1">
        <v>0.88114440897777202</v>
      </c>
      <c r="P314" s="1">
        <v>9.2498038404105696</v>
      </c>
      <c r="Q314" s="1">
        <v>27.674967062156799</v>
      </c>
      <c r="R314" s="1">
        <v>0.88900050739276104</v>
      </c>
      <c r="S314" s="1">
        <v>9.5467900642397208</v>
      </c>
      <c r="T314" s="7"/>
      <c r="U314" s="1"/>
      <c r="V314" s="1"/>
      <c r="W314" s="8"/>
      <c r="X314" s="7"/>
      <c r="Y314" s="1"/>
      <c r="Z314" s="1"/>
      <c r="AA314" s="8"/>
      <c r="AB314" s="7">
        <v>4</v>
      </c>
      <c r="AC314" s="1">
        <v>0.37893904320987598</v>
      </c>
      <c r="AD314" s="1">
        <v>28.1610757549631</v>
      </c>
      <c r="AE314" s="1">
        <v>0.96871590288027698</v>
      </c>
      <c r="AF314" s="1">
        <v>15.0467637453912</v>
      </c>
      <c r="AG314" s="1">
        <v>31.331266679054298</v>
      </c>
      <c r="AH314" s="1">
        <v>0.97334774241371502</v>
      </c>
      <c r="AI314" s="1">
        <v>15.742659980542999</v>
      </c>
      <c r="AJ314" s="1">
        <v>49.090457677841101</v>
      </c>
      <c r="AK314" s="1">
        <v>29.414175987243599</v>
      </c>
      <c r="AL314" s="7"/>
      <c r="AM314" s="1"/>
      <c r="AN314" s="1"/>
      <c r="AO314" s="8"/>
      <c r="AP314" s="1"/>
      <c r="AQ314" s="1"/>
      <c r="AR314" s="1"/>
      <c r="AS314" s="8"/>
      <c r="AT314" s="7">
        <v>0.08</v>
      </c>
      <c r="AU314" s="1">
        <v>0.281554783950617</v>
      </c>
      <c r="AV314" s="1">
        <v>26.417241845106499</v>
      </c>
      <c r="AW314" s="1">
        <v>0.97022957381061103</v>
      </c>
      <c r="AX314" s="1">
        <v>15.262149480078</v>
      </c>
      <c r="AY314" s="1">
        <v>29.717087111563199</v>
      </c>
      <c r="AZ314" s="1">
        <v>0.974370407001246</v>
      </c>
      <c r="BA314" s="1">
        <v>15.912582904134499</v>
      </c>
      <c r="BB314" s="1">
        <v>26.130762338638299</v>
      </c>
      <c r="BC314" s="1">
        <v>16.2903518676757</v>
      </c>
      <c r="BD314" s="7"/>
      <c r="BE314" s="1"/>
      <c r="BF314" s="1"/>
      <c r="BG314" s="8"/>
      <c r="BH314" s="1"/>
      <c r="BI314" s="1"/>
      <c r="BJ314" s="1"/>
      <c r="BK314" s="8"/>
    </row>
    <row r="315" spans="1:63">
      <c r="A315" s="49"/>
      <c r="B315" s="7" t="s">
        <v>18</v>
      </c>
      <c r="C315" s="17">
        <v>0.06</v>
      </c>
      <c r="D315" s="7">
        <v>51</v>
      </c>
      <c r="E315" s="1">
        <v>5.90277777777777E-2</v>
      </c>
      <c r="F315" s="1">
        <v>22.216608718913001</v>
      </c>
      <c r="G315" s="1">
        <v>0.80752394426599705</v>
      </c>
      <c r="H315" s="1">
        <v>7.1562328958085804</v>
      </c>
      <c r="I315" s="1">
        <v>25.684096940930701</v>
      </c>
      <c r="J315" s="1">
        <v>0.81697238632995195</v>
      </c>
      <c r="K315" s="8">
        <v>7.3748338262028099</v>
      </c>
      <c r="L315" s="7">
        <v>49</v>
      </c>
      <c r="M315" s="1">
        <v>5.8325617283950602E-2</v>
      </c>
      <c r="N315" s="1">
        <v>22.671054511139801</v>
      </c>
      <c r="O315" s="1">
        <v>0.82475452775378699</v>
      </c>
      <c r="P315" s="1">
        <v>7.5635319392556699</v>
      </c>
      <c r="Q315" s="1">
        <v>26.319642698416299</v>
      </c>
      <c r="R315" s="1">
        <v>0.83285527531257098</v>
      </c>
      <c r="S315" s="1">
        <v>7.7690732577373796</v>
      </c>
      <c r="T315" s="7"/>
      <c r="U315" s="1"/>
      <c r="V315" s="1"/>
      <c r="W315" s="8"/>
      <c r="X315" s="7"/>
      <c r="Y315" s="1"/>
      <c r="Z315" s="1"/>
      <c r="AA315" s="8"/>
      <c r="AB315" s="7">
        <v>2</v>
      </c>
      <c r="AC315" s="1">
        <v>0.226639660493827</v>
      </c>
      <c r="AD315" s="1">
        <v>26.141395882186199</v>
      </c>
      <c r="AE315" s="1">
        <v>0.94594579578829296</v>
      </c>
      <c r="AF315" s="1">
        <v>12.6717052197084</v>
      </c>
      <c r="AG315" s="1">
        <v>29.505965489498401</v>
      </c>
      <c r="AH315" s="1">
        <v>0.95137382173950003</v>
      </c>
      <c r="AI315" s="1">
        <v>13.131298621529499</v>
      </c>
      <c r="AJ315" s="1">
        <v>48.258371829986501</v>
      </c>
      <c r="AK315" s="1">
        <v>33.997106313705402</v>
      </c>
      <c r="AL315" s="7"/>
      <c r="AM315" s="1"/>
      <c r="AN315" s="1"/>
      <c r="AO315" s="8"/>
      <c r="AP315" s="1"/>
      <c r="AQ315" s="1"/>
      <c r="AR315" s="1"/>
      <c r="AS315" s="8"/>
      <c r="AT315" s="7">
        <v>0.04</v>
      </c>
      <c r="AU315" s="1">
        <v>0.187310956790123</v>
      </c>
      <c r="AV315" s="1">
        <v>24.9979314813902</v>
      </c>
      <c r="AW315" s="1">
        <v>0.95157204844763699</v>
      </c>
      <c r="AX315" s="1">
        <v>13.149039007308801</v>
      </c>
      <c r="AY315" s="1">
        <v>28.388345339758501</v>
      </c>
      <c r="AZ315" s="1">
        <v>0.95660030136393803</v>
      </c>
      <c r="BA315" s="1">
        <v>13.6251328618219</v>
      </c>
      <c r="BB315" s="1">
        <v>31.955536365509001</v>
      </c>
      <c r="BC315" s="1">
        <v>22.6075901985168</v>
      </c>
      <c r="BD315" s="7"/>
      <c r="BE315" s="1"/>
      <c r="BF315" s="1"/>
      <c r="BG315" s="8"/>
      <c r="BH315" s="1"/>
      <c r="BI315" s="1"/>
      <c r="BJ315" s="1"/>
      <c r="BK315" s="8"/>
    </row>
    <row r="316" spans="1:63">
      <c r="A316" s="49"/>
      <c r="B316" s="7" t="s">
        <v>73</v>
      </c>
      <c r="C316" s="17">
        <v>1.5</v>
      </c>
      <c r="D316" s="7">
        <v>13</v>
      </c>
      <c r="E316" s="1">
        <v>1.2632600308641899</v>
      </c>
      <c r="F316" s="1">
        <v>47.921895876791403</v>
      </c>
      <c r="G316" s="1">
        <v>0.99740781875520801</v>
      </c>
      <c r="H316" s="1">
        <v>25.863346359569899</v>
      </c>
      <c r="I316" s="1">
        <v>51.261195734305502</v>
      </c>
      <c r="J316" s="1">
        <v>0.99877598638435505</v>
      </c>
      <c r="K316" s="8">
        <v>29.1221375117204</v>
      </c>
      <c r="L316" s="7">
        <v>10</v>
      </c>
      <c r="M316" s="1">
        <v>1.4510300925925901</v>
      </c>
      <c r="N316" s="1">
        <v>48.107299188908797</v>
      </c>
      <c r="O316" s="1">
        <v>0.99771316907046204</v>
      </c>
      <c r="P316" s="1">
        <v>26.4076594255692</v>
      </c>
      <c r="Q316" s="1">
        <v>51.709126622537397</v>
      </c>
      <c r="R316" s="1">
        <v>0.99895036603958298</v>
      </c>
      <c r="S316" s="1">
        <v>29.789621263461399</v>
      </c>
      <c r="T316" s="13">
        <f>bdrate(E316:E319,F316:F319,M316:M319,N316:N319)</f>
        <v>-8.8086039689172169E-2</v>
      </c>
      <c r="U316" s="12">
        <f>bdrate(E316:E319,H316:H319,M316:M319,P316:P319)</f>
        <v>-0.20060113066834251</v>
      </c>
      <c r="V316" s="12">
        <f>bdrate(E316:E319,I316:I319,M316:M319,Q316:Q319)</f>
        <v>-0.12608792328835428</v>
      </c>
      <c r="W316" s="14">
        <f>bdrate(E316:E319,K316:K319,M316:M319,S316:S319)</f>
        <v>-0.14391247352034819</v>
      </c>
      <c r="X316" s="13">
        <f>bdrate(E318:E321,F318:F321,M318:M321,N318:N321)</f>
        <v>-0.2299846326074535</v>
      </c>
      <c r="Y316" s="12">
        <f>bdrate(E318:E321,H318:H321,M318:M321,P318:P321)</f>
        <v>-0.27129023339653879</v>
      </c>
      <c r="Z316" s="12">
        <f>bdrate(E318:E321,I318:I321,M318:M321,Q318:Q321)</f>
        <v>-0.24572124481755375</v>
      </c>
      <c r="AA316" s="14">
        <f>bdrate(E318:E321,K318:K321,M318:M321,S318:S321)</f>
        <v>-0.21590096904391698</v>
      </c>
      <c r="AB316" s="7">
        <v>256</v>
      </c>
      <c r="AC316" s="1">
        <v>0.439540895061728</v>
      </c>
      <c r="AD316" s="1">
        <v>46.664074790254602</v>
      </c>
      <c r="AE316" s="1">
        <v>0.99671125836437202</v>
      </c>
      <c r="AF316" s="1">
        <v>24.829702434613001</v>
      </c>
      <c r="AG316" s="1">
        <v>49.579819857700002</v>
      </c>
      <c r="AH316" s="1">
        <v>0.99788862351232799</v>
      </c>
      <c r="AI316" s="1">
        <v>26.7543431906583</v>
      </c>
      <c r="AJ316" s="1">
        <v>149.12305951118401</v>
      </c>
      <c r="AK316" s="1">
        <v>67.5707688331604</v>
      </c>
      <c r="AL316" s="13">
        <f>bdrate(E316:E319,F316:F319,AC316:AC319,AD316:AD319)</f>
        <v>-0.34693619115101915</v>
      </c>
      <c r="AM316" s="12">
        <f>bdrate(E316:E319,H316:H319,AC316:AC319,AF316:AF319)</f>
        <v>-0.41543364079620182</v>
      </c>
      <c r="AN316" s="12">
        <f>bdrate(E316:E319,I316:I319,AC316:AC319,AG316:AG319)</f>
        <v>-0.27344317769817561</v>
      </c>
      <c r="AO316" s="14">
        <f>bdrate(E316:E319,K316:K319,AC316:AC319,AI316:AI319)</f>
        <v>-0.22944973587138207</v>
      </c>
      <c r="AP316" s="12">
        <f>bdrate(E318:E321,F318:F321,AC318:AC321,AD318:AD321)</f>
        <v>-0.30551893039853928</v>
      </c>
      <c r="AQ316" s="12">
        <f>bdrate(E318:E321,H318:H321,AC318:AC321,AF318:AF321)</f>
        <v>-0.3671512098530072</v>
      </c>
      <c r="AR316" s="12">
        <f>bdrate(E318:E321,I318:I321,AC318:AC321,AG318:AG321)</f>
        <v>-0.25898907955101835</v>
      </c>
      <c r="AS316" s="14">
        <f>bdrate(E318:E321,K318:K321,AC318:AC321,AI318:AI321)</f>
        <v>-0.22233895179746777</v>
      </c>
      <c r="AT316" s="7">
        <v>6.4</v>
      </c>
      <c r="AU316" s="1">
        <v>0.80288966049382704</v>
      </c>
      <c r="AV316" s="1">
        <v>47.574935647770999</v>
      </c>
      <c r="AW316" s="1">
        <v>0.99861363497572597</v>
      </c>
      <c r="AX316" s="1">
        <v>28.581224066967899</v>
      </c>
      <c r="AY316" s="1">
        <v>50.407261156409596</v>
      </c>
      <c r="AZ316" s="1">
        <v>0.99911860778628903</v>
      </c>
      <c r="BA316" s="1">
        <v>30.548307904014202</v>
      </c>
      <c r="BB316" s="1">
        <v>447.19263291358902</v>
      </c>
      <c r="BC316" s="1">
        <v>91.482322692871094</v>
      </c>
      <c r="BD316" s="13">
        <f>bdrate(E316:E319,F316:F319,AU316:AU319,AV316:AV319)</f>
        <v>-0.16363982294131618</v>
      </c>
      <c r="BE316" s="12">
        <f>bdrate(E316:E319,H316:H319,AU316:AU319,AX316:AX319)</f>
        <v>-0.62532176586292376</v>
      </c>
      <c r="BF316" s="12">
        <f>bdrate(E316:E319,I316:I319,AU316:AU319,AY316:AY319)</f>
        <v>-5.4202649146357862E-2</v>
      </c>
      <c r="BG316" s="14">
        <f>bdrate(E316:E319,K316:K319,AU316:AU319,BA316:BA319)</f>
        <v>-0.46542404438700835</v>
      </c>
      <c r="BH316" s="12">
        <f>bdrate(E318:E321,F318:F321,AU318:AU321,AV318:AV321)</f>
        <v>-1.0360777822415401E-2</v>
      </c>
      <c r="BI316" s="12">
        <f>bdrate(E318:E321,H318:H321,AU318:AU321,AX318:AX321)</f>
        <v>-0.51080936500369756</v>
      </c>
      <c r="BJ316" s="12">
        <f>bdrate(E318:E321,I318:I321,AU318:AU321,AY318:AY321)</f>
        <v>8.4079524926408133E-2</v>
      </c>
      <c r="BK316" s="14">
        <f>bdrate(E318:E321,K318:K321,AU318:AU321,BA318:BA321)</f>
        <v>-0.38249933627515964</v>
      </c>
    </row>
    <row r="317" spans="1:63">
      <c r="A317" s="49"/>
      <c r="B317" s="7" t="s">
        <v>18</v>
      </c>
      <c r="C317" s="17">
        <v>1</v>
      </c>
      <c r="D317" s="7">
        <v>15</v>
      </c>
      <c r="E317" s="1">
        <v>0.86579475308641896</v>
      </c>
      <c r="F317" s="1">
        <v>47.114240001723999</v>
      </c>
      <c r="G317" s="1">
        <v>0.99683045783325197</v>
      </c>
      <c r="H317" s="1">
        <v>24.990034661150698</v>
      </c>
      <c r="I317" s="1">
        <v>50.378247366708599</v>
      </c>
      <c r="J317" s="1">
        <v>0.99838443113498399</v>
      </c>
      <c r="K317" s="8">
        <v>27.916745250751301</v>
      </c>
      <c r="L317" s="7">
        <v>12</v>
      </c>
      <c r="M317" s="1">
        <v>0.93438657407407399</v>
      </c>
      <c r="N317" s="1">
        <v>47.244123740577301</v>
      </c>
      <c r="O317" s="1">
        <v>0.99720888449447098</v>
      </c>
      <c r="P317" s="1">
        <v>25.542221906070999</v>
      </c>
      <c r="Q317" s="1">
        <v>50.652133463691897</v>
      </c>
      <c r="R317" s="1">
        <v>0.99858806034666503</v>
      </c>
      <c r="S317" s="1">
        <v>28.501838647458101</v>
      </c>
      <c r="T317" s="7"/>
      <c r="U317" s="1"/>
      <c r="V317" s="1"/>
      <c r="W317" s="8"/>
      <c r="X317" s="7"/>
      <c r="Y317" s="1"/>
      <c r="Z317" s="1"/>
      <c r="AA317" s="8"/>
      <c r="AB317" s="7">
        <v>128</v>
      </c>
      <c r="AC317" s="1">
        <v>0.28645447530864199</v>
      </c>
      <c r="AD317" s="1">
        <v>45.494769840320401</v>
      </c>
      <c r="AE317" s="1">
        <v>0.99547243989642997</v>
      </c>
      <c r="AF317" s="1">
        <v>23.441357756963502</v>
      </c>
      <c r="AG317" s="1">
        <v>48.451336255315603</v>
      </c>
      <c r="AH317" s="1">
        <v>0.99703676632833105</v>
      </c>
      <c r="AI317" s="1">
        <v>25.282341000167499</v>
      </c>
      <c r="AJ317" s="1">
        <v>181.992990016937</v>
      </c>
      <c r="AK317" s="1">
        <v>67.913464307785006</v>
      </c>
      <c r="AL317" s="7"/>
      <c r="AM317" s="1"/>
      <c r="AN317" s="1"/>
      <c r="AO317" s="8"/>
      <c r="AP317" s="1"/>
      <c r="AQ317" s="1"/>
      <c r="AR317" s="1"/>
      <c r="AS317" s="8"/>
      <c r="AT317" s="7">
        <v>3.2</v>
      </c>
      <c r="AU317" s="1">
        <v>0.56076774691358</v>
      </c>
      <c r="AV317" s="1">
        <v>46.517034896551699</v>
      </c>
      <c r="AW317" s="1">
        <v>0.99800845816763095</v>
      </c>
      <c r="AX317" s="1">
        <v>27.008105667961502</v>
      </c>
      <c r="AY317" s="1">
        <v>49.404665097099603</v>
      </c>
      <c r="AZ317" s="1">
        <v>0.998686143586199</v>
      </c>
      <c r="BA317" s="1">
        <v>28.814520945184299</v>
      </c>
      <c r="BB317" s="1">
        <v>189.64809179305999</v>
      </c>
      <c r="BC317" s="1">
        <v>107.26831245422299</v>
      </c>
      <c r="BD317" s="7"/>
      <c r="BE317" s="1"/>
      <c r="BF317" s="1"/>
      <c r="BG317" s="8"/>
      <c r="BH317" s="1"/>
      <c r="BI317" s="1"/>
      <c r="BJ317" s="1"/>
      <c r="BK317" s="8"/>
    </row>
    <row r="318" spans="1:63">
      <c r="A318" s="49"/>
      <c r="B318" s="7" t="s">
        <v>18</v>
      </c>
      <c r="C318" s="17">
        <v>0.5</v>
      </c>
      <c r="D318" s="7">
        <v>20</v>
      </c>
      <c r="E318" s="1">
        <v>0.44892361111111101</v>
      </c>
      <c r="F318" s="1">
        <v>45.551386720653902</v>
      </c>
      <c r="G318" s="1">
        <v>0.995198469339452</v>
      </c>
      <c r="H318" s="1">
        <v>23.1862029357012</v>
      </c>
      <c r="I318" s="1">
        <v>48.804814575348097</v>
      </c>
      <c r="J318" s="1">
        <v>0.99746150475250095</v>
      </c>
      <c r="K318" s="8">
        <v>25.954236453328502</v>
      </c>
      <c r="L318" s="7">
        <v>16</v>
      </c>
      <c r="M318" s="1">
        <v>0.48104166666666598</v>
      </c>
      <c r="N318" s="1">
        <v>46.039227184065702</v>
      </c>
      <c r="O318" s="1">
        <v>0.99606348124266397</v>
      </c>
      <c r="P318" s="1">
        <v>24.048876748232701</v>
      </c>
      <c r="Q318" s="1">
        <v>49.374906703527699</v>
      </c>
      <c r="R318" s="1">
        <v>0.99784694832102105</v>
      </c>
      <c r="S318" s="1">
        <v>26.669455458263499</v>
      </c>
      <c r="T318" s="7"/>
      <c r="U318" s="1"/>
      <c r="V318" s="1"/>
      <c r="W318" s="8"/>
      <c r="X318" s="7"/>
      <c r="Y318" s="1"/>
      <c r="Z318" s="1"/>
      <c r="AA318" s="8"/>
      <c r="AB318" s="7">
        <v>64</v>
      </c>
      <c r="AC318" s="1">
        <v>0.193059413580246</v>
      </c>
      <c r="AD318" s="1">
        <v>44.342676836664999</v>
      </c>
      <c r="AE318" s="1">
        <v>0.99394532713214401</v>
      </c>
      <c r="AF318" s="1">
        <v>22.179093166866299</v>
      </c>
      <c r="AG318" s="1">
        <v>47.333645609614798</v>
      </c>
      <c r="AH318" s="1">
        <v>0.99588713590914801</v>
      </c>
      <c r="AI318" s="1">
        <v>23.858556414678802</v>
      </c>
      <c r="AJ318" s="1">
        <v>38.748164176940897</v>
      </c>
      <c r="AK318" s="1">
        <v>23.540738821029599</v>
      </c>
      <c r="AL318" s="7"/>
      <c r="AM318" s="1"/>
      <c r="AN318" s="1"/>
      <c r="AO318" s="8"/>
      <c r="AP318" s="1"/>
      <c r="AQ318" s="1"/>
      <c r="AR318" s="1"/>
      <c r="AS318" s="8"/>
      <c r="AT318" s="7">
        <v>1.28</v>
      </c>
      <c r="AU318" s="1">
        <v>0.32175540123456697</v>
      </c>
      <c r="AV318" s="1">
        <v>45.240898656466499</v>
      </c>
      <c r="AW318" s="1">
        <v>0.99684856040242797</v>
      </c>
      <c r="AX318" s="1">
        <v>25.014910124135799</v>
      </c>
      <c r="AY318" s="1">
        <v>48.181951625299703</v>
      </c>
      <c r="AZ318" s="1">
        <v>0.99788839003777097</v>
      </c>
      <c r="BA318" s="1">
        <v>26.753862977363799</v>
      </c>
      <c r="BB318" s="1">
        <v>65.5917649269104</v>
      </c>
      <c r="BC318" s="1">
        <v>32.9233524799346</v>
      </c>
      <c r="BD318" s="7"/>
      <c r="BE318" s="1"/>
      <c r="BF318" s="1"/>
      <c r="BG318" s="8"/>
      <c r="BH318" s="1"/>
      <c r="BI318" s="1"/>
      <c r="BJ318" s="1"/>
      <c r="BK318" s="8"/>
    </row>
    <row r="319" spans="1:63">
      <c r="A319" s="49"/>
      <c r="B319" s="7" t="s">
        <v>18</v>
      </c>
      <c r="C319" s="17">
        <v>0.25</v>
      </c>
      <c r="D319" s="7">
        <v>25</v>
      </c>
      <c r="E319" s="1">
        <v>0.23092206790123401</v>
      </c>
      <c r="F319" s="1">
        <v>43.651217935307002</v>
      </c>
      <c r="G319" s="1">
        <v>0.99205522593467799</v>
      </c>
      <c r="H319" s="1">
        <v>20.999184488127</v>
      </c>
      <c r="I319" s="1">
        <v>46.904084633990898</v>
      </c>
      <c r="J319" s="1">
        <v>0.99552438128227805</v>
      </c>
      <c r="K319" s="8">
        <v>23.491469185339199</v>
      </c>
      <c r="L319" s="7">
        <v>21</v>
      </c>
      <c r="M319" s="1">
        <v>0.24554398148148099</v>
      </c>
      <c r="N319" s="1">
        <v>44.4984211727785</v>
      </c>
      <c r="O319" s="1">
        <v>0.99394846955320204</v>
      </c>
      <c r="P319" s="1">
        <v>22.181347773236801</v>
      </c>
      <c r="Q319" s="1">
        <v>47.814314312811398</v>
      </c>
      <c r="R319" s="1">
        <v>0.99652421917994105</v>
      </c>
      <c r="S319" s="1">
        <v>24.5894761762044</v>
      </c>
      <c r="T319" s="7"/>
      <c r="U319" s="1"/>
      <c r="V319" s="1"/>
      <c r="W319" s="8"/>
      <c r="X319" s="7"/>
      <c r="Y319" s="1"/>
      <c r="Z319" s="1"/>
      <c r="AA319" s="8"/>
      <c r="AB319" s="7">
        <v>32</v>
      </c>
      <c r="AC319" s="1">
        <v>0.124510030864197</v>
      </c>
      <c r="AD319" s="1">
        <v>42.980159271348199</v>
      </c>
      <c r="AE319" s="1">
        <v>0.99113093917386097</v>
      </c>
      <c r="AF319" s="1">
        <v>20.521223665967302</v>
      </c>
      <c r="AG319" s="1">
        <v>46.022975108383598</v>
      </c>
      <c r="AH319" s="1">
        <v>0.99374556589660101</v>
      </c>
      <c r="AI319" s="1">
        <v>22.0381197883857</v>
      </c>
      <c r="AJ319" s="1">
        <v>32.212764739990199</v>
      </c>
      <c r="AK319" s="1">
        <v>17.376992702484099</v>
      </c>
      <c r="AL319" s="7"/>
      <c r="AM319" s="1"/>
      <c r="AN319" s="1"/>
      <c r="AO319" s="8"/>
      <c r="AP319" s="1"/>
      <c r="AQ319" s="1"/>
      <c r="AR319" s="1"/>
      <c r="AS319" s="8"/>
      <c r="AT319" s="7">
        <v>0.64</v>
      </c>
      <c r="AU319" s="1">
        <v>0.22330632716049301</v>
      </c>
      <c r="AV319" s="1">
        <v>43.5980527660505</v>
      </c>
      <c r="AW319" s="1">
        <v>0.99573646770348201</v>
      </c>
      <c r="AX319" s="1">
        <v>23.7023044286097</v>
      </c>
      <c r="AY319" s="1">
        <v>46.5920399075045</v>
      </c>
      <c r="AZ319" s="1">
        <v>0.99710978433943898</v>
      </c>
      <c r="BA319" s="1">
        <v>25.390697500818199</v>
      </c>
      <c r="BB319" s="1">
        <v>54.576108694076503</v>
      </c>
      <c r="BC319" s="1">
        <v>32.8769080638885</v>
      </c>
      <c r="BD319" s="7"/>
      <c r="BE319" s="1"/>
      <c r="BF319" s="1"/>
      <c r="BG319" s="8"/>
      <c r="BH319" s="1"/>
      <c r="BI319" s="1"/>
      <c r="BJ319" s="1"/>
      <c r="BK319" s="8"/>
    </row>
    <row r="320" spans="1:63">
      <c r="A320" s="49"/>
      <c r="B320" s="7" t="s">
        <v>18</v>
      </c>
      <c r="C320" s="17">
        <v>0.12</v>
      </c>
      <c r="D320" s="7">
        <v>30</v>
      </c>
      <c r="E320" s="1">
        <v>0.110844907407407</v>
      </c>
      <c r="F320" s="1">
        <v>41.494141485452502</v>
      </c>
      <c r="G320" s="1">
        <v>0.98585213424263696</v>
      </c>
      <c r="H320" s="1">
        <v>18.493090696597299</v>
      </c>
      <c r="I320" s="1">
        <v>44.74663862968</v>
      </c>
      <c r="J320" s="1">
        <v>0.99107315332207602</v>
      </c>
      <c r="K320" s="8">
        <v>20.493019243393299</v>
      </c>
      <c r="L320" s="7">
        <v>27</v>
      </c>
      <c r="M320" s="1">
        <v>0.105270061728395</v>
      </c>
      <c r="N320" s="1">
        <v>42.179174932065699</v>
      </c>
      <c r="O320" s="1">
        <v>0.98863882672904302</v>
      </c>
      <c r="P320" s="1">
        <v>19.445768166187602</v>
      </c>
      <c r="Q320" s="1">
        <v>45.478519467369303</v>
      </c>
      <c r="R320" s="1">
        <v>0.99265306963752697</v>
      </c>
      <c r="S320" s="1">
        <v>21.338940765755599</v>
      </c>
      <c r="T320" s="7"/>
      <c r="U320" s="1"/>
      <c r="V320" s="1"/>
      <c r="W320" s="8"/>
      <c r="X320" s="7"/>
      <c r="Y320" s="1"/>
      <c r="Z320" s="1"/>
      <c r="AA320" s="8"/>
      <c r="AB320" s="7">
        <v>16</v>
      </c>
      <c r="AC320" s="1">
        <v>7.9031635802469094E-2</v>
      </c>
      <c r="AD320" s="1">
        <v>41.520553533196903</v>
      </c>
      <c r="AE320" s="1">
        <v>0.98689754519248596</v>
      </c>
      <c r="AF320" s="1">
        <v>18.826473295747199</v>
      </c>
      <c r="AG320" s="1">
        <v>44.6259261609963</v>
      </c>
      <c r="AH320" s="1">
        <v>0.990345600537612</v>
      </c>
      <c r="AI320" s="1">
        <v>20.152747356891101</v>
      </c>
      <c r="AJ320" s="1">
        <v>34.801692247390697</v>
      </c>
      <c r="AK320" s="1">
        <v>22.856304168701101</v>
      </c>
      <c r="AL320" s="7"/>
      <c r="AM320" s="1"/>
      <c r="AN320" s="1"/>
      <c r="AO320" s="8"/>
      <c r="AP320" s="1"/>
      <c r="AQ320" s="1"/>
      <c r="AR320" s="1"/>
      <c r="AS320" s="8"/>
      <c r="AT320" s="7">
        <v>0.16</v>
      </c>
      <c r="AU320" s="1">
        <v>0.108260030864197</v>
      </c>
      <c r="AV320" s="1">
        <v>41.655567375199396</v>
      </c>
      <c r="AW320" s="1">
        <v>0.99155762265462</v>
      </c>
      <c r="AX320" s="1">
        <v>20.735352402705001</v>
      </c>
      <c r="AY320" s="1">
        <v>44.564153191836297</v>
      </c>
      <c r="AZ320" s="1">
        <v>0.99401618024766603</v>
      </c>
      <c r="BA320" s="1">
        <v>22.230214969861699</v>
      </c>
      <c r="BB320" s="1">
        <v>38.599846601486199</v>
      </c>
      <c r="BC320" s="1">
        <v>25.463717937469401</v>
      </c>
      <c r="BD320" s="7"/>
      <c r="BE320" s="1"/>
      <c r="BF320" s="1"/>
      <c r="BG320" s="8"/>
      <c r="BH320" s="1"/>
      <c r="BI320" s="1"/>
      <c r="BJ320" s="1"/>
      <c r="BK320" s="8"/>
    </row>
    <row r="321" spans="1:63">
      <c r="A321" s="49"/>
      <c r="B321" s="7" t="s">
        <v>18</v>
      </c>
      <c r="C321" s="17">
        <v>0.06</v>
      </c>
      <c r="D321" s="7">
        <v>35</v>
      </c>
      <c r="E321" s="1">
        <v>5.1863425925925903E-2</v>
      </c>
      <c r="F321" s="1">
        <v>39.4366976536026</v>
      </c>
      <c r="G321" s="1">
        <v>0.97513620402119805</v>
      </c>
      <c r="H321" s="1">
        <v>16.044325664910001</v>
      </c>
      <c r="I321" s="1">
        <v>42.697156942889897</v>
      </c>
      <c r="J321" s="1">
        <v>0.98276100097988695</v>
      </c>
      <c r="K321" s="8">
        <v>17.634879550230298</v>
      </c>
      <c r="L321" s="7">
        <v>31</v>
      </c>
      <c r="M321" s="1">
        <v>5.8040123456790098E-2</v>
      </c>
      <c r="N321" s="1">
        <v>40.523923225951997</v>
      </c>
      <c r="O321" s="1">
        <v>0.98206740595450004</v>
      </c>
      <c r="P321" s="1">
        <v>17.463568828773202</v>
      </c>
      <c r="Q321" s="1">
        <v>43.838802600847799</v>
      </c>
      <c r="R321" s="1">
        <v>0.98738455434356798</v>
      </c>
      <c r="S321" s="1">
        <v>18.990974028784201</v>
      </c>
      <c r="T321" s="7"/>
      <c r="U321" s="1"/>
      <c r="V321" s="1"/>
      <c r="W321" s="8"/>
      <c r="X321" s="7"/>
      <c r="Y321" s="1"/>
      <c r="Z321" s="1"/>
      <c r="AA321" s="8"/>
      <c r="AB321" s="7">
        <v>8</v>
      </c>
      <c r="AC321" s="1">
        <v>5.4340277777777703E-2</v>
      </c>
      <c r="AD321" s="1">
        <v>40.2798772985767</v>
      </c>
      <c r="AE321" s="1">
        <v>0.98160950247128698</v>
      </c>
      <c r="AF321" s="1">
        <v>17.3540652138444</v>
      </c>
      <c r="AG321" s="1">
        <v>43.394538196095098</v>
      </c>
      <c r="AH321" s="1">
        <v>0.98597912825082701</v>
      </c>
      <c r="AI321" s="1">
        <v>18.532249832249001</v>
      </c>
      <c r="AJ321" s="1">
        <v>26.472888469695999</v>
      </c>
      <c r="AK321" s="1">
        <v>16.5819859504699</v>
      </c>
      <c r="AL321" s="7"/>
      <c r="AM321" s="1"/>
      <c r="AN321" s="1"/>
      <c r="AO321" s="8"/>
      <c r="AP321" s="1"/>
      <c r="AQ321" s="1"/>
      <c r="AR321" s="1"/>
      <c r="AS321" s="8"/>
      <c r="AT321" s="7">
        <v>0.08</v>
      </c>
      <c r="AU321" s="1">
        <v>7.1855709876543203E-2</v>
      </c>
      <c r="AV321" s="1">
        <v>39.2118932534447</v>
      </c>
      <c r="AW321" s="1">
        <v>0.98798682714719299</v>
      </c>
      <c r="AX321" s="1">
        <v>19.203422739891501</v>
      </c>
      <c r="AY321" s="1">
        <v>42.086375139508199</v>
      </c>
      <c r="AZ321" s="1">
        <v>0.99127744465368595</v>
      </c>
      <c r="BA321" s="1">
        <v>20.593562661879499</v>
      </c>
      <c r="BB321" s="1">
        <v>25.7347409725189</v>
      </c>
      <c r="BC321" s="1">
        <v>16.814702272415101</v>
      </c>
      <c r="BD321" s="7"/>
      <c r="BE321" s="1"/>
      <c r="BF321" s="1"/>
      <c r="BG321" s="8"/>
      <c r="BH321" s="1"/>
      <c r="BI321" s="1"/>
      <c r="BJ321" s="1"/>
      <c r="BK321" s="8"/>
    </row>
    <row r="322" spans="1:63">
      <c r="A322" s="49"/>
      <c r="B322" s="7" t="s">
        <v>74</v>
      </c>
      <c r="C322" s="17">
        <v>1.5</v>
      </c>
      <c r="D322" s="7">
        <v>27</v>
      </c>
      <c r="E322" s="1">
        <v>1.3753086419753</v>
      </c>
      <c r="F322" s="1">
        <v>37.707588081132698</v>
      </c>
      <c r="G322" s="1">
        <v>0.99358191146500896</v>
      </c>
      <c r="H322" s="1">
        <v>21.925942962787499</v>
      </c>
      <c r="I322" s="1">
        <v>41.144346581334901</v>
      </c>
      <c r="J322" s="1">
        <v>0.99637960615339105</v>
      </c>
      <c r="K322" s="8">
        <v>24.412441819240499</v>
      </c>
      <c r="L322" s="7">
        <v>23</v>
      </c>
      <c r="M322" s="1">
        <v>1.4508217592592501</v>
      </c>
      <c r="N322" s="1">
        <v>39.785594649570299</v>
      </c>
      <c r="O322" s="1">
        <v>0.99577136321451798</v>
      </c>
      <c r="P322" s="1">
        <v>23.737996165404098</v>
      </c>
      <c r="Q322" s="1">
        <v>43.2265880793694</v>
      </c>
      <c r="R322" s="1">
        <v>0.99761849702288596</v>
      </c>
      <c r="S322" s="1">
        <v>26.2314887124103</v>
      </c>
      <c r="T322" s="13">
        <f>bdrate(E322:E325,F322:F325,M322:M325,N322:N325)</f>
        <v>-0.26414276338365661</v>
      </c>
      <c r="U322" s="12">
        <f>bdrate(E322:E325,H322:H325,M322:M325,P322:P325)</f>
        <v>-0.24466470255225214</v>
      </c>
      <c r="V322" s="12">
        <f>bdrate(E322:E325,I322:I325,M322:M325,Q322:Q325)</f>
        <v>-0.24887320965414927</v>
      </c>
      <c r="W322" s="14">
        <f>bdrate(E322:E325,K322:K325,M322:M325,S322:S325)</f>
        <v>-0.19142872117282739</v>
      </c>
      <c r="X322" s="13">
        <f>bdrate(E324:E327,F324:F327,M324:M327,N324:N327)</f>
        <v>-0.25600715904580218</v>
      </c>
      <c r="Y322" s="12">
        <f>bdrate(E324:E327,H324:H327,M324:M327,P324:P327)</f>
        <v>-0.23788238191117184</v>
      </c>
      <c r="Z322" s="12">
        <f>bdrate(E324:E327,I324:I327,M324:M327,Q324:Q327)</f>
        <v>-0.26093039696319698</v>
      </c>
      <c r="AA322" s="14">
        <f>bdrate(E324:E327,K324:K327,M324:M327,S324:S327)</f>
        <v>-0.18062310683393579</v>
      </c>
      <c r="AB322" s="7">
        <v>128</v>
      </c>
      <c r="AC322" s="1">
        <v>1.6579513888888799</v>
      </c>
      <c r="AD322" s="1">
        <v>40.178839726541398</v>
      </c>
      <c r="AE322" s="1">
        <v>0.99702808391860698</v>
      </c>
      <c r="AF322" s="1">
        <v>25.2696345800119</v>
      </c>
      <c r="AG322" s="1">
        <v>43.337938314552503</v>
      </c>
      <c r="AH322" s="1">
        <v>0.99829217090387801</v>
      </c>
      <c r="AI322" s="1">
        <v>27.675555916828301</v>
      </c>
      <c r="AJ322" s="1">
        <v>252.430242300033</v>
      </c>
      <c r="AK322" s="1">
        <v>68.276941061019897</v>
      </c>
      <c r="AL322" s="13">
        <f>bdrate(E322:E325,F322:F325,AC322:AC325,AD322:AD325)</f>
        <v>-0.16508049419293358</v>
      </c>
      <c r="AM322" s="12">
        <f>bdrate(E322:E325,H322:H325,AC322:AC325,AF322:AF325)</f>
        <v>-0.29309593917484034</v>
      </c>
      <c r="AN322" s="12">
        <f>bdrate(E322:E325,I322:I325,AC322:AC325,AG322:AG325)</f>
        <v>-0.11669788222117861</v>
      </c>
      <c r="AO322" s="14">
        <f>bdrate(E322:E325,K322:K325,AC322:AC325,AI322:AI325)</f>
        <v>-0.23828560600292747</v>
      </c>
      <c r="AP322" s="12">
        <f>bdrate(E324:E327,F324:F327,AC324:AC327,AD324:AD327)</f>
        <v>-0.1468407121633335</v>
      </c>
      <c r="AQ322" s="12">
        <f>bdrate(E324:E327,H324:H327,AC324:AC327,AF324:AF327)</f>
        <v>-0.34277244732064105</v>
      </c>
      <c r="AR322" s="12">
        <f>bdrate(E324:E327,I324:I327,AC324:AC327,AG324:AG327)</f>
        <v>-0.12361126294922975</v>
      </c>
      <c r="AS322" s="14">
        <f>bdrate(E324:E327,K324:K327,AC324:AC327,AI324:AI327)</f>
        <v>-0.28521062117092377</v>
      </c>
      <c r="AT322" s="7">
        <v>6.4</v>
      </c>
      <c r="AU322" s="1">
        <v>1.6274344135802401</v>
      </c>
      <c r="AV322" s="1">
        <v>36.791361030074199</v>
      </c>
      <c r="AW322" s="1">
        <v>0.99843557494062596</v>
      </c>
      <c r="AX322" s="1">
        <v>28.056452360203998</v>
      </c>
      <c r="AY322" s="1">
        <v>39.634420963072699</v>
      </c>
      <c r="AZ322" s="1">
        <v>0.99901476921861299</v>
      </c>
      <c r="BA322" s="1">
        <v>30.0646202803715</v>
      </c>
      <c r="BB322" s="1">
        <v>615.24700570106495</v>
      </c>
      <c r="BC322" s="1">
        <v>89.914842844009399</v>
      </c>
      <c r="BD322" s="13">
        <f>bdrate(E322:E325,F322:F325,AU322:AU325,AV322:AV325)</f>
        <v>0.34787485442477784</v>
      </c>
      <c r="BE322" s="12">
        <f>bdrate(E322:E325,H322:H325,AU322:AU325,AX322:AX325)</f>
        <v>-0.54965829926005028</v>
      </c>
      <c r="BF322" s="12">
        <f>bdrate(E322:E325,I322:I325,AU322:AU325,AY322:AY325)</f>
        <v>0.39214837629210186</v>
      </c>
      <c r="BG322" s="14">
        <f>bdrate(E322:E325,K322:K325,AU322:AU325,BA322:BA325)</f>
        <v>-0.48196932148848226</v>
      </c>
      <c r="BH322" s="12">
        <f>bdrate(E324:E327,F324:F327,AU324:AU327,AV324:AV327)</f>
        <v>0.15554441481059222</v>
      </c>
      <c r="BI322" s="12">
        <f>bdrate(E324:E327,H324:H327,AU324:AU327,AX324:AX327)</f>
        <v>-0.55297300430670404</v>
      </c>
      <c r="BJ322" s="12">
        <f>bdrate(E324:E327,I324:I327,AU324:AU327,AY324:AY327)</f>
        <v>0.14781766763521897</v>
      </c>
      <c r="BK322" s="14">
        <f>bdrate(E324:E327,K324:K327,AU324:AU327,BA324:BA327)</f>
        <v>-0.49920575314690552</v>
      </c>
    </row>
    <row r="323" spans="1:63">
      <c r="A323" s="49"/>
      <c r="B323" s="7" t="s">
        <v>18</v>
      </c>
      <c r="C323" s="17">
        <v>1</v>
      </c>
      <c r="D323" s="7">
        <v>30</v>
      </c>
      <c r="E323" s="1">
        <v>0.99793595679012304</v>
      </c>
      <c r="F323" s="1">
        <v>35.605170346575797</v>
      </c>
      <c r="G323" s="1">
        <v>0.98996799460395601</v>
      </c>
      <c r="H323" s="1">
        <v>19.9861224291373</v>
      </c>
      <c r="I323" s="1">
        <v>38.895368736960798</v>
      </c>
      <c r="J323" s="1">
        <v>0.99388462824770296</v>
      </c>
      <c r="K323" s="8">
        <v>22.135771371454702</v>
      </c>
      <c r="L323" s="7">
        <v>27</v>
      </c>
      <c r="M323" s="1">
        <v>0.96989969135802401</v>
      </c>
      <c r="N323" s="1">
        <v>37.229256306001801</v>
      </c>
      <c r="O323" s="1">
        <v>0.99270391683548798</v>
      </c>
      <c r="P323" s="1">
        <v>21.369102243393801</v>
      </c>
      <c r="Q323" s="1">
        <v>40.448819267609899</v>
      </c>
      <c r="R323" s="1">
        <v>0.99539618749516101</v>
      </c>
      <c r="S323" s="1">
        <v>23.368823717868501</v>
      </c>
      <c r="T323" s="7"/>
      <c r="U323" s="1"/>
      <c r="V323" s="1"/>
      <c r="W323" s="8"/>
      <c r="X323" s="7"/>
      <c r="Y323" s="1"/>
      <c r="Z323" s="1"/>
      <c r="AA323" s="8"/>
      <c r="AB323" s="7">
        <v>32</v>
      </c>
      <c r="AC323" s="1">
        <v>0.90745756172839498</v>
      </c>
      <c r="AD323" s="1">
        <v>36.148638025123702</v>
      </c>
      <c r="AE323" s="1">
        <v>0.99273623902614505</v>
      </c>
      <c r="AF323" s="1">
        <v>21.3883845543467</v>
      </c>
      <c r="AG323" s="1">
        <v>39.070184244322398</v>
      </c>
      <c r="AH323" s="1">
        <v>0.99525474134560199</v>
      </c>
      <c r="AI323" s="1">
        <v>23.2374011008263</v>
      </c>
      <c r="AJ323" s="1">
        <v>34.635483264923003</v>
      </c>
      <c r="AK323" s="1">
        <v>17.260406255722</v>
      </c>
      <c r="AL323" s="7"/>
      <c r="AM323" s="1"/>
      <c r="AN323" s="1"/>
      <c r="AO323" s="8"/>
      <c r="AP323" s="1"/>
      <c r="AQ323" s="1"/>
      <c r="AR323" s="1"/>
      <c r="AS323" s="8"/>
      <c r="AT323" s="7">
        <v>1.28</v>
      </c>
      <c r="AU323" s="1">
        <v>0.83437114197530804</v>
      </c>
      <c r="AV323" s="1">
        <v>32.5747497042722</v>
      </c>
      <c r="AW323" s="1">
        <v>0.99551726188415401</v>
      </c>
      <c r="AX323" s="1">
        <v>23.484566321280301</v>
      </c>
      <c r="AY323" s="1">
        <v>35.489489985643303</v>
      </c>
      <c r="AZ323" s="1">
        <v>0.99692073231576805</v>
      </c>
      <c r="BA323" s="1">
        <v>25.115525557439199</v>
      </c>
      <c r="BB323" s="1">
        <v>80.274670600891099</v>
      </c>
      <c r="BC323" s="1">
        <v>32.506345272064202</v>
      </c>
      <c r="BD323" s="7"/>
      <c r="BE323" s="1"/>
      <c r="BF323" s="1"/>
      <c r="BG323" s="8"/>
      <c r="BH323" s="1"/>
      <c r="BI323" s="1"/>
      <c r="BJ323" s="1"/>
      <c r="BK323" s="8"/>
    </row>
    <row r="324" spans="1:63">
      <c r="A324" s="49"/>
      <c r="B324" s="7" t="s">
        <v>18</v>
      </c>
      <c r="C324" s="17">
        <v>0.5</v>
      </c>
      <c r="D324" s="7">
        <v>37</v>
      </c>
      <c r="E324" s="1">
        <v>0.44662037037037</v>
      </c>
      <c r="F324" s="1">
        <v>30.960710676647601</v>
      </c>
      <c r="G324" s="1">
        <v>0.97284604945599595</v>
      </c>
      <c r="H324" s="1">
        <v>15.661669773219399</v>
      </c>
      <c r="I324" s="1">
        <v>34.0017512065752</v>
      </c>
      <c r="J324" s="1">
        <v>0.98076715744966603</v>
      </c>
      <c r="K324" s="8">
        <v>17.159565237338501</v>
      </c>
      <c r="L324" s="7">
        <v>34</v>
      </c>
      <c r="M324" s="1">
        <v>0.45206404320987598</v>
      </c>
      <c r="N324" s="1">
        <v>32.772786207930302</v>
      </c>
      <c r="O324" s="1">
        <v>0.980897542758291</v>
      </c>
      <c r="P324" s="1">
        <v>17.1891076375361</v>
      </c>
      <c r="Q324" s="1">
        <v>35.780058189614202</v>
      </c>
      <c r="R324" s="1">
        <v>0.98575786247123498</v>
      </c>
      <c r="S324" s="1">
        <v>18.464248247945999</v>
      </c>
      <c r="T324" s="7"/>
      <c r="U324" s="1"/>
      <c r="V324" s="1"/>
      <c r="W324" s="8"/>
      <c r="X324" s="7"/>
      <c r="Y324" s="1"/>
      <c r="Z324" s="1"/>
      <c r="AA324" s="8"/>
      <c r="AB324" s="7">
        <v>16</v>
      </c>
      <c r="AC324" s="1">
        <v>0.648746141975308</v>
      </c>
      <c r="AD324" s="1">
        <v>34.042913712995301</v>
      </c>
      <c r="AE324" s="1">
        <v>0.98885471210678</v>
      </c>
      <c r="AF324" s="1">
        <v>19.529087088058301</v>
      </c>
      <c r="AG324" s="1">
        <v>36.897073839497601</v>
      </c>
      <c r="AH324" s="1">
        <v>0.99232602847920204</v>
      </c>
      <c r="AI324" s="1">
        <v>21.1497981686347</v>
      </c>
      <c r="AJ324" s="1">
        <v>38.051300764083798</v>
      </c>
      <c r="AK324" s="1">
        <v>23.090039253234799</v>
      </c>
      <c r="AL324" s="7"/>
      <c r="AM324" s="1"/>
      <c r="AN324" s="1"/>
      <c r="AO324" s="8"/>
      <c r="AP324" s="1"/>
      <c r="AQ324" s="1"/>
      <c r="AR324" s="1"/>
      <c r="AS324" s="8"/>
      <c r="AT324" s="7">
        <v>0.32</v>
      </c>
      <c r="AU324" s="1">
        <v>0.42755787037037002</v>
      </c>
      <c r="AV324" s="1">
        <v>29.549771238906199</v>
      </c>
      <c r="AW324" s="1">
        <v>0.98939645261419396</v>
      </c>
      <c r="AX324" s="1">
        <v>19.745488184759299</v>
      </c>
      <c r="AY324" s="1">
        <v>32.561997941140802</v>
      </c>
      <c r="AZ324" s="1">
        <v>0.99203511316474502</v>
      </c>
      <c r="BA324" s="1">
        <v>20.988203902550101</v>
      </c>
      <c r="BB324" s="1">
        <v>60.744342565536499</v>
      </c>
      <c r="BC324" s="1">
        <v>34.200079202651899</v>
      </c>
      <c r="BD324" s="7"/>
      <c r="BE324" s="1"/>
      <c r="BF324" s="1"/>
      <c r="BG324" s="8"/>
      <c r="BH324" s="1"/>
      <c r="BI324" s="1"/>
      <c r="BJ324" s="1"/>
      <c r="BK324" s="8"/>
    </row>
    <row r="325" spans="1:63">
      <c r="A325" s="49"/>
      <c r="B325" s="7" t="s">
        <v>18</v>
      </c>
      <c r="C325" s="17">
        <v>0.25</v>
      </c>
      <c r="D325" s="7">
        <v>42</v>
      </c>
      <c r="E325" s="1">
        <v>0.23288966049382701</v>
      </c>
      <c r="F325" s="1">
        <v>27.839102109211002</v>
      </c>
      <c r="G325" s="1">
        <v>0.94712124391637298</v>
      </c>
      <c r="H325" s="1">
        <v>12.767187697170201</v>
      </c>
      <c r="I325" s="1">
        <v>30.822846281861601</v>
      </c>
      <c r="J325" s="1">
        <v>0.95926535882298103</v>
      </c>
      <c r="K325" s="8">
        <v>13.900361049462401</v>
      </c>
      <c r="L325" s="7">
        <v>39</v>
      </c>
      <c r="M325" s="1">
        <v>0.24906249999999999</v>
      </c>
      <c r="N325" s="1">
        <v>29.564063962783401</v>
      </c>
      <c r="O325" s="1">
        <v>0.962665022218825</v>
      </c>
      <c r="P325" s="1">
        <v>14.2788410279336</v>
      </c>
      <c r="Q325" s="1">
        <v>32.5488116612647</v>
      </c>
      <c r="R325" s="1">
        <v>0.97000836338489405</v>
      </c>
      <c r="S325" s="1">
        <v>15.2299983455671</v>
      </c>
      <c r="T325" s="7"/>
      <c r="U325" s="1"/>
      <c r="V325" s="1"/>
      <c r="W325" s="8"/>
      <c r="X325" s="7"/>
      <c r="Y325" s="1"/>
      <c r="Z325" s="1"/>
      <c r="AA325" s="8"/>
      <c r="AB325" s="7">
        <v>8</v>
      </c>
      <c r="AC325" s="1">
        <v>0.45583719135802397</v>
      </c>
      <c r="AD325" s="1">
        <v>32.153883712175599</v>
      </c>
      <c r="AE325" s="1">
        <v>0.98281490660727</v>
      </c>
      <c r="AF325" s="1">
        <v>17.648481033384002</v>
      </c>
      <c r="AG325" s="1">
        <v>34.976542631690002</v>
      </c>
      <c r="AH325" s="1">
        <v>0.98732057919393201</v>
      </c>
      <c r="AI325" s="1">
        <v>18.969005845042801</v>
      </c>
      <c r="AJ325" s="1">
        <v>29.4705522060394</v>
      </c>
      <c r="AK325" s="1">
        <v>16.8756437301635</v>
      </c>
      <c r="AL325" s="7"/>
      <c r="AM325" s="1"/>
      <c r="AN325" s="1"/>
      <c r="AO325" s="8"/>
      <c r="AP325" s="1"/>
      <c r="AQ325" s="1"/>
      <c r="AR325" s="1"/>
      <c r="AS325" s="8"/>
      <c r="AT325" s="7">
        <v>0.16</v>
      </c>
      <c r="AU325" s="1">
        <v>0.30724922839506102</v>
      </c>
      <c r="AV325" s="1">
        <v>28.307801365115001</v>
      </c>
      <c r="AW325" s="1">
        <v>0.98363471076462305</v>
      </c>
      <c r="AX325" s="1">
        <v>17.860763146934001</v>
      </c>
      <c r="AY325" s="1">
        <v>31.321081316890702</v>
      </c>
      <c r="AZ325" s="1">
        <v>0.98722014648535505</v>
      </c>
      <c r="BA325" s="1">
        <v>18.934741241233102</v>
      </c>
      <c r="BB325" s="1">
        <v>41.752059698104802</v>
      </c>
      <c r="BC325" s="1">
        <v>26.4928090572357</v>
      </c>
      <c r="BD325" s="7"/>
      <c r="BE325" s="1"/>
      <c r="BF325" s="1"/>
      <c r="BG325" s="8"/>
      <c r="BH325" s="1"/>
      <c r="BI325" s="1"/>
      <c r="BJ325" s="1"/>
      <c r="BK325" s="8"/>
    </row>
    <row r="326" spans="1:63">
      <c r="A326" s="49"/>
      <c r="B326" s="7" t="s">
        <v>18</v>
      </c>
      <c r="C326" s="17">
        <v>0.12</v>
      </c>
      <c r="D326" s="7">
        <v>47</v>
      </c>
      <c r="E326" s="1">
        <v>0.111983024691358</v>
      </c>
      <c r="F326" s="1">
        <v>24.933215511868099</v>
      </c>
      <c r="G326" s="1">
        <v>0.90244799701960998</v>
      </c>
      <c r="H326" s="1">
        <v>10.1076380905367</v>
      </c>
      <c r="I326" s="1">
        <v>27.9311254889625</v>
      </c>
      <c r="J326" s="1">
        <v>0.91778425841784605</v>
      </c>
      <c r="K326" s="8">
        <v>10.8504502153848</v>
      </c>
      <c r="L326" s="7">
        <v>45</v>
      </c>
      <c r="M326" s="1">
        <v>0.108989197530864</v>
      </c>
      <c r="N326" s="1">
        <v>25.898872196455699</v>
      </c>
      <c r="O326" s="1">
        <v>0.91844809686863604</v>
      </c>
      <c r="P326" s="1">
        <v>10.8856589961689</v>
      </c>
      <c r="Q326" s="1">
        <v>28.934725397987801</v>
      </c>
      <c r="R326" s="1">
        <v>0.92827998780681698</v>
      </c>
      <c r="S326" s="1">
        <v>11.4435964527505</v>
      </c>
      <c r="T326" s="7"/>
      <c r="U326" s="1"/>
      <c r="V326" s="1"/>
      <c r="W326" s="8"/>
      <c r="X326" s="7"/>
      <c r="Y326" s="1"/>
      <c r="Z326" s="1"/>
      <c r="AA326" s="8"/>
      <c r="AB326" s="7">
        <v>4</v>
      </c>
      <c r="AC326" s="1">
        <v>0.31039737654320898</v>
      </c>
      <c r="AD326" s="1">
        <v>29.9058853692211</v>
      </c>
      <c r="AE326" s="1">
        <v>0.97356694236034702</v>
      </c>
      <c r="AF326" s="1">
        <v>15.7785259701878</v>
      </c>
      <c r="AG326" s="1">
        <v>32.754714507541401</v>
      </c>
      <c r="AH326" s="1">
        <v>0.97952410373160104</v>
      </c>
      <c r="AI326" s="1">
        <v>16.887570792671401</v>
      </c>
      <c r="AJ326" s="1">
        <v>39.806321859359699</v>
      </c>
      <c r="AK326" s="1">
        <v>26.684286594390802</v>
      </c>
      <c r="AL326" s="7"/>
      <c r="AM326" s="1"/>
      <c r="AN326" s="1"/>
      <c r="AO326" s="8"/>
      <c r="AP326" s="1"/>
      <c r="AQ326" s="1"/>
      <c r="AR326" s="1"/>
      <c r="AS326" s="8"/>
      <c r="AT326" s="7">
        <v>0.08</v>
      </c>
      <c r="AU326" s="1">
        <v>0.214918981481481</v>
      </c>
      <c r="AV326" s="1">
        <v>26.9821935024409</v>
      </c>
      <c r="AW326" s="1">
        <v>0.97472589304353696</v>
      </c>
      <c r="AX326" s="1">
        <v>15.973241809687</v>
      </c>
      <c r="AY326" s="1">
        <v>30.0003559468996</v>
      </c>
      <c r="AZ326" s="1">
        <v>0.97951329374087703</v>
      </c>
      <c r="BA326" s="1">
        <v>16.885278594842099</v>
      </c>
      <c r="BB326" s="1">
        <v>26.455096006393401</v>
      </c>
      <c r="BC326" s="1">
        <v>16.292465209960898</v>
      </c>
      <c r="BD326" s="7"/>
      <c r="BE326" s="1"/>
      <c r="BF326" s="1"/>
      <c r="BG326" s="8"/>
      <c r="BH326" s="1"/>
      <c r="BI326" s="1"/>
      <c r="BJ326" s="1"/>
      <c r="BK326" s="8"/>
    </row>
    <row r="327" spans="1:63">
      <c r="A327" s="49"/>
      <c r="B327" s="7" t="s">
        <v>18</v>
      </c>
      <c r="C327" s="17">
        <v>0.06</v>
      </c>
      <c r="D327" s="7">
        <v>51</v>
      </c>
      <c r="E327" s="1">
        <v>5.7804783950617201E-2</v>
      </c>
      <c r="F327" s="1">
        <v>22.8072400588592</v>
      </c>
      <c r="G327" s="1">
        <v>0.84442276593514698</v>
      </c>
      <c r="H327" s="1">
        <v>8.0805395389758896</v>
      </c>
      <c r="I327" s="1">
        <v>25.846091524516002</v>
      </c>
      <c r="J327" s="1">
        <v>0.863007355213398</v>
      </c>
      <c r="K327" s="8">
        <v>8.6330274973660899</v>
      </c>
      <c r="L327" s="7">
        <v>49</v>
      </c>
      <c r="M327" s="1">
        <v>5.7665895061728298E-2</v>
      </c>
      <c r="N327" s="1">
        <v>23.624167344551498</v>
      </c>
      <c r="O327" s="1">
        <v>0.86844665032201496</v>
      </c>
      <c r="P327" s="1">
        <v>8.8089808921154393</v>
      </c>
      <c r="Q327" s="1">
        <v>26.722323832276999</v>
      </c>
      <c r="R327" s="1">
        <v>0.88089906943438601</v>
      </c>
      <c r="S327" s="1">
        <v>9.2408484525162695</v>
      </c>
      <c r="T327" s="7"/>
      <c r="U327" s="1"/>
      <c r="V327" s="1"/>
      <c r="W327" s="8"/>
      <c r="X327" s="7"/>
      <c r="Y327" s="1"/>
      <c r="Z327" s="1"/>
      <c r="AA327" s="8"/>
      <c r="AB327" s="7">
        <v>2</v>
      </c>
      <c r="AC327" s="1">
        <v>0.19391589506172799</v>
      </c>
      <c r="AD327" s="1">
        <v>27.7221063473547</v>
      </c>
      <c r="AE327" s="1">
        <v>0.95915411281842</v>
      </c>
      <c r="AF327" s="1">
        <v>13.888516665310201</v>
      </c>
      <c r="AG327" s="1">
        <v>30.643966426481601</v>
      </c>
      <c r="AH327" s="1">
        <v>0.96658653518808102</v>
      </c>
      <c r="AI327" s="1">
        <v>14.760784878255899</v>
      </c>
      <c r="AJ327" s="1">
        <v>49.2898142337799</v>
      </c>
      <c r="AK327" s="1">
        <v>32.360723018646198</v>
      </c>
      <c r="AL327" s="7"/>
      <c r="AM327" s="1"/>
      <c r="AN327" s="1"/>
      <c r="AO327" s="8"/>
      <c r="AP327" s="1"/>
      <c r="AQ327" s="1"/>
      <c r="AR327" s="1"/>
      <c r="AS327" s="8"/>
      <c r="AT327" s="7">
        <v>0.04</v>
      </c>
      <c r="AU327" s="1">
        <v>0.14325231481481401</v>
      </c>
      <c r="AV327" s="1">
        <v>25.597565634728198</v>
      </c>
      <c r="AW327" s="1">
        <v>0.96150626434093001</v>
      </c>
      <c r="AX327" s="1">
        <v>14.1460994036306</v>
      </c>
      <c r="AY327" s="1">
        <v>28.616730110637398</v>
      </c>
      <c r="AZ327" s="1">
        <v>0.96795662800666804</v>
      </c>
      <c r="BA327" s="1">
        <v>14.942617884354499</v>
      </c>
      <c r="BB327" s="1">
        <v>31.3540887832641</v>
      </c>
      <c r="BC327" s="1">
        <v>22.271174669265701</v>
      </c>
      <c r="BD327" s="7"/>
      <c r="BE327" s="1"/>
      <c r="BF327" s="1"/>
      <c r="BG327" s="8"/>
      <c r="BH327" s="1"/>
      <c r="BI327" s="1"/>
      <c r="BJ327" s="1"/>
      <c r="BK327" s="8"/>
    </row>
    <row r="328" spans="1:63">
      <c r="A328" s="49"/>
      <c r="B328" s="7" t="s">
        <v>75</v>
      </c>
      <c r="C328" s="17">
        <v>1.5</v>
      </c>
      <c r="D328" s="7">
        <v>24</v>
      </c>
      <c r="E328" s="1">
        <v>1.4249421296296201</v>
      </c>
      <c r="F328" s="1">
        <v>40.472994377146797</v>
      </c>
      <c r="G328" s="1">
        <v>0.99354755279525497</v>
      </c>
      <c r="H328" s="1">
        <v>21.902755402566701</v>
      </c>
      <c r="I328" s="1">
        <v>43.784959056150903</v>
      </c>
      <c r="J328" s="1">
        <v>0.996425733578719</v>
      </c>
      <c r="K328" s="8">
        <v>24.468130788646299</v>
      </c>
      <c r="L328" s="7">
        <v>20</v>
      </c>
      <c r="M328" s="1">
        <v>1.4468518518518501</v>
      </c>
      <c r="N328" s="1">
        <v>42.150136960747098</v>
      </c>
      <c r="O328" s="1">
        <v>0.99563191070472001</v>
      </c>
      <c r="P328" s="1">
        <v>23.597084920865601</v>
      </c>
      <c r="Q328" s="1">
        <v>45.556338801590101</v>
      </c>
      <c r="R328" s="1">
        <v>0.99755622167855695</v>
      </c>
      <c r="S328" s="1">
        <v>26.119381921041299</v>
      </c>
      <c r="T328" s="13">
        <f>bdrate(E328:E331,F328:F331,M328:M331,N328:N331)</f>
        <v>-0.28756275062302128</v>
      </c>
      <c r="U328" s="12">
        <f>bdrate(E328:E331,H328:H331,M328:M331,P328:P331)</f>
        <v>-0.29198506432095372</v>
      </c>
      <c r="V328" s="12">
        <f>bdrate(E328:E331,I328:I331,M328:M331,Q328:Q331)</f>
        <v>-0.27750560772304911</v>
      </c>
      <c r="W328" s="14">
        <f>bdrate(E328:E331,K328:K331,M328:M331,S328:S331)</f>
        <v>-0.22354481868577747</v>
      </c>
      <c r="X328" s="13">
        <f>bdrate(E330:E333,F330:F333,M330:M333,N330:N333)</f>
        <v>-0.3103272363602535</v>
      </c>
      <c r="Y328" s="12">
        <f>bdrate(E330:E333,H330:H333,M330:M333,P330:P333)</f>
        <v>-0.29091611624832636</v>
      </c>
      <c r="Z328" s="12">
        <f>bdrate(E330:E333,I330:I333,M330:M333,Q330:Q333)</f>
        <v>-0.30967249788929363</v>
      </c>
      <c r="AA328" s="14">
        <f>bdrate(E330:E333,K330:K333,M330:M333,S330:S333)</f>
        <v>-0.22864643317660704</v>
      </c>
      <c r="AB328" s="7">
        <v>128</v>
      </c>
      <c r="AC328" s="1">
        <v>1.28496527777777</v>
      </c>
      <c r="AD328" s="1">
        <v>41.045638186104298</v>
      </c>
      <c r="AE328" s="1">
        <v>0.99570803438731303</v>
      </c>
      <c r="AF328" s="1">
        <v>23.6734376626809</v>
      </c>
      <c r="AG328" s="1">
        <v>43.8873790621466</v>
      </c>
      <c r="AH328" s="1">
        <v>0.99712279537542403</v>
      </c>
      <c r="AI328" s="1">
        <v>25.410292503223801</v>
      </c>
      <c r="AJ328" s="1">
        <v>267.10776925086901</v>
      </c>
      <c r="AK328" s="1">
        <v>70.301879405975299</v>
      </c>
      <c r="AL328" s="13">
        <f>bdrate(E328:E331,F328:F331,AC328:AC331,AD328:AD331)</f>
        <v>-0.18007521100272739</v>
      </c>
      <c r="AM328" s="12">
        <f>bdrate(E328:E331,H328:H331,AC328:AC331,AF328:AF331)</f>
        <v>-0.3451296315352681</v>
      </c>
      <c r="AN328" s="12">
        <f>bdrate(E328:E331,I328:I331,AC328:AC331,AG328:AG331)</f>
        <v>-0.12343120949319497</v>
      </c>
      <c r="AO328" s="14">
        <f>bdrate(E328:E331,K328:K331,AC328:AC331,AI328:AI331)</f>
        <v>-0.23675534601670767</v>
      </c>
      <c r="AP328" s="12">
        <f>bdrate(E330:E333,F330:F333,AC330:AC333,AD330:AD333)</f>
        <v>-0.24149641518824294</v>
      </c>
      <c r="AQ328" s="12">
        <f>bdrate(E330:E333,H330:H333,AC330:AC333,AF330:AF333)</f>
        <v>-0.36159586579233227</v>
      </c>
      <c r="AR328" s="12">
        <f>bdrate(E330:E333,I330:I333,AC330:AC333,AG330:AG333)</f>
        <v>-0.20082033907537211</v>
      </c>
      <c r="AS328" s="14">
        <f>bdrate(E330:E333,K330:K333,AC330:AC333,AI330:AI333)</f>
        <v>-0.26794509763198282</v>
      </c>
      <c r="AT328" s="7">
        <v>6.4</v>
      </c>
      <c r="AU328" s="1">
        <v>1.53319830246913</v>
      </c>
      <c r="AV328" s="1">
        <v>38.514531966249002</v>
      </c>
      <c r="AW328" s="1">
        <v>0.99838732153598897</v>
      </c>
      <c r="AX328" s="1">
        <v>27.924522136562</v>
      </c>
      <c r="AY328" s="1">
        <v>41.188325846021201</v>
      </c>
      <c r="AZ328" s="1">
        <v>0.99894611306722003</v>
      </c>
      <c r="BA328" s="1">
        <v>29.772059803038701</v>
      </c>
      <c r="BB328" s="1">
        <v>639.63527107238701</v>
      </c>
      <c r="BC328" s="1">
        <v>73.030829668045001</v>
      </c>
      <c r="BD328" s="13">
        <f>bdrate(E328:E331,F328:F331,AU328:AU331,AV328:AV331)</f>
        <v>0.41616916918786617</v>
      </c>
      <c r="BE328" s="12">
        <f>bdrate(E328:E331,H328:H331,AU328:AU331,AX328:AX331)</f>
        <v>-0.61468916657631634</v>
      </c>
      <c r="BF328" s="12">
        <f>bdrate(E328:E331,I328:I331,AU328:AU331,AY328:AY331)</f>
        <v>0.49003373655685922</v>
      </c>
      <c r="BG328" s="14">
        <f>bdrate(E328:E331,K328:K331,AU328:AU331,BA328:BA331)</f>
        <v>-0.5483369244424664</v>
      </c>
      <c r="BH328" s="12">
        <f>bdrate(E330:E333,F330:F333,AU330:AU333,AV330:AV333)</f>
        <v>0.222070705720671</v>
      </c>
      <c r="BI328" s="12">
        <f>bdrate(E330:E333,H330:H333,AU330:AU333,AX330:AX333)</f>
        <v>-0.62144201058374438</v>
      </c>
      <c r="BJ328" s="12">
        <f>bdrate(E330:E333,I330:I333,AU330:AU333,AY330:AY333)</f>
        <v>0.25087207494968022</v>
      </c>
      <c r="BK328" s="14">
        <f>bdrate(E330:E333,K330:K333,AU330:AU333,BA330:BA333)</f>
        <v>-0.58181578739321205</v>
      </c>
    </row>
    <row r="329" spans="1:63">
      <c r="A329" s="49"/>
      <c r="B329" s="7" t="s">
        <v>18</v>
      </c>
      <c r="C329" s="17">
        <v>1</v>
      </c>
      <c r="D329" s="7">
        <v>28</v>
      </c>
      <c r="E329" s="1">
        <v>0.93358796296296298</v>
      </c>
      <c r="F329" s="1">
        <v>37.829507094914902</v>
      </c>
      <c r="G329" s="1">
        <v>0.98864953924549903</v>
      </c>
      <c r="H329" s="1">
        <v>19.449865085963499</v>
      </c>
      <c r="I329" s="1">
        <v>40.975013034311601</v>
      </c>
      <c r="J329" s="1">
        <v>0.99282000995685604</v>
      </c>
      <c r="K329" s="8">
        <v>21.4387615801549</v>
      </c>
      <c r="L329" s="7">
        <v>24</v>
      </c>
      <c r="M329" s="1">
        <v>0.95949845679012302</v>
      </c>
      <c r="N329" s="1">
        <v>39.832237243481501</v>
      </c>
      <c r="O329" s="1">
        <v>0.99279346837056004</v>
      </c>
      <c r="P329" s="1">
        <v>21.4227370291071</v>
      </c>
      <c r="Q329" s="1">
        <v>43.022555556426099</v>
      </c>
      <c r="R329" s="1">
        <v>0.99533512119847301</v>
      </c>
      <c r="S329" s="1">
        <v>23.311596351998102</v>
      </c>
      <c r="T329" s="7"/>
      <c r="U329" s="1"/>
      <c r="V329" s="1"/>
      <c r="W329" s="8"/>
      <c r="X329" s="7"/>
      <c r="Y329" s="1"/>
      <c r="Z329" s="1"/>
      <c r="AA329" s="8"/>
      <c r="AB329" s="7">
        <v>64</v>
      </c>
      <c r="AC329" s="1">
        <v>0.96221064814814805</v>
      </c>
      <c r="AD329" s="1">
        <v>38.963520387130899</v>
      </c>
      <c r="AE329" s="1">
        <v>0.99342169335929698</v>
      </c>
      <c r="AF329" s="1">
        <v>21.818858862104602</v>
      </c>
      <c r="AG329" s="1">
        <v>41.729873792166501</v>
      </c>
      <c r="AH329" s="1">
        <v>0.99525756096314499</v>
      </c>
      <c r="AI329" s="1">
        <v>23.2399824317583</v>
      </c>
      <c r="AJ329" s="1">
        <v>46.3816752433776</v>
      </c>
      <c r="AK329" s="1">
        <v>23.9443790912628</v>
      </c>
      <c r="AL329" s="7"/>
      <c r="AM329" s="1"/>
      <c r="AN329" s="1"/>
      <c r="AO329" s="8"/>
      <c r="AP329" s="1"/>
      <c r="AQ329" s="1"/>
      <c r="AR329" s="1"/>
      <c r="AS329" s="8"/>
      <c r="AT329" s="7">
        <v>3.2</v>
      </c>
      <c r="AU329" s="1">
        <v>1.1315547839506099</v>
      </c>
      <c r="AV329" s="1">
        <v>36.848051603610301</v>
      </c>
      <c r="AW329" s="1">
        <v>0.99752700243389403</v>
      </c>
      <c r="AX329" s="1">
        <v>26.067763110658799</v>
      </c>
      <c r="AY329" s="1">
        <v>39.5323960405657</v>
      </c>
      <c r="AZ329" s="1">
        <v>0.99831942513757699</v>
      </c>
      <c r="BA329" s="1">
        <v>27.745421368018899</v>
      </c>
      <c r="BB329" s="1">
        <v>270.08044195175103</v>
      </c>
      <c r="BC329" s="1">
        <v>108.042068481445</v>
      </c>
      <c r="BD329" s="7"/>
      <c r="BE329" s="1"/>
      <c r="BF329" s="1"/>
      <c r="BG329" s="8"/>
      <c r="BH329" s="1"/>
      <c r="BI329" s="1"/>
      <c r="BJ329" s="1"/>
      <c r="BK329" s="8"/>
    </row>
    <row r="330" spans="1:63">
      <c r="A330" s="49"/>
      <c r="B330" s="7" t="s">
        <v>18</v>
      </c>
      <c r="C330" s="17">
        <v>0.5</v>
      </c>
      <c r="D330" s="7">
        <v>34</v>
      </c>
      <c r="E330" s="1">
        <v>0.459054783950617</v>
      </c>
      <c r="F330" s="1">
        <v>33.933110282031201</v>
      </c>
      <c r="G330" s="1">
        <v>0.975089057485095</v>
      </c>
      <c r="H330" s="1">
        <v>16.036098404571199</v>
      </c>
      <c r="I330" s="1">
        <v>36.886477169204298</v>
      </c>
      <c r="J330" s="1">
        <v>0.98150394605404201</v>
      </c>
      <c r="K330" s="8">
        <v>17.329209165858099</v>
      </c>
      <c r="L330" s="7">
        <v>30</v>
      </c>
      <c r="M330" s="1">
        <v>0.49812114197530799</v>
      </c>
      <c r="N330" s="1">
        <v>36.205235964743402</v>
      </c>
      <c r="O330" s="1">
        <v>0.98432284615896204</v>
      </c>
      <c r="P330" s="1">
        <v>18.047327798740401</v>
      </c>
      <c r="Q330" s="1">
        <v>39.174060983606203</v>
      </c>
      <c r="R330" s="1">
        <v>0.987870822378768</v>
      </c>
      <c r="S330" s="1">
        <v>19.161686440360299</v>
      </c>
      <c r="T330" s="7"/>
      <c r="U330" s="1"/>
      <c r="V330" s="1"/>
      <c r="W330" s="8"/>
      <c r="X330" s="7"/>
      <c r="Y330" s="1"/>
      <c r="Z330" s="1"/>
      <c r="AA330" s="8"/>
      <c r="AB330" s="7">
        <v>16</v>
      </c>
      <c r="AC330" s="1">
        <v>0.47485725308641902</v>
      </c>
      <c r="AD330" s="1">
        <v>35.324172985674799</v>
      </c>
      <c r="AE330" s="1">
        <v>0.98509650473488197</v>
      </c>
      <c r="AF330" s="1">
        <v>18.267118660617701</v>
      </c>
      <c r="AG330" s="1">
        <v>37.991299211815097</v>
      </c>
      <c r="AH330" s="1">
        <v>0.98785981829785996</v>
      </c>
      <c r="AI330" s="1">
        <v>19.157748131251701</v>
      </c>
      <c r="AJ330" s="1">
        <v>38.152643203735302</v>
      </c>
      <c r="AK330" s="1">
        <v>22.3901813030242</v>
      </c>
      <c r="AL330" s="7"/>
      <c r="AM330" s="1"/>
      <c r="AN330" s="1"/>
      <c r="AO330" s="8"/>
      <c r="AP330" s="1"/>
      <c r="AQ330" s="1"/>
      <c r="AR330" s="1"/>
      <c r="AS330" s="8"/>
      <c r="AT330" s="7">
        <v>0.64</v>
      </c>
      <c r="AU330" s="1">
        <v>0.53239583333333296</v>
      </c>
      <c r="AV330" s="1">
        <v>32.923013510441599</v>
      </c>
      <c r="AW330" s="1">
        <v>0.99298823278745296</v>
      </c>
      <c r="AX330" s="1">
        <v>21.541725107164101</v>
      </c>
      <c r="AY330" s="1">
        <v>35.680619013902501</v>
      </c>
      <c r="AZ330" s="1">
        <v>0.99481328428874105</v>
      </c>
      <c r="BA330" s="1">
        <v>22.851075554410102</v>
      </c>
      <c r="BB330" s="1">
        <v>61.7600901126861</v>
      </c>
      <c r="BC330" s="1">
        <v>27.385668039321899</v>
      </c>
      <c r="BD330" s="7"/>
      <c r="BE330" s="1"/>
      <c r="BF330" s="1"/>
      <c r="BG330" s="8"/>
      <c r="BH330" s="1"/>
      <c r="BI330" s="1"/>
      <c r="BJ330" s="1"/>
      <c r="BK330" s="8"/>
    </row>
    <row r="331" spans="1:63">
      <c r="A331" s="49"/>
      <c r="B331" s="7" t="s">
        <v>18</v>
      </c>
      <c r="C331" s="17">
        <v>0.25</v>
      </c>
      <c r="D331" s="7">
        <v>39</v>
      </c>
      <c r="E331" s="1">
        <v>0.23792438271604899</v>
      </c>
      <c r="F331" s="1">
        <v>30.868820082678099</v>
      </c>
      <c r="G331" s="1">
        <v>0.95426831111836297</v>
      </c>
      <c r="H331" s="1">
        <v>13.397827597294899</v>
      </c>
      <c r="I331" s="1">
        <v>33.734406560278302</v>
      </c>
      <c r="J331" s="1">
        <v>0.96292277170807306</v>
      </c>
      <c r="K331" s="8">
        <v>14.308927389966099</v>
      </c>
      <c r="L331" s="7">
        <v>36</v>
      </c>
      <c r="M331" s="1">
        <v>0.24060570987654301</v>
      </c>
      <c r="N331" s="1">
        <v>32.594132774558702</v>
      </c>
      <c r="O331" s="1">
        <v>0.96665256630165197</v>
      </c>
      <c r="P331" s="1">
        <v>14.769375822431</v>
      </c>
      <c r="Q331" s="1">
        <v>35.459672423973302</v>
      </c>
      <c r="R331" s="1">
        <v>0.97147011522111004</v>
      </c>
      <c r="S331" s="1">
        <v>15.4469998228591</v>
      </c>
      <c r="T331" s="7"/>
      <c r="U331" s="1"/>
      <c r="V331" s="1"/>
      <c r="W331" s="8"/>
      <c r="X331" s="7"/>
      <c r="Y331" s="1"/>
      <c r="Z331" s="1"/>
      <c r="AA331" s="8"/>
      <c r="AB331" s="7">
        <v>8</v>
      </c>
      <c r="AC331" s="1">
        <v>0.32792824074074001</v>
      </c>
      <c r="AD331" s="1">
        <v>33.603781850004097</v>
      </c>
      <c r="AE331" s="1">
        <v>0.97712907775383995</v>
      </c>
      <c r="AF331" s="1">
        <v>16.407163225667201</v>
      </c>
      <c r="AG331" s="1">
        <v>36.248551285589897</v>
      </c>
      <c r="AH331" s="1">
        <v>0.98018251230124098</v>
      </c>
      <c r="AI331" s="1">
        <v>17.029514027126002</v>
      </c>
      <c r="AJ331" s="1">
        <v>27.925855398178101</v>
      </c>
      <c r="AK331" s="1">
        <v>16.648925065994199</v>
      </c>
      <c r="AL331" s="7"/>
      <c r="AM331" s="1"/>
      <c r="AN331" s="1"/>
      <c r="AO331" s="8"/>
      <c r="AP331" s="1"/>
      <c r="AQ331" s="1"/>
      <c r="AR331" s="1"/>
      <c r="AS331" s="8"/>
      <c r="AT331" s="7">
        <v>0.16</v>
      </c>
      <c r="AU331" s="1">
        <v>0.26507330246913502</v>
      </c>
      <c r="AV331" s="1">
        <v>30.488612704095999</v>
      </c>
      <c r="AW331" s="1">
        <v>0.98423974885407695</v>
      </c>
      <c r="AX331" s="1">
        <v>18.0243686613458</v>
      </c>
      <c r="AY331" s="1">
        <v>33.255129907500098</v>
      </c>
      <c r="AZ331" s="1">
        <v>0.98731970451430096</v>
      </c>
      <c r="BA331" s="1">
        <v>18.968706260825702</v>
      </c>
      <c r="BB331" s="1">
        <v>41.716653585433903</v>
      </c>
      <c r="BC331" s="1">
        <v>25.346554040908799</v>
      </c>
      <c r="BD331" s="7"/>
      <c r="BE331" s="1"/>
      <c r="BF331" s="1"/>
      <c r="BG331" s="8"/>
      <c r="BH331" s="1"/>
      <c r="BI331" s="1"/>
      <c r="BJ331" s="1"/>
      <c r="BK331" s="8"/>
    </row>
    <row r="332" spans="1:63">
      <c r="A332" s="49"/>
      <c r="B332" s="7" t="s">
        <v>18</v>
      </c>
      <c r="C332" s="17">
        <v>0.12</v>
      </c>
      <c r="D332" s="7">
        <v>44</v>
      </c>
      <c r="E332" s="1">
        <v>0.115871913580246</v>
      </c>
      <c r="F332" s="1">
        <v>28.0683897000442</v>
      </c>
      <c r="G332" s="1">
        <v>0.92114199928645302</v>
      </c>
      <c r="H332" s="1">
        <v>11.031542377888</v>
      </c>
      <c r="I332" s="1">
        <v>30.893534594074001</v>
      </c>
      <c r="J332" s="1">
        <v>0.93222418937918405</v>
      </c>
      <c r="K332" s="8">
        <v>11.689252794126601</v>
      </c>
      <c r="L332" s="7">
        <v>42</v>
      </c>
      <c r="M332" s="1">
        <v>0.106489197530864</v>
      </c>
      <c r="N332" s="1">
        <v>29.120525962346399</v>
      </c>
      <c r="O332" s="1">
        <v>0.93437785316658595</v>
      </c>
      <c r="P332" s="1">
        <v>11.829495657412799</v>
      </c>
      <c r="Q332" s="1">
        <v>31.972029875677901</v>
      </c>
      <c r="R332" s="1">
        <v>0.94100247268776505</v>
      </c>
      <c r="S332" s="1">
        <v>12.2916619000456</v>
      </c>
      <c r="T332" s="7"/>
      <c r="U332" s="1"/>
      <c r="V332" s="1"/>
      <c r="W332" s="8"/>
      <c r="X332" s="7"/>
      <c r="Y332" s="1"/>
      <c r="Z332" s="1"/>
      <c r="AA332" s="8"/>
      <c r="AB332" s="7">
        <v>4</v>
      </c>
      <c r="AC332" s="1">
        <v>0.22176311728395001</v>
      </c>
      <c r="AD332" s="1">
        <v>31.714261762072201</v>
      </c>
      <c r="AE332" s="1">
        <v>0.96701859054304995</v>
      </c>
      <c r="AF332" s="1">
        <v>14.8173078876742</v>
      </c>
      <c r="AG332" s="1">
        <v>34.372350741138703</v>
      </c>
      <c r="AH332" s="1">
        <v>0.97069251728192896</v>
      </c>
      <c r="AI332" s="1">
        <v>15.3302148243499</v>
      </c>
      <c r="AJ332" s="1">
        <v>38.476745843887301</v>
      </c>
      <c r="AK332" s="1">
        <v>27.520635128021201</v>
      </c>
      <c r="AL332" s="7"/>
      <c r="AM332" s="1"/>
      <c r="AN332" s="1"/>
      <c r="AO332" s="8"/>
      <c r="AP332" s="1"/>
      <c r="AQ332" s="1"/>
      <c r="AR332" s="1"/>
      <c r="AS332" s="8"/>
      <c r="AT332" s="7">
        <v>0.08</v>
      </c>
      <c r="AU332" s="1">
        <v>0.18336805555555499</v>
      </c>
      <c r="AV332" s="1">
        <v>29.282045409274598</v>
      </c>
      <c r="AW332" s="1">
        <v>0.97629718532024401</v>
      </c>
      <c r="AX332" s="1">
        <v>16.252000789981601</v>
      </c>
      <c r="AY332" s="1">
        <v>32.0370838750381</v>
      </c>
      <c r="AZ332" s="1">
        <v>0.98023353582722395</v>
      </c>
      <c r="BA332" s="1">
        <v>17.0407101038222</v>
      </c>
      <c r="BB332" s="1">
        <v>26.157538414001401</v>
      </c>
      <c r="BC332" s="1">
        <v>16.441451549530001</v>
      </c>
      <c r="BD332" s="7"/>
      <c r="BE332" s="1"/>
      <c r="BF332" s="1"/>
      <c r="BG332" s="8"/>
      <c r="BH332" s="1"/>
      <c r="BI332" s="1"/>
      <c r="BJ332" s="1"/>
      <c r="BK332" s="8"/>
    </row>
    <row r="333" spans="1:63">
      <c r="A333" s="49"/>
      <c r="B333" s="7" t="s">
        <v>18</v>
      </c>
      <c r="C333" s="17">
        <v>0.06</v>
      </c>
      <c r="D333" s="7">
        <v>49</v>
      </c>
      <c r="E333" s="1">
        <v>5.3287037037037001E-2</v>
      </c>
      <c r="F333" s="1">
        <v>25.5914296189022</v>
      </c>
      <c r="G333" s="1">
        <v>0.86991540988544203</v>
      </c>
      <c r="H333" s="1">
        <v>8.8577414713244007</v>
      </c>
      <c r="I333" s="1">
        <v>28.4129302930561</v>
      </c>
      <c r="J333" s="1">
        <v>0.88335528272031605</v>
      </c>
      <c r="K333" s="8">
        <v>9.3313492517913694</v>
      </c>
      <c r="L333" s="7">
        <v>46</v>
      </c>
      <c r="M333" s="1">
        <v>5.8233024691358E-2</v>
      </c>
      <c r="N333" s="1">
        <v>26.9604597496729</v>
      </c>
      <c r="O333" s="1">
        <v>0.89979630431264002</v>
      </c>
      <c r="P333" s="1">
        <v>9.9911626063415504</v>
      </c>
      <c r="Q333" s="1">
        <v>29.8243952852186</v>
      </c>
      <c r="R333" s="1">
        <v>0.90775069437832301</v>
      </c>
      <c r="S333" s="1">
        <v>10.350368941749601</v>
      </c>
      <c r="T333" s="7"/>
      <c r="U333" s="1"/>
      <c r="V333" s="1"/>
      <c r="W333" s="8"/>
      <c r="X333" s="7"/>
      <c r="Y333" s="1"/>
      <c r="Z333" s="1"/>
      <c r="AA333" s="8"/>
      <c r="AB333" s="7">
        <v>2</v>
      </c>
      <c r="AC333" s="1">
        <v>0.13750385802469101</v>
      </c>
      <c r="AD333" s="1">
        <v>29.914072186972</v>
      </c>
      <c r="AE333" s="1">
        <v>0.95188645541753403</v>
      </c>
      <c r="AF333" s="1">
        <v>13.1773264692408</v>
      </c>
      <c r="AG333" s="1">
        <v>32.587316431061097</v>
      </c>
      <c r="AH333" s="1">
        <v>0.95618850866154204</v>
      </c>
      <c r="AI333" s="1">
        <v>13.5841196323271</v>
      </c>
      <c r="AJ333" s="1">
        <v>43.799731254577601</v>
      </c>
      <c r="AK333" s="1">
        <v>31.544319152831999</v>
      </c>
      <c r="AL333" s="7"/>
      <c r="AM333" s="1"/>
      <c r="AN333" s="1"/>
      <c r="AO333" s="8"/>
      <c r="AP333" s="1"/>
      <c r="AQ333" s="1"/>
      <c r="AR333" s="1"/>
      <c r="AS333" s="8"/>
      <c r="AT333" s="7">
        <v>0.04</v>
      </c>
      <c r="AU333" s="1">
        <v>0.121523919753086</v>
      </c>
      <c r="AV333" s="1">
        <v>27.972599860296899</v>
      </c>
      <c r="AW333" s="1">
        <v>0.96489399037315804</v>
      </c>
      <c r="AX333" s="1">
        <v>14.546185324125</v>
      </c>
      <c r="AY333" s="1">
        <v>30.712531883337</v>
      </c>
      <c r="AZ333" s="1">
        <v>0.96982125101185501</v>
      </c>
      <c r="BA333" s="1">
        <v>15.202987671716301</v>
      </c>
      <c r="BB333" s="1">
        <v>31.942857503890899</v>
      </c>
      <c r="BC333" s="1">
        <v>20.949671268463099</v>
      </c>
      <c r="BD333" s="7"/>
      <c r="BE333" s="1"/>
      <c r="BF333" s="1"/>
      <c r="BG333" s="8"/>
      <c r="BH333" s="1"/>
      <c r="BI333" s="1"/>
      <c r="BJ333" s="1"/>
      <c r="BK333" s="8"/>
    </row>
    <row r="334" spans="1:63">
      <c r="A334" s="49"/>
      <c r="B334" s="7" t="s">
        <v>76</v>
      </c>
      <c r="C334" s="17">
        <v>1.5</v>
      </c>
      <c r="D334" s="7">
        <v>17</v>
      </c>
      <c r="E334" s="1">
        <v>1.46952160493827</v>
      </c>
      <c r="F334" s="1">
        <v>45.925295765179698</v>
      </c>
      <c r="G334" s="1">
        <v>0.99700148095122398</v>
      </c>
      <c r="H334" s="1">
        <v>25.230931878627398</v>
      </c>
      <c r="I334" s="1">
        <v>49.377440540244201</v>
      </c>
      <c r="J334" s="1">
        <v>0.99855063442643399</v>
      </c>
      <c r="K334" s="8">
        <v>28.388220585884302</v>
      </c>
      <c r="L334" s="7">
        <v>14</v>
      </c>
      <c r="M334" s="1">
        <v>1.3741936728394999</v>
      </c>
      <c r="N334" s="1">
        <v>46.450102303198499</v>
      </c>
      <c r="O334" s="1">
        <v>0.99736676105084798</v>
      </c>
      <c r="P334" s="1">
        <v>25.795097297320101</v>
      </c>
      <c r="Q334" s="1">
        <v>49.982318600644099</v>
      </c>
      <c r="R334" s="1">
        <v>0.99869514403316195</v>
      </c>
      <c r="S334" s="1">
        <v>28.844374241570598</v>
      </c>
      <c r="T334" s="13">
        <f>bdrate(E334:E337,F334:F337,M334:M337,N334:N337)</f>
        <v>-0.27553565727607943</v>
      </c>
      <c r="U334" s="12">
        <f>bdrate(E334:E337,H334:H337,M334:M337,P334:P337)</f>
        <v>-0.2929826711227167</v>
      </c>
      <c r="V334" s="12">
        <f>bdrate(E334:E337,I334:I337,M334:M337,Q334:Q337)</f>
        <v>-0.26844468680879607</v>
      </c>
      <c r="W334" s="14">
        <f>bdrate(E334:E337,K334:K337,M334:M337,S334:S337)</f>
        <v>-0.22407656652430707</v>
      </c>
      <c r="X334" s="13">
        <f>bdrate(E336:E339,F336:F339,M336:M339,N336:N339)</f>
        <v>-0.31708175968586105</v>
      </c>
      <c r="Y334" s="12">
        <f>bdrate(E336:E339,H336:H339,M336:M339,P336:P339)</f>
        <v>-0.30996856845873633</v>
      </c>
      <c r="Z334" s="12">
        <f>bdrate(E336:E339,I336:I339,M336:M339,Q336:Q339)</f>
        <v>-0.30779734934529956</v>
      </c>
      <c r="AA334" s="14">
        <f>bdrate(E336:E339,K336:K339,M336:M339,S336:S339)</f>
        <v>-0.23179477392653869</v>
      </c>
      <c r="AB334" s="7">
        <v>256</v>
      </c>
      <c r="AC334" s="1">
        <v>0.94967206790123404</v>
      </c>
      <c r="AD334" s="1">
        <v>45.356863788101798</v>
      </c>
      <c r="AE334" s="1">
        <v>0.99713116324882201</v>
      </c>
      <c r="AF334" s="1">
        <v>25.422941642252201</v>
      </c>
      <c r="AG334" s="1">
        <v>48.131399562344598</v>
      </c>
      <c r="AH334" s="1">
        <v>0.99819874306296197</v>
      </c>
      <c r="AI334" s="1">
        <v>27.4442433361104</v>
      </c>
      <c r="AJ334" s="1">
        <v>199.17463374137799</v>
      </c>
      <c r="AK334" s="1">
        <v>65.721549510955796</v>
      </c>
      <c r="AL334" s="13">
        <f>bdrate(E334:E337,F334:F337,AC334:AC337,AD334:AD337)</f>
        <v>-0.23995162883023025</v>
      </c>
      <c r="AM334" s="12">
        <f>bdrate(E334:E337,H334:H337,AC334:AC337,AF334:AF337)</f>
        <v>-0.34059074658559296</v>
      </c>
      <c r="AN334" s="12">
        <f>bdrate(E334:E337,I334:I337,AC334:AC337,AG334:AG337)</f>
        <v>-0.16025279958341732</v>
      </c>
      <c r="AO334" s="14">
        <f>bdrate(E334:E337,K334:K337,AC334:AC337,AI334:AI337)</f>
        <v>-0.18638079290683518</v>
      </c>
      <c r="AP334" s="12">
        <f>bdrate(E336:E339,F336:F339,AC336:AC339,AD336:AD339)</f>
        <v>-0.25298209441156749</v>
      </c>
      <c r="AQ334" s="12">
        <f>bdrate(E336:E339,H336:H339,AC336:AC339,AF336:AF339)</f>
        <v>-0.32379114669107212</v>
      </c>
      <c r="AR334" s="12">
        <f>bdrate(E336:E339,I336:I339,AC336:AC339,AG336:AG339)</f>
        <v>-0.19468529870811146</v>
      </c>
      <c r="AS334" s="14">
        <f>bdrate(E336:E339,K336:K339,AC336:AC339,AI336:AI339)</f>
        <v>-0.19888231986592952</v>
      </c>
      <c r="AT334" s="7">
        <v>6.4</v>
      </c>
      <c r="AU334" s="1">
        <v>1.0739236111111099</v>
      </c>
      <c r="AV334" s="1">
        <v>43.059021649692603</v>
      </c>
      <c r="AW334" s="1">
        <v>0.99862099694835904</v>
      </c>
      <c r="AX334" s="1">
        <v>28.604347727586902</v>
      </c>
      <c r="AY334" s="1">
        <v>45.708603030302797</v>
      </c>
      <c r="AZ334" s="1">
        <v>0.999137030700881</v>
      </c>
      <c r="BA334" s="1">
        <v>30.640046544127401</v>
      </c>
      <c r="BB334" s="1">
        <v>585.98888111114502</v>
      </c>
      <c r="BC334" s="1">
        <v>70.928905248641897</v>
      </c>
      <c r="BD334" s="13">
        <f>bdrate(E334:E337,F334:F337,AU334:AU337,AV334:AV337)</f>
        <v>0.31598396339634727</v>
      </c>
      <c r="BE334" s="12">
        <f>bdrate(E334:E337,H334:H337,AU334:AU337,AX334:AX337)</f>
        <v>-0.582772383200725</v>
      </c>
      <c r="BF334" s="12">
        <f>bdrate(E334:E337,I334:I337,AU334:AU337,AY334:AY337)</f>
        <v>0.43520828122981348</v>
      </c>
      <c r="BG334" s="14">
        <f>bdrate(E334:E337,K334:K337,AU334:AU337,BA334:BA337)</f>
        <v>-0.47089306895827776</v>
      </c>
      <c r="BH334" s="12">
        <f>bdrate(E336:E339,F336:F339,AU336:AU339,AV336:AV339)</f>
        <v>0.16460493730855275</v>
      </c>
      <c r="BI334" s="12">
        <f>bdrate(E336:E339,H336:H339,AU336:AU339,AX336:AX339)</f>
        <v>-0.57186974233674892</v>
      </c>
      <c r="BJ334" s="12">
        <f>bdrate(E336:E339,I336:I339,AU336:AU339,AY336:AY339)</f>
        <v>0.22539240978489827</v>
      </c>
      <c r="BK334" s="14">
        <f>bdrate(E336:E339,K336:K339,AU336:AU339,BA336:BA339)</f>
        <v>-0.50523640335952158</v>
      </c>
    </row>
    <row r="335" spans="1:63">
      <c r="A335" s="49"/>
      <c r="B335" s="7" t="s">
        <v>18</v>
      </c>
      <c r="C335" s="17">
        <v>1</v>
      </c>
      <c r="D335" s="7">
        <v>21</v>
      </c>
      <c r="E335" s="1">
        <v>0.96954475308641896</v>
      </c>
      <c r="F335" s="1">
        <v>44.027783944643801</v>
      </c>
      <c r="G335" s="1">
        <v>0.99556675773546099</v>
      </c>
      <c r="H335" s="1">
        <v>23.532785350490901</v>
      </c>
      <c r="I335" s="1">
        <v>47.338822673703604</v>
      </c>
      <c r="J335" s="1">
        <v>0.99772995570904199</v>
      </c>
      <c r="K335" s="8">
        <v>26.439656691809802</v>
      </c>
      <c r="L335" s="7">
        <v>17</v>
      </c>
      <c r="M335" s="1">
        <v>0.98883487654320901</v>
      </c>
      <c r="N335" s="1">
        <v>45.2460535787474</v>
      </c>
      <c r="O335" s="1">
        <v>0.99662946525753704</v>
      </c>
      <c r="P335" s="1">
        <v>24.723011919247298</v>
      </c>
      <c r="Q335" s="1">
        <v>48.666905007067299</v>
      </c>
      <c r="R335" s="1">
        <v>0.99822360365775198</v>
      </c>
      <c r="S335" s="1">
        <v>27.504601297470199</v>
      </c>
      <c r="T335" s="7"/>
      <c r="U335" s="1"/>
      <c r="V335" s="1"/>
      <c r="W335" s="8"/>
      <c r="X335" s="7"/>
      <c r="Y335" s="1"/>
      <c r="Z335" s="1"/>
      <c r="AA335" s="8"/>
      <c r="AB335" s="7">
        <v>128</v>
      </c>
      <c r="AC335" s="1">
        <v>0.66192515432098697</v>
      </c>
      <c r="AD335" s="1">
        <v>43.717050954632803</v>
      </c>
      <c r="AE335" s="1">
        <v>0.99593886622592598</v>
      </c>
      <c r="AF335" s="1">
        <v>23.913527045791199</v>
      </c>
      <c r="AG335" s="1">
        <v>46.4193751083194</v>
      </c>
      <c r="AH335" s="1">
        <v>0.99731324596065996</v>
      </c>
      <c r="AI335" s="1">
        <v>25.7077208952029</v>
      </c>
      <c r="AJ335" s="1">
        <v>222.69106769561699</v>
      </c>
      <c r="AK335" s="1">
        <v>68.867827415466294</v>
      </c>
      <c r="AL335" s="7"/>
      <c r="AM335" s="1"/>
      <c r="AN335" s="1"/>
      <c r="AO335" s="8"/>
      <c r="AP335" s="1"/>
      <c r="AQ335" s="1"/>
      <c r="AR335" s="1"/>
      <c r="AS335" s="8"/>
      <c r="AT335" s="7">
        <v>3.2</v>
      </c>
      <c r="AU335" s="1">
        <v>0.76906249999999998</v>
      </c>
      <c r="AV335" s="1">
        <v>41.451759598294203</v>
      </c>
      <c r="AW335" s="1">
        <v>0.99789478166830603</v>
      </c>
      <c r="AX335" s="1">
        <v>26.767028569149499</v>
      </c>
      <c r="AY335" s="1">
        <v>44.091171682970199</v>
      </c>
      <c r="AZ335" s="1">
        <v>0.99862649832095396</v>
      </c>
      <c r="BA335" s="1">
        <v>28.621708053370199</v>
      </c>
      <c r="BB335" s="1">
        <v>259.808386802673</v>
      </c>
      <c r="BC335" s="1">
        <v>109.671994447708</v>
      </c>
      <c r="BD335" s="7"/>
      <c r="BE335" s="1"/>
      <c r="BF335" s="1"/>
      <c r="BG335" s="8"/>
      <c r="BH335" s="1"/>
      <c r="BI335" s="1"/>
      <c r="BJ335" s="1"/>
      <c r="BK335" s="8"/>
    </row>
    <row r="336" spans="1:63">
      <c r="A336" s="49"/>
      <c r="B336" s="7" t="s">
        <v>18</v>
      </c>
      <c r="C336" s="17">
        <v>0.5</v>
      </c>
      <c r="D336" s="7">
        <v>28</v>
      </c>
      <c r="E336" s="1">
        <v>0.44803240740740702</v>
      </c>
      <c r="F336" s="1">
        <v>40.189185237705097</v>
      </c>
      <c r="G336" s="1">
        <v>0.99008389208353698</v>
      </c>
      <c r="H336" s="1">
        <v>20.036587554752899</v>
      </c>
      <c r="I336" s="1">
        <v>43.240382136178297</v>
      </c>
      <c r="J336" s="1">
        <v>0.99393092760836399</v>
      </c>
      <c r="K336" s="8">
        <v>22.168776822326201</v>
      </c>
      <c r="L336" s="7">
        <v>24</v>
      </c>
      <c r="M336" s="1">
        <v>0.46412037037037002</v>
      </c>
      <c r="N336" s="1">
        <v>42.088401951373498</v>
      </c>
      <c r="O336" s="1">
        <v>0.99352030893899301</v>
      </c>
      <c r="P336" s="1">
        <v>21.884456999470899</v>
      </c>
      <c r="Q336" s="1">
        <v>45.186479762639699</v>
      </c>
      <c r="R336" s="1">
        <v>0.99594058096997795</v>
      </c>
      <c r="S336" s="1">
        <v>23.9153611669614</v>
      </c>
      <c r="T336" s="7"/>
      <c r="U336" s="1"/>
      <c r="V336" s="1"/>
      <c r="W336" s="8"/>
      <c r="X336" s="7"/>
      <c r="Y336" s="1"/>
      <c r="Z336" s="1"/>
      <c r="AA336" s="8"/>
      <c r="AB336" s="7">
        <v>64</v>
      </c>
      <c r="AC336" s="1">
        <v>0.50634645061728401</v>
      </c>
      <c r="AD336" s="1">
        <v>42.0572386123591</v>
      </c>
      <c r="AE336" s="1">
        <v>0.99427524390353905</v>
      </c>
      <c r="AF336" s="1">
        <v>22.422430117335299</v>
      </c>
      <c r="AG336" s="1">
        <v>44.705239169394503</v>
      </c>
      <c r="AH336" s="1">
        <v>0.99594431840482101</v>
      </c>
      <c r="AI336" s="1">
        <v>23.9193614807436</v>
      </c>
      <c r="AJ336" s="1">
        <v>45.579855918884199</v>
      </c>
      <c r="AK336" s="1">
        <v>24.696986675262401</v>
      </c>
      <c r="AL336" s="7"/>
      <c r="AM336" s="1"/>
      <c r="AN336" s="1"/>
      <c r="AO336" s="8"/>
      <c r="AP336" s="1"/>
      <c r="AQ336" s="1"/>
      <c r="AR336" s="1"/>
      <c r="AS336" s="8"/>
      <c r="AT336" s="7">
        <v>1.28</v>
      </c>
      <c r="AU336" s="1">
        <v>0.50670910493827104</v>
      </c>
      <c r="AV336" s="1">
        <v>39.400341174748299</v>
      </c>
      <c r="AW336" s="1">
        <v>0.99650001628250395</v>
      </c>
      <c r="AX336" s="1">
        <v>24.559339760548799</v>
      </c>
      <c r="AY336" s="1">
        <v>42.026867916573103</v>
      </c>
      <c r="AZ336" s="1">
        <v>0.99763271165040801</v>
      </c>
      <c r="BA336" s="1">
        <v>26.257488392362902</v>
      </c>
      <c r="BB336" s="1">
        <v>77.890595436096106</v>
      </c>
      <c r="BC336" s="1">
        <v>32.912728071212698</v>
      </c>
      <c r="BD336" s="7"/>
      <c r="BE336" s="1"/>
      <c r="BF336" s="1"/>
      <c r="BG336" s="8"/>
      <c r="BH336" s="1"/>
      <c r="BI336" s="1"/>
      <c r="BJ336" s="1"/>
      <c r="BK336" s="8"/>
    </row>
    <row r="337" spans="1:63">
      <c r="A337" s="49"/>
      <c r="B337" s="7" t="s">
        <v>18</v>
      </c>
      <c r="C337" s="17">
        <v>0.25</v>
      </c>
      <c r="D337" s="7">
        <v>33</v>
      </c>
      <c r="E337" s="1">
        <v>0.24525077160493799</v>
      </c>
      <c r="F337" s="1">
        <v>37.262229967189903</v>
      </c>
      <c r="G337" s="1">
        <v>0.98163119867697401</v>
      </c>
      <c r="H337" s="1">
        <v>17.359191831487699</v>
      </c>
      <c r="I337" s="1">
        <v>40.1825129704864</v>
      </c>
      <c r="J337" s="1">
        <v>0.987228993780361</v>
      </c>
      <c r="K337" s="8">
        <v>18.937748835963401</v>
      </c>
      <c r="L337" s="7">
        <v>30</v>
      </c>
      <c r="M337" s="1">
        <v>0.23690972222222201</v>
      </c>
      <c r="N337" s="1">
        <v>38.899085511871199</v>
      </c>
      <c r="O337" s="1">
        <v>0.98708326652404299</v>
      </c>
      <c r="P337" s="1">
        <v>18.8884730156785</v>
      </c>
      <c r="Q337" s="1">
        <v>41.792593643345803</v>
      </c>
      <c r="R337" s="1">
        <v>0.99040168476713697</v>
      </c>
      <c r="S337" s="1">
        <v>20.1780499084403</v>
      </c>
      <c r="T337" s="7"/>
      <c r="U337" s="1"/>
      <c r="V337" s="1"/>
      <c r="W337" s="8"/>
      <c r="X337" s="7"/>
      <c r="Y337" s="1"/>
      <c r="Z337" s="1"/>
      <c r="AA337" s="8"/>
      <c r="AB337" s="7">
        <v>16</v>
      </c>
      <c r="AC337" s="1">
        <v>0.25018132716049302</v>
      </c>
      <c r="AD337" s="1">
        <v>38.687442656832701</v>
      </c>
      <c r="AE337" s="1">
        <v>0.98783974518989104</v>
      </c>
      <c r="AF337" s="1">
        <v>19.150573246139</v>
      </c>
      <c r="AG337" s="1">
        <v>41.263350275342098</v>
      </c>
      <c r="AH337" s="1">
        <v>0.99031213677562102</v>
      </c>
      <c r="AI337" s="1">
        <v>20.137720012973801</v>
      </c>
      <c r="AJ337" s="1">
        <v>35.782070159912102</v>
      </c>
      <c r="AK337" s="1">
        <v>22.582648515701202</v>
      </c>
      <c r="AL337" s="7"/>
      <c r="AM337" s="1"/>
      <c r="AN337" s="1"/>
      <c r="AO337" s="8"/>
      <c r="AP337" s="1"/>
      <c r="AQ337" s="1"/>
      <c r="AR337" s="1"/>
      <c r="AS337" s="8"/>
      <c r="AT337" s="7">
        <v>0.32</v>
      </c>
      <c r="AU337" s="1">
        <v>0.25012731481481398</v>
      </c>
      <c r="AV337" s="1">
        <v>36.639692880183297</v>
      </c>
      <c r="AW337" s="1">
        <v>0.99269532222031698</v>
      </c>
      <c r="AX337" s="1">
        <v>21.363989366896199</v>
      </c>
      <c r="AY337" s="1">
        <v>39.280054217075801</v>
      </c>
      <c r="AZ337" s="1">
        <v>0.99461578740776901</v>
      </c>
      <c r="BA337" s="1">
        <v>22.688778006024499</v>
      </c>
      <c r="BB337" s="1">
        <v>55.276051044464097</v>
      </c>
      <c r="BC337" s="1">
        <v>31.334829568862901</v>
      </c>
      <c r="BD337" s="7"/>
      <c r="BE337" s="1"/>
      <c r="BF337" s="1"/>
      <c r="BG337" s="8"/>
      <c r="BH337" s="1"/>
      <c r="BI337" s="1"/>
      <c r="BJ337" s="1"/>
      <c r="BK337" s="8"/>
    </row>
    <row r="338" spans="1:63">
      <c r="A338" s="49"/>
      <c r="B338" s="7" t="s">
        <v>18</v>
      </c>
      <c r="C338" s="17">
        <v>0.12</v>
      </c>
      <c r="D338" s="7">
        <v>39</v>
      </c>
      <c r="E338" s="1">
        <v>0.11325617283950599</v>
      </c>
      <c r="F338" s="1">
        <v>33.867244539549297</v>
      </c>
      <c r="G338" s="1">
        <v>0.96321821594505896</v>
      </c>
      <c r="H338" s="1">
        <v>14.3436720967038</v>
      </c>
      <c r="I338" s="1">
        <v>36.679558075133301</v>
      </c>
      <c r="J338" s="1">
        <v>0.97082536852430701</v>
      </c>
      <c r="K338" s="8">
        <v>15.349946211123701</v>
      </c>
      <c r="L338" s="7">
        <v>36</v>
      </c>
      <c r="M338" s="1">
        <v>0.11498070987654301</v>
      </c>
      <c r="N338" s="1">
        <v>35.583037227286603</v>
      </c>
      <c r="O338" s="1">
        <v>0.97352423907746299</v>
      </c>
      <c r="P338" s="1">
        <v>15.771515492673201</v>
      </c>
      <c r="Q338" s="1">
        <v>38.383415658127802</v>
      </c>
      <c r="R338" s="1">
        <v>0.97774351054546504</v>
      </c>
      <c r="S338" s="1">
        <v>16.5254333644144</v>
      </c>
      <c r="T338" s="7"/>
      <c r="U338" s="1"/>
      <c r="V338" s="1"/>
      <c r="W338" s="8"/>
      <c r="X338" s="7"/>
      <c r="Y338" s="1"/>
      <c r="Z338" s="1"/>
      <c r="AA338" s="8"/>
      <c r="AB338" s="7">
        <v>4</v>
      </c>
      <c r="AC338" s="1">
        <v>0.118692129629629</v>
      </c>
      <c r="AD338" s="1">
        <v>35.353883455864199</v>
      </c>
      <c r="AE338" s="1">
        <v>0.97480035525592501</v>
      </c>
      <c r="AF338" s="1">
        <v>15.986055817095499</v>
      </c>
      <c r="AG338" s="1">
        <v>37.916237354549096</v>
      </c>
      <c r="AH338" s="1">
        <v>0.97794794213625302</v>
      </c>
      <c r="AI338" s="1">
        <v>16.565508766193599</v>
      </c>
      <c r="AJ338" s="1">
        <v>45.245508432388299</v>
      </c>
      <c r="AK338" s="1">
        <v>40.750557899475098</v>
      </c>
      <c r="AL338" s="7"/>
      <c r="AM338" s="1"/>
      <c r="AN338" s="1"/>
      <c r="AO338" s="8"/>
      <c r="AP338" s="1"/>
      <c r="AQ338" s="1"/>
      <c r="AR338" s="1"/>
      <c r="AS338" s="8"/>
      <c r="AT338" s="7">
        <v>0.08</v>
      </c>
      <c r="AU338" s="1">
        <v>0.12016589506172801</v>
      </c>
      <c r="AV338" s="1">
        <v>33.672855955494903</v>
      </c>
      <c r="AW338" s="1">
        <v>0.98377022710722495</v>
      </c>
      <c r="AX338" s="1">
        <v>17.8968755732133</v>
      </c>
      <c r="AY338" s="1">
        <v>36.320129173064302</v>
      </c>
      <c r="AZ338" s="1">
        <v>0.98706389421177398</v>
      </c>
      <c r="BA338" s="1">
        <v>18.881964415358699</v>
      </c>
      <c r="BB338" s="1">
        <v>26.1447880268096</v>
      </c>
      <c r="BC338" s="1">
        <v>16.211076259613002</v>
      </c>
      <c r="BD338" s="7"/>
      <c r="BE338" s="1"/>
      <c r="BF338" s="1"/>
      <c r="BG338" s="8"/>
      <c r="BH338" s="1"/>
      <c r="BI338" s="1"/>
      <c r="BJ338" s="1"/>
      <c r="BK338" s="8"/>
    </row>
    <row r="339" spans="1:63">
      <c r="A339" s="49"/>
      <c r="B339" s="7" t="s">
        <v>18</v>
      </c>
      <c r="C339" s="17">
        <v>0.06</v>
      </c>
      <c r="D339" s="7">
        <v>44</v>
      </c>
      <c r="E339" s="1">
        <v>5.6859567901234503E-2</v>
      </c>
      <c r="F339" s="1">
        <v>31.1832879439111</v>
      </c>
      <c r="G339" s="1">
        <v>0.93805846365668999</v>
      </c>
      <c r="H339" s="1">
        <v>12.0801802698783</v>
      </c>
      <c r="I339" s="1">
        <v>33.952235808368002</v>
      </c>
      <c r="J339" s="1">
        <v>0.94657913659464699</v>
      </c>
      <c r="K339" s="8">
        <v>12.7228909704939</v>
      </c>
      <c r="L339" s="7">
        <v>41</v>
      </c>
      <c r="M339" s="1">
        <v>5.9722222222222197E-2</v>
      </c>
      <c r="N339" s="1">
        <v>32.7809910791349</v>
      </c>
      <c r="O339" s="1">
        <v>0.95319851680675804</v>
      </c>
      <c r="P339" s="1">
        <v>13.297403834123299</v>
      </c>
      <c r="Q339" s="1">
        <v>35.583271060547702</v>
      </c>
      <c r="R339" s="1">
        <v>0.95845658339952899</v>
      </c>
      <c r="S339" s="1">
        <v>13.814977892233101</v>
      </c>
      <c r="T339" s="7"/>
      <c r="U339" s="1"/>
      <c r="V339" s="1"/>
      <c r="W339" s="8"/>
      <c r="X339" s="7"/>
      <c r="Y339" s="1"/>
      <c r="Z339" s="1"/>
      <c r="AA339" s="8"/>
      <c r="AB339" s="7">
        <v>2</v>
      </c>
      <c r="AC339" s="1">
        <v>7.7496141975308602E-2</v>
      </c>
      <c r="AD339" s="1">
        <v>33.562876412296099</v>
      </c>
      <c r="AE339" s="1">
        <v>0.96377187242948303</v>
      </c>
      <c r="AF339" s="1">
        <v>14.409541116404901</v>
      </c>
      <c r="AG339" s="1">
        <v>36.110678125864403</v>
      </c>
      <c r="AH339" s="1">
        <v>0.96707462532406796</v>
      </c>
      <c r="AI339" s="1">
        <v>14.824692742625</v>
      </c>
      <c r="AJ339" s="1">
        <v>45.730474948883</v>
      </c>
      <c r="AK339" s="1">
        <v>33.298313379287698</v>
      </c>
      <c r="AL339" s="7"/>
      <c r="AM339" s="1"/>
      <c r="AN339" s="1"/>
      <c r="AO339" s="8"/>
      <c r="AP339" s="1"/>
      <c r="AQ339" s="1"/>
      <c r="AR339" s="1"/>
      <c r="AS339" s="8"/>
      <c r="AT339" s="7">
        <v>0.04</v>
      </c>
      <c r="AU339" s="1">
        <v>7.8877314814814803E-2</v>
      </c>
      <c r="AV339" s="1">
        <v>32.026347368176801</v>
      </c>
      <c r="AW339" s="1">
        <v>0.97619887515537596</v>
      </c>
      <c r="AX339" s="1">
        <v>16.234025176380499</v>
      </c>
      <c r="AY339" s="1">
        <v>34.626937605106797</v>
      </c>
      <c r="AZ339" s="1">
        <v>0.98024478797196002</v>
      </c>
      <c r="BA339" s="1">
        <v>17.0431830477708</v>
      </c>
      <c r="BB339" s="1">
        <v>31.804061889648398</v>
      </c>
      <c r="BC339" s="1">
        <v>23.230119466781598</v>
      </c>
      <c r="BD339" s="7"/>
      <c r="BE339" s="1"/>
      <c r="BF339" s="1"/>
      <c r="BG339" s="8"/>
      <c r="BH339" s="1"/>
      <c r="BI339" s="1"/>
      <c r="BJ339" s="1"/>
      <c r="BK339" s="8"/>
    </row>
    <row r="340" spans="1:63">
      <c r="A340" s="49"/>
      <c r="B340" s="7" t="s">
        <v>77</v>
      </c>
      <c r="C340" s="17">
        <v>1.5</v>
      </c>
      <c r="D340" s="7">
        <v>19</v>
      </c>
      <c r="E340" s="1">
        <v>1.46662037037037</v>
      </c>
      <c r="F340" s="1">
        <v>44.572343551090903</v>
      </c>
      <c r="G340" s="1">
        <v>0.99683012850397501</v>
      </c>
      <c r="H340" s="1">
        <v>24.9895834336543</v>
      </c>
      <c r="I340" s="1">
        <v>48.2915844494553</v>
      </c>
      <c r="J340" s="1">
        <v>0.99839420467539997</v>
      </c>
      <c r="K340" s="8">
        <v>27.9430981090138</v>
      </c>
      <c r="L340" s="7">
        <v>16</v>
      </c>
      <c r="M340" s="1">
        <v>1.37332947530864</v>
      </c>
      <c r="N340" s="1">
        <v>45.292098351126697</v>
      </c>
      <c r="O340" s="1">
        <v>0.99733010153383905</v>
      </c>
      <c r="P340" s="1">
        <v>25.735052541502402</v>
      </c>
      <c r="Q340" s="1">
        <v>49.142358926624603</v>
      </c>
      <c r="R340" s="1">
        <v>0.99871109280186998</v>
      </c>
      <c r="S340" s="1">
        <v>28.897783509096101</v>
      </c>
      <c r="T340" s="13">
        <f>bdrate(E340:E343,F340:F343,M340:M343,N340:N343)</f>
        <v>-0.28515745245477553</v>
      </c>
      <c r="U340" s="12">
        <f>bdrate(E340:E343,H340:H343,M340:M343,P340:P343)</f>
        <v>-0.29605224813296982</v>
      </c>
      <c r="V340" s="12">
        <f>bdrate(E340:E343,I340:I343,M340:M343,Q340:Q343)</f>
        <v>-0.28089852943224503</v>
      </c>
      <c r="W340" s="14">
        <f>bdrate(E340:E343,K340:K343,M340:M343,S340:S343)</f>
        <v>-0.27277778742903636</v>
      </c>
      <c r="X340" s="13">
        <f>bdrate(E342:E345,F342:F345,M342:M345,N342:N345)</f>
        <v>-0.34007378402747912</v>
      </c>
      <c r="Y340" s="12">
        <f>bdrate(E342:E345,H342:H345,M342:M345,P342:P345)</f>
        <v>-0.33304601160382774</v>
      </c>
      <c r="Z340" s="12">
        <f>bdrate(E342:E345,I342:I345,M342:M345,Q342:Q345)</f>
        <v>-0.3376634176914256</v>
      </c>
      <c r="AA340" s="14">
        <f>bdrate(E342:E345,K342:K345,M342:M345,S342:S345)</f>
        <v>-0.29670371981819044</v>
      </c>
      <c r="AB340" s="7">
        <v>256</v>
      </c>
      <c r="AC340" s="1">
        <v>1.2873032407407401</v>
      </c>
      <c r="AD340" s="1">
        <v>43.706953645991803</v>
      </c>
      <c r="AE340" s="1">
        <v>0.99720498277851199</v>
      </c>
      <c r="AF340" s="1">
        <v>25.536155118655099</v>
      </c>
      <c r="AG340" s="1">
        <v>46.879257429918098</v>
      </c>
      <c r="AH340" s="1">
        <v>0.99839183721615798</v>
      </c>
      <c r="AI340" s="1">
        <v>27.936699925614398</v>
      </c>
      <c r="AJ340" s="1">
        <v>229.64444804191501</v>
      </c>
      <c r="AK340" s="1">
        <v>66.707139253616305</v>
      </c>
      <c r="AL340" s="13">
        <f>bdrate(E340:E343,F340:F343,AC340:AC343,AD340:AD343)</f>
        <v>-0.11431293016065569</v>
      </c>
      <c r="AM340" s="12">
        <f>bdrate(E340:E343,H340:H343,AC340:AC343,AF340:AF343)</f>
        <v>-0.25786052475250387</v>
      </c>
      <c r="AN340" s="12">
        <f>bdrate(E340:E343,I340:I343,AC340:AC343,AG340:AG343)</f>
        <v>-4.988611139089183E-2</v>
      </c>
      <c r="AO340" s="14">
        <f>bdrate(E340:E343,K340:K343,AC340:AC343,AI340:AI343)</f>
        <v>-0.18091954265945909</v>
      </c>
      <c r="AP340" s="12">
        <f>bdrate(E342:E345,F342:F345,AC342:AC345,AD342:AD345)</f>
        <v>-0.20126877221288164</v>
      </c>
      <c r="AQ340" s="12">
        <f>bdrate(E342:E345,H342:H345,AC342:AC345,AF342:AF345)</f>
        <v>-0.32951780805551123</v>
      </c>
      <c r="AR340" s="12">
        <f>bdrate(E342:E345,I342:I345,AC342:AC345,AG342:AG345)</f>
        <v>-0.15811600466539699</v>
      </c>
      <c r="AS340" s="14">
        <f>bdrate(E342:E345,K342:K345,AC342:AC345,AI342:AI345)</f>
        <v>-0.27013356897262608</v>
      </c>
      <c r="AT340" s="7">
        <v>6.4</v>
      </c>
      <c r="AU340" s="1">
        <v>1.1737770061728301</v>
      </c>
      <c r="AV340" s="1">
        <v>39.761175721858898</v>
      </c>
      <c r="AW340" s="1">
        <v>0.99854895891713602</v>
      </c>
      <c r="AX340" s="1">
        <v>28.383202913471202</v>
      </c>
      <c r="AY340" s="1">
        <v>42.604488256278202</v>
      </c>
      <c r="AZ340" s="1">
        <v>0.99915558477059596</v>
      </c>
      <c r="BA340" s="1">
        <v>30.7344394259976</v>
      </c>
      <c r="BB340" s="1">
        <v>635.32438969612099</v>
      </c>
      <c r="BC340" s="1">
        <v>73.394642114639197</v>
      </c>
      <c r="BD340" s="13">
        <f>bdrate(E340:E343,F340:F343,AU340:AU343,AV340:AV343)</f>
        <v>0.75578207030748712</v>
      </c>
      <c r="BE340" s="12">
        <f>bdrate(E340:E343,H340:H343,AU340:AU343,AX340:AX343)</f>
        <v>-0.58913706710529934</v>
      </c>
      <c r="BF340" s="12">
        <f>bdrate(E340:E343,I340:I343,AU340:AU343,AY340:AY343)</f>
        <v>0.8805034571388104</v>
      </c>
      <c r="BG340" s="14">
        <f>bdrate(E340:E343,K340:K343,AU340:AU343,BA340:BA343)</f>
        <v>-0.53003388539223772</v>
      </c>
      <c r="BH340" s="12">
        <f>bdrate(E342:E345,F342:F345,AU342:AU345,AV342:AV345)</f>
        <v>0.38538622274407452</v>
      </c>
      <c r="BI340" s="12">
        <f>bdrate(E342:E345,H342:H345,AU342:AU345,AX342:AX345)</f>
        <v>-0.63975633723647141</v>
      </c>
      <c r="BJ340" s="12">
        <f>bdrate(E342:E345,I342:I345,AU342:AU345,AY342:AY345)</f>
        <v>0.43289474050085186</v>
      </c>
      <c r="BK340" s="14">
        <f>bdrate(E342:E345,K342:K345,AU342:AU345,BA342:BA345)</f>
        <v>-0.60865431472654363</v>
      </c>
    </row>
    <row r="341" spans="1:63">
      <c r="A341" s="49"/>
      <c r="B341" s="7" t="s">
        <v>18</v>
      </c>
      <c r="C341" s="17">
        <v>1</v>
      </c>
      <c r="D341" s="7">
        <v>23</v>
      </c>
      <c r="E341" s="1">
        <v>0.97098765432098699</v>
      </c>
      <c r="F341" s="1">
        <v>42.2847441042206</v>
      </c>
      <c r="G341" s="1">
        <v>0.995054697486493</v>
      </c>
      <c r="H341" s="1">
        <v>23.058071366394799</v>
      </c>
      <c r="I341" s="1">
        <v>45.795157023572202</v>
      </c>
      <c r="J341" s="1">
        <v>0.99715320804766105</v>
      </c>
      <c r="K341" s="8">
        <v>25.4564427056041</v>
      </c>
      <c r="L341" s="7">
        <v>19</v>
      </c>
      <c r="M341" s="1">
        <v>0.98254243827160404</v>
      </c>
      <c r="N341" s="1">
        <v>43.787610951883103</v>
      </c>
      <c r="O341" s="1">
        <v>0.99640328261809197</v>
      </c>
      <c r="P341" s="1">
        <v>24.440936862571501</v>
      </c>
      <c r="Q341" s="1">
        <v>47.483144861422304</v>
      </c>
      <c r="R341" s="1">
        <v>0.99809945436534497</v>
      </c>
      <c r="S341" s="1">
        <v>27.211216979415202</v>
      </c>
      <c r="T341" s="7"/>
      <c r="U341" s="1"/>
      <c r="V341" s="1"/>
      <c r="W341" s="8"/>
      <c r="X341" s="7"/>
      <c r="Y341" s="1"/>
      <c r="Z341" s="1"/>
      <c r="AA341" s="8"/>
      <c r="AB341" s="7">
        <v>128</v>
      </c>
      <c r="AC341" s="1">
        <v>0.90226466049382703</v>
      </c>
      <c r="AD341" s="1">
        <v>42.303628950916597</v>
      </c>
      <c r="AE341" s="1">
        <v>0.996064771170453</v>
      </c>
      <c r="AF341" s="1">
        <v>24.0503000878909</v>
      </c>
      <c r="AG341" s="1">
        <v>45.339565269192903</v>
      </c>
      <c r="AH341" s="1">
        <v>0.997521141151269</v>
      </c>
      <c r="AI341" s="1">
        <v>26.057482021400801</v>
      </c>
      <c r="AJ341" s="1">
        <v>237.16935324668799</v>
      </c>
      <c r="AK341" s="1">
        <v>68.381825685501099</v>
      </c>
      <c r="AL341" s="7"/>
      <c r="AM341" s="1"/>
      <c r="AN341" s="1"/>
      <c r="AO341" s="8"/>
      <c r="AP341" s="1"/>
      <c r="AQ341" s="1"/>
      <c r="AR341" s="1"/>
      <c r="AS341" s="8"/>
      <c r="AT341" s="7">
        <v>3.2</v>
      </c>
      <c r="AU341" s="1">
        <v>0.83517361111111099</v>
      </c>
      <c r="AV341" s="1">
        <v>38.2467512006371</v>
      </c>
      <c r="AW341" s="1">
        <v>0.99788193842341699</v>
      </c>
      <c r="AX341" s="1">
        <v>26.7406141817502</v>
      </c>
      <c r="AY341" s="1">
        <v>41.0806673386043</v>
      </c>
      <c r="AZ341" s="1">
        <v>0.99872336412654905</v>
      </c>
      <c r="BA341" s="1">
        <v>28.939329560658798</v>
      </c>
      <c r="BB341" s="1">
        <v>286.75445437431301</v>
      </c>
      <c r="BC341" s="1">
        <v>109.369477272033</v>
      </c>
      <c r="BD341" s="7"/>
      <c r="BE341" s="1"/>
      <c r="BF341" s="1"/>
      <c r="BG341" s="8"/>
      <c r="BH341" s="1"/>
      <c r="BI341" s="1"/>
      <c r="BJ341" s="1"/>
      <c r="BK341" s="8"/>
    </row>
    <row r="342" spans="1:63">
      <c r="A342" s="49"/>
      <c r="B342" s="7" t="s">
        <v>18</v>
      </c>
      <c r="C342" s="17">
        <v>0.5</v>
      </c>
      <c r="D342" s="7">
        <v>30</v>
      </c>
      <c r="E342" s="1">
        <v>0.45104166666666601</v>
      </c>
      <c r="F342" s="1">
        <v>37.889963738592897</v>
      </c>
      <c r="G342" s="1">
        <v>0.988447863603792</v>
      </c>
      <c r="H342" s="1">
        <v>19.373376920242201</v>
      </c>
      <c r="I342" s="1">
        <v>41.131508937651901</v>
      </c>
      <c r="J342" s="1">
        <v>0.99201123062560803</v>
      </c>
      <c r="K342" s="8">
        <v>20.9752011618958</v>
      </c>
      <c r="L342" s="7">
        <v>26</v>
      </c>
      <c r="M342" s="1">
        <v>0.46687114197530799</v>
      </c>
      <c r="N342" s="1">
        <v>40.0897526809444</v>
      </c>
      <c r="O342" s="1">
        <v>0.99254483218491296</v>
      </c>
      <c r="P342" s="1">
        <v>21.275425761752999</v>
      </c>
      <c r="Q342" s="1">
        <v>43.380722789405603</v>
      </c>
      <c r="R342" s="1">
        <v>0.99500606630051303</v>
      </c>
      <c r="S342" s="1">
        <v>23.0155722773126</v>
      </c>
      <c r="T342" s="7"/>
      <c r="U342" s="1"/>
      <c r="V342" s="1"/>
      <c r="W342" s="8"/>
      <c r="X342" s="7"/>
      <c r="Y342" s="1"/>
      <c r="Z342" s="1"/>
      <c r="AA342" s="8"/>
      <c r="AB342" s="7">
        <v>32</v>
      </c>
      <c r="AC342" s="1">
        <v>0.46363811728394999</v>
      </c>
      <c r="AD342" s="1">
        <v>38.751656519822603</v>
      </c>
      <c r="AE342" s="1">
        <v>0.99181449116026099</v>
      </c>
      <c r="AF342" s="1">
        <v>20.869543181553102</v>
      </c>
      <c r="AG342" s="1">
        <v>41.642334777461201</v>
      </c>
      <c r="AH342" s="1">
        <v>0.994048136116089</v>
      </c>
      <c r="AI342" s="1">
        <v>22.253470094417601</v>
      </c>
      <c r="AJ342" s="1">
        <v>36.427279233932403</v>
      </c>
      <c r="AK342" s="1">
        <v>17.166141748428299</v>
      </c>
      <c r="AL342" s="7"/>
      <c r="AM342" s="1"/>
      <c r="AN342" s="1"/>
      <c r="AO342" s="8"/>
      <c r="AP342" s="1"/>
      <c r="AQ342" s="1"/>
      <c r="AR342" s="1"/>
      <c r="AS342" s="8"/>
      <c r="AT342" s="7">
        <v>1.28</v>
      </c>
      <c r="AU342" s="1">
        <v>0.54992283950617205</v>
      </c>
      <c r="AV342" s="1">
        <v>35.948122499198902</v>
      </c>
      <c r="AW342" s="1">
        <v>0.99640939406153495</v>
      </c>
      <c r="AX342" s="1">
        <v>24.448322551750199</v>
      </c>
      <c r="AY342" s="1">
        <v>38.819715995042301</v>
      </c>
      <c r="AZ342" s="1">
        <v>0.99766969569756503</v>
      </c>
      <c r="BA342" s="1">
        <v>26.325873629916199</v>
      </c>
      <c r="BB342" s="1">
        <v>87.146104574203406</v>
      </c>
      <c r="BC342" s="1">
        <v>33.690949440002399</v>
      </c>
      <c r="BD342" s="7"/>
      <c r="BE342" s="1"/>
      <c r="BF342" s="1"/>
      <c r="BG342" s="8"/>
      <c r="BH342" s="1"/>
      <c r="BI342" s="1"/>
      <c r="BJ342" s="1"/>
      <c r="BK342" s="8"/>
    </row>
    <row r="343" spans="1:63">
      <c r="A343" s="49"/>
      <c r="B343" s="7" t="s">
        <v>18</v>
      </c>
      <c r="C343" s="17">
        <v>0.25</v>
      </c>
      <c r="D343" s="7">
        <v>35</v>
      </c>
      <c r="E343" s="1">
        <v>0.24590663580246899</v>
      </c>
      <c r="F343" s="1">
        <v>34.770401431341</v>
      </c>
      <c r="G343" s="1">
        <v>0.9781836938831</v>
      </c>
      <c r="H343" s="1">
        <v>16.612187811927701</v>
      </c>
      <c r="I343" s="1">
        <v>37.885567006262903</v>
      </c>
      <c r="J343" s="1">
        <v>0.98351247289846</v>
      </c>
      <c r="K343" s="8">
        <v>17.8284447756904</v>
      </c>
      <c r="L343" s="7">
        <v>32</v>
      </c>
      <c r="M343" s="1">
        <v>0.23673225308641899</v>
      </c>
      <c r="N343" s="1">
        <v>36.630782991078497</v>
      </c>
      <c r="O343" s="1">
        <v>0.98528873819173601</v>
      </c>
      <c r="P343" s="1">
        <v>18.323500755482002</v>
      </c>
      <c r="Q343" s="1">
        <v>39.748725856450498</v>
      </c>
      <c r="R343" s="1">
        <v>0.98870065512124405</v>
      </c>
      <c r="S343" s="1">
        <v>19.469467356129801</v>
      </c>
      <c r="T343" s="7"/>
      <c r="U343" s="1"/>
      <c r="V343" s="1"/>
      <c r="W343" s="8"/>
      <c r="X343" s="7"/>
      <c r="Y343" s="1"/>
      <c r="Z343" s="1"/>
      <c r="AA343" s="8"/>
      <c r="AB343" s="7">
        <v>8</v>
      </c>
      <c r="AC343" s="1">
        <v>0.21947145061728299</v>
      </c>
      <c r="AD343" s="1">
        <v>35.299547003984401</v>
      </c>
      <c r="AE343" s="1">
        <v>0.98310755188821797</v>
      </c>
      <c r="AF343" s="1">
        <v>17.7230740641522</v>
      </c>
      <c r="AG343" s="1">
        <v>38.173196089344501</v>
      </c>
      <c r="AH343" s="1">
        <v>0.98645764566364402</v>
      </c>
      <c r="AI343" s="1">
        <v>18.683058270538201</v>
      </c>
      <c r="AJ343" s="1">
        <v>28.795733928680399</v>
      </c>
      <c r="AK343" s="1">
        <v>16.403331995010301</v>
      </c>
      <c r="AL343" s="7"/>
      <c r="AM343" s="1"/>
      <c r="AN343" s="1"/>
      <c r="AO343" s="8"/>
      <c r="AP343" s="1"/>
      <c r="AQ343" s="1"/>
      <c r="AR343" s="1"/>
      <c r="AS343" s="8"/>
      <c r="AT343" s="7">
        <v>0.32</v>
      </c>
      <c r="AU343" s="1">
        <v>0.25545138888888802</v>
      </c>
      <c r="AV343" s="1">
        <v>33.311609241794102</v>
      </c>
      <c r="AW343" s="1">
        <v>0.99252727776114502</v>
      </c>
      <c r="AX343" s="1">
        <v>21.265211601731998</v>
      </c>
      <c r="AY343" s="1">
        <v>36.247854516000203</v>
      </c>
      <c r="AZ343" s="1">
        <v>0.99458148755336595</v>
      </c>
      <c r="BA343" s="1">
        <v>22.661199246957899</v>
      </c>
      <c r="BB343" s="1">
        <v>58.063137531280503</v>
      </c>
      <c r="BC343" s="1">
        <v>32.542200565338099</v>
      </c>
      <c r="BD343" s="7"/>
      <c r="BE343" s="1"/>
      <c r="BF343" s="1"/>
      <c r="BG343" s="8"/>
      <c r="BH343" s="1"/>
      <c r="BI343" s="1"/>
      <c r="BJ343" s="1"/>
      <c r="BK343" s="8"/>
    </row>
    <row r="344" spans="1:63">
      <c r="A344" s="49"/>
      <c r="B344" s="7" t="s">
        <v>18</v>
      </c>
      <c r="C344" s="17">
        <v>0.12</v>
      </c>
      <c r="D344" s="7">
        <v>41</v>
      </c>
      <c r="E344" s="1">
        <v>0.11087191358024601</v>
      </c>
      <c r="F344" s="1">
        <v>31.196403643339298</v>
      </c>
      <c r="G344" s="1">
        <v>0.95490267219898595</v>
      </c>
      <c r="H344" s="1">
        <v>13.4584919106342</v>
      </c>
      <c r="I344" s="1">
        <v>34.270506759874301</v>
      </c>
      <c r="J344" s="1">
        <v>0.96282599250892098</v>
      </c>
      <c r="K344" s="8">
        <v>14.297606178807101</v>
      </c>
      <c r="L344" s="7">
        <v>38</v>
      </c>
      <c r="M344" s="1">
        <v>0.111500771604938</v>
      </c>
      <c r="N344" s="1">
        <v>33.024744864687399</v>
      </c>
      <c r="O344" s="1">
        <v>0.968199177288944</v>
      </c>
      <c r="P344" s="1">
        <v>14.975616443473299</v>
      </c>
      <c r="Q344" s="1">
        <v>36.105217750429603</v>
      </c>
      <c r="R344" s="1">
        <v>0.97345087034662103</v>
      </c>
      <c r="S344" s="1">
        <v>15.7594971160438</v>
      </c>
      <c r="T344" s="7"/>
      <c r="U344" s="1"/>
      <c r="V344" s="1"/>
      <c r="W344" s="8"/>
      <c r="X344" s="7"/>
      <c r="Y344" s="1"/>
      <c r="Z344" s="1"/>
      <c r="AA344" s="8"/>
      <c r="AB344" s="7">
        <v>4</v>
      </c>
      <c r="AC344" s="1">
        <v>0.14873070987654299</v>
      </c>
      <c r="AD344" s="1">
        <v>33.514776220597398</v>
      </c>
      <c r="AE344" s="1">
        <v>0.97660669427322699</v>
      </c>
      <c r="AF344" s="1">
        <v>16.309084033531299</v>
      </c>
      <c r="AG344" s="1">
        <v>36.421493883544102</v>
      </c>
      <c r="AH344" s="1">
        <v>0.98062272830234098</v>
      </c>
      <c r="AI344" s="1">
        <v>17.127073712513798</v>
      </c>
      <c r="AJ344" s="1">
        <v>53.042153358459402</v>
      </c>
      <c r="AK344" s="1">
        <v>41.7085089683532</v>
      </c>
      <c r="AL344" s="7"/>
      <c r="AM344" s="1"/>
      <c r="AN344" s="1"/>
      <c r="AO344" s="8"/>
      <c r="AP344" s="1"/>
      <c r="AQ344" s="1"/>
      <c r="AR344" s="1"/>
      <c r="AS344" s="8"/>
      <c r="AT344" s="7">
        <v>0.08</v>
      </c>
      <c r="AU344" s="1">
        <v>0.123043981481481</v>
      </c>
      <c r="AV344" s="1">
        <v>30.823832751361401</v>
      </c>
      <c r="AW344" s="1">
        <v>0.984300750743339</v>
      </c>
      <c r="AX344" s="1">
        <v>18.041211152012998</v>
      </c>
      <c r="AY344" s="1">
        <v>33.794842773908897</v>
      </c>
      <c r="AZ344" s="1">
        <v>0.98753819242739105</v>
      </c>
      <c r="BA344" s="1">
        <v>19.044189591316101</v>
      </c>
      <c r="BB344" s="1">
        <v>25.684691429138098</v>
      </c>
      <c r="BC344" s="1">
        <v>17.071118354797299</v>
      </c>
      <c r="BD344" s="7"/>
      <c r="BE344" s="1"/>
      <c r="BF344" s="1"/>
      <c r="BG344" s="8"/>
      <c r="BH344" s="1"/>
      <c r="BI344" s="1"/>
      <c r="BJ344" s="1"/>
      <c r="BK344" s="8"/>
    </row>
    <row r="345" spans="1:63">
      <c r="A345" s="49"/>
      <c r="B345" s="7" t="s">
        <v>18</v>
      </c>
      <c r="C345" s="17">
        <v>0.06</v>
      </c>
      <c r="D345" s="7">
        <v>46</v>
      </c>
      <c r="E345" s="1">
        <v>5.3657407407407397E-2</v>
      </c>
      <c r="F345" s="1">
        <v>28.519687729453899</v>
      </c>
      <c r="G345" s="1">
        <v>0.92352580474484702</v>
      </c>
      <c r="H345" s="1">
        <v>11.164850844391999</v>
      </c>
      <c r="I345" s="1">
        <v>31.621174038910802</v>
      </c>
      <c r="J345" s="1">
        <v>0.93334006192196295</v>
      </c>
      <c r="K345" s="8">
        <v>11.7613509410152</v>
      </c>
      <c r="L345" s="7">
        <v>43</v>
      </c>
      <c r="M345" s="1">
        <v>5.6755401234567897E-2</v>
      </c>
      <c r="N345" s="1">
        <v>30.206354464001599</v>
      </c>
      <c r="O345" s="1">
        <v>0.94322861845335904</v>
      </c>
      <c r="P345" s="1">
        <v>12.4587053697448</v>
      </c>
      <c r="Q345" s="1">
        <v>33.330378066802098</v>
      </c>
      <c r="R345" s="1">
        <v>0.95031843705213104</v>
      </c>
      <c r="S345" s="1">
        <v>13.0380475001026</v>
      </c>
      <c r="T345" s="7"/>
      <c r="U345" s="1"/>
      <c r="V345" s="1"/>
      <c r="W345" s="8"/>
      <c r="X345" s="7"/>
      <c r="Y345" s="1"/>
      <c r="Z345" s="1"/>
      <c r="AA345" s="8"/>
      <c r="AB345" s="7">
        <v>2</v>
      </c>
      <c r="AC345" s="1">
        <v>9.4247685185185101E-2</v>
      </c>
      <c r="AD345" s="1">
        <v>31.756820115177401</v>
      </c>
      <c r="AE345" s="1">
        <v>0.96589447959596997</v>
      </c>
      <c r="AF345" s="1">
        <v>14.671753193369399</v>
      </c>
      <c r="AG345" s="1">
        <v>34.7080919666207</v>
      </c>
      <c r="AH345" s="1">
        <v>0.97099185408462396</v>
      </c>
      <c r="AI345" s="1">
        <v>15.3748002867592</v>
      </c>
      <c r="AJ345" s="1">
        <v>45.904936313629101</v>
      </c>
      <c r="AK345" s="1">
        <v>30.880722284316999</v>
      </c>
      <c r="AL345" s="7"/>
      <c r="AM345" s="1"/>
      <c r="AN345" s="1"/>
      <c r="AO345" s="8"/>
      <c r="AP345" s="1"/>
      <c r="AQ345" s="1"/>
      <c r="AR345" s="1"/>
      <c r="AS345" s="8"/>
      <c r="AT345" s="7">
        <v>0.04</v>
      </c>
      <c r="AU345" s="1">
        <v>8.3792438271604902E-2</v>
      </c>
      <c r="AV345" s="1">
        <v>29.648015797327499</v>
      </c>
      <c r="AW345" s="1">
        <v>0.97771334608834004</v>
      </c>
      <c r="AX345" s="1">
        <v>16.519551310166801</v>
      </c>
      <c r="AY345" s="1">
        <v>32.666221032722802</v>
      </c>
      <c r="AZ345" s="1">
        <v>0.98160692081035394</v>
      </c>
      <c r="BA345" s="1">
        <v>17.3534555933566</v>
      </c>
      <c r="BB345" s="1">
        <v>31.755391120910598</v>
      </c>
      <c r="BC345" s="1">
        <v>22.706241130828801</v>
      </c>
      <c r="BD345" s="7"/>
      <c r="BE345" s="1"/>
      <c r="BF345" s="1"/>
      <c r="BG345" s="8"/>
      <c r="BH345" s="1"/>
      <c r="BI345" s="1"/>
      <c r="BJ345" s="1"/>
      <c r="BK345" s="8"/>
    </row>
    <row r="346" spans="1:63">
      <c r="A346" s="49"/>
      <c r="B346" s="7" t="s">
        <v>78</v>
      </c>
      <c r="C346" s="17">
        <v>1.5</v>
      </c>
      <c r="D346" s="7">
        <v>23</v>
      </c>
      <c r="E346" s="1">
        <v>1.41077932098765</v>
      </c>
      <c r="F346" s="1">
        <v>41.427552800631197</v>
      </c>
      <c r="G346" s="1">
        <v>0.99582914510064902</v>
      </c>
      <c r="H346" s="1">
        <v>23.797749186431599</v>
      </c>
      <c r="I346" s="1">
        <v>44.920854971437301</v>
      </c>
      <c r="J346" s="1">
        <v>0.99789787532545104</v>
      </c>
      <c r="K346" s="8">
        <v>26.773415300475602</v>
      </c>
      <c r="L346" s="7">
        <v>20</v>
      </c>
      <c r="M346" s="1">
        <v>1.3642746913580199</v>
      </c>
      <c r="N346" s="1">
        <v>42.402925143568602</v>
      </c>
      <c r="O346" s="1">
        <v>0.99681543037428699</v>
      </c>
      <c r="P346" s="1">
        <v>24.969492514941901</v>
      </c>
      <c r="Q346" s="1">
        <v>45.903177540163902</v>
      </c>
      <c r="R346" s="1">
        <v>0.99822220270777295</v>
      </c>
      <c r="S346" s="1">
        <v>27.501177596121899</v>
      </c>
      <c r="T346" s="13">
        <f>bdrate(E346:E349,F346:F349,M346:M349,N346:N349)</f>
        <v>-0.23748821547793963</v>
      </c>
      <c r="U346" s="12">
        <f>bdrate(E346:E349,H346:H349,M346:M349,P346:P349)</f>
        <v>-0.30182746767311708</v>
      </c>
      <c r="V346" s="12">
        <f>bdrate(E346:E349,I346:I349,M346:M349,Q346:Q349)</f>
        <v>-0.23185897258338983</v>
      </c>
      <c r="W346" s="14">
        <f>bdrate(E346:E349,K346:K349,M346:M349,S346:S349)</f>
        <v>-0.17562074095634073</v>
      </c>
      <c r="X346" s="13">
        <f>bdrate(E348:E351,F348:F351,M348:M351,N348:N351)</f>
        <v>-0.252275400413284</v>
      </c>
      <c r="Y346" s="12">
        <f>bdrate(E348:E351,H348:H351,M348:M351,P348:P351)</f>
        <v>-0.27977661208461602</v>
      </c>
      <c r="Z346" s="12">
        <f>bdrate(E348:E351,I348:I351,M348:M351,Q348:Q351)</f>
        <v>-0.29647303871684882</v>
      </c>
      <c r="AA346" s="14">
        <f>bdrate(E348:E351,K348:K351,M348:M351,S348:S351)</f>
        <v>-0.17334938187176607</v>
      </c>
      <c r="AB346" s="7">
        <v>256</v>
      </c>
      <c r="AC346" s="1">
        <v>1.60226466049382</v>
      </c>
      <c r="AD346" s="1">
        <v>43.3073555290295</v>
      </c>
      <c r="AE346" s="1">
        <v>0.99789933083881099</v>
      </c>
      <c r="AF346" s="1">
        <v>26.776423401613499</v>
      </c>
      <c r="AG346" s="1">
        <v>46.321935239553703</v>
      </c>
      <c r="AH346" s="1">
        <v>0.998671270931897</v>
      </c>
      <c r="AI346" s="1">
        <v>28.765635639957299</v>
      </c>
      <c r="AJ346" s="1">
        <v>157.25444030761699</v>
      </c>
      <c r="AK346" s="1">
        <v>68.562839508056598</v>
      </c>
      <c r="AL346" s="13">
        <f>bdrate(E346:E349,F346:F349,AC346:AC349,AD346:AD349)</f>
        <v>-0.15852923473673097</v>
      </c>
      <c r="AM346" s="12">
        <f>bdrate(E346:E349,H346:H349,AC346:AC349,AF346:AF349)</f>
        <v>-0.36160499425154824</v>
      </c>
      <c r="AN346" s="12">
        <f>bdrate(E346:E349,I346:I349,AC346:AC349,AG346:AG349)</f>
        <v>-0.11160407579926979</v>
      </c>
      <c r="AO346" s="14">
        <f>bdrate(E346:E349,K346:K349,AC346:AC349,AI346:AI349)</f>
        <v>-0.17539845632491013</v>
      </c>
      <c r="AP346" s="12">
        <f>bdrate(E348:E351,F348:F351,AC348:AC351,AD348:AD351)</f>
        <v>-0.15858584789695218</v>
      </c>
      <c r="AQ346" s="12">
        <f>bdrate(E348:E351,H348:H351,AC348:AC351,AF348:AF351)</f>
        <v>-0.33957219075891554</v>
      </c>
      <c r="AR346" s="12">
        <f>bdrate(E348:E351,I348:I351,AC348:AC351,AG348:AG351)</f>
        <v>-0.18977241253416965</v>
      </c>
      <c r="AS346" s="14">
        <f>bdrate(E348:E351,K348:K351,AC348:AC351,AI348:AI351)</f>
        <v>-0.19162909276334472</v>
      </c>
      <c r="AT346" s="7">
        <v>6.4</v>
      </c>
      <c r="AU346" s="1">
        <v>1.2771412037037</v>
      </c>
      <c r="AV346" s="1">
        <v>38.916405560076797</v>
      </c>
      <c r="AW346" s="1">
        <v>0.99851343325630504</v>
      </c>
      <c r="AX346" s="1">
        <v>28.2781558711998</v>
      </c>
      <c r="AY346" s="1">
        <v>41.889335417660398</v>
      </c>
      <c r="AZ346" s="1">
        <v>0.99903595688187496</v>
      </c>
      <c r="BA346" s="1">
        <v>30.159035412579598</v>
      </c>
      <c r="BB346" s="1">
        <v>426.25443434715203</v>
      </c>
      <c r="BC346" s="1">
        <v>72.712919950485201</v>
      </c>
      <c r="BD346" s="13">
        <f>bdrate(E346:E349,F346:F349,AU346:AU349,AV346:AV349)</f>
        <v>0.34606325378940195</v>
      </c>
      <c r="BE346" s="12">
        <f>bdrate(E346:E349,H346:H349,AU346:AU349,AX346:AX349)</f>
        <v>-0.58927598802474779</v>
      </c>
      <c r="BF346" s="12">
        <f>bdrate(E346:E349,I346:I349,AU346:AU349,AY346:AY349)</f>
        <v>0.30869878395720374</v>
      </c>
      <c r="BG346" s="14">
        <f>bdrate(E346:E349,K346:K349,AU346:AU349,BA346:BA349)</f>
        <v>-0.47303545864104546</v>
      </c>
      <c r="BH346" s="12">
        <f>bdrate(E348:E351,F348:F351,AU348:AU351,AV348:AV351)</f>
        <v>0.32161075908092451</v>
      </c>
      <c r="BI346" s="12">
        <f>bdrate(E348:E351,H348:H351,AU348:AU351,AX348:AX351)</f>
        <v>-0.56317089165995637</v>
      </c>
      <c r="BJ346" s="12">
        <f>bdrate(E348:E351,I348:I351,AU348:AU351,AY348:AY351)</f>
        <v>0.21061617997597515</v>
      </c>
      <c r="BK346" s="14">
        <f>bdrate(E348:E351,K348:K351,AU348:AU351,BA348:BA351)</f>
        <v>-0.47357167702219283</v>
      </c>
    </row>
    <row r="347" spans="1:63">
      <c r="A347" s="49"/>
      <c r="B347" s="7" t="s">
        <v>18</v>
      </c>
      <c r="C347" s="17">
        <v>1</v>
      </c>
      <c r="D347" s="7">
        <v>27</v>
      </c>
      <c r="E347" s="1">
        <v>0.92545524691358005</v>
      </c>
      <c r="F347" s="1">
        <v>38.773930534756701</v>
      </c>
      <c r="G347" s="1">
        <v>0.99317088791056796</v>
      </c>
      <c r="H347" s="1">
        <v>21.656357589433</v>
      </c>
      <c r="I347" s="1">
        <v>42.040443612039397</v>
      </c>
      <c r="J347" s="1">
        <v>0.996164366889707</v>
      </c>
      <c r="K347" s="8">
        <v>24.161629410726999</v>
      </c>
      <c r="L347" s="7">
        <v>23</v>
      </c>
      <c r="M347" s="1">
        <v>0.99049382716049295</v>
      </c>
      <c r="N347" s="1">
        <v>40.6041606410231</v>
      </c>
      <c r="O347" s="1">
        <v>0.99563946402591397</v>
      </c>
      <c r="P347" s="1">
        <v>23.604601262631501</v>
      </c>
      <c r="Q347" s="1">
        <v>43.8973389835947</v>
      </c>
      <c r="R347" s="1">
        <v>0.99732442481217398</v>
      </c>
      <c r="S347" s="1">
        <v>25.725828401675301</v>
      </c>
      <c r="T347" s="7"/>
      <c r="U347" s="1"/>
      <c r="V347" s="1"/>
      <c r="W347" s="8"/>
      <c r="X347" s="7"/>
      <c r="Y347" s="1"/>
      <c r="Z347" s="1"/>
      <c r="AA347" s="8"/>
      <c r="AB347" s="7">
        <v>64</v>
      </c>
      <c r="AC347" s="1">
        <v>0.89332947530864104</v>
      </c>
      <c r="AD347" s="1">
        <v>39.624456246105602</v>
      </c>
      <c r="AE347" s="1">
        <v>0.99575850347248696</v>
      </c>
      <c r="AF347" s="1">
        <v>23.724808842164101</v>
      </c>
      <c r="AG347" s="1">
        <v>42.445983861167697</v>
      </c>
      <c r="AH347" s="1">
        <v>0.99688760236005103</v>
      </c>
      <c r="AI347" s="1">
        <v>25.069049226710199</v>
      </c>
      <c r="AJ347" s="1">
        <v>42.129090070724402</v>
      </c>
      <c r="AK347" s="1">
        <v>24.4651005268096</v>
      </c>
      <c r="AL347" s="7"/>
      <c r="AM347" s="1"/>
      <c r="AN347" s="1"/>
      <c r="AO347" s="8"/>
      <c r="AP347" s="1"/>
      <c r="AQ347" s="1"/>
      <c r="AR347" s="1"/>
      <c r="AS347" s="8"/>
      <c r="AT347" s="7">
        <v>3.2</v>
      </c>
      <c r="AU347" s="1">
        <v>0.90496527777777702</v>
      </c>
      <c r="AV347" s="1">
        <v>37.0585459459516</v>
      </c>
      <c r="AW347" s="1">
        <v>0.99773165666507302</v>
      </c>
      <c r="AX347" s="1">
        <v>26.4429121028226</v>
      </c>
      <c r="AY347" s="1">
        <v>40.163136963803197</v>
      </c>
      <c r="AZ347" s="1">
        <v>0.99844208048697602</v>
      </c>
      <c r="BA347" s="1">
        <v>28.0745498309007</v>
      </c>
      <c r="BB347" s="1">
        <v>216.91738510131799</v>
      </c>
      <c r="BC347" s="1">
        <v>108.56644058227501</v>
      </c>
      <c r="BD347" s="7"/>
      <c r="BE347" s="1"/>
      <c r="BF347" s="1"/>
      <c r="BG347" s="8"/>
      <c r="BH347" s="1"/>
      <c r="BI347" s="1"/>
      <c r="BJ347" s="1"/>
      <c r="BK347" s="8"/>
    </row>
    <row r="348" spans="1:63">
      <c r="A348" s="49"/>
      <c r="B348" s="7" t="s">
        <v>18</v>
      </c>
      <c r="C348" s="17">
        <v>0.5</v>
      </c>
      <c r="D348" s="7">
        <v>33</v>
      </c>
      <c r="E348" s="1">
        <v>0.45704475308641901</v>
      </c>
      <c r="F348" s="1">
        <v>34.853289849690597</v>
      </c>
      <c r="G348" s="1">
        <v>0.98519542452083797</v>
      </c>
      <c r="H348" s="1">
        <v>18.2960404147974</v>
      </c>
      <c r="I348" s="1">
        <v>37.968401601982201</v>
      </c>
      <c r="J348" s="1">
        <v>0.98992513416311201</v>
      </c>
      <c r="K348" s="8">
        <v>19.9676072848087</v>
      </c>
      <c r="L348" s="7">
        <v>30</v>
      </c>
      <c r="M348" s="1">
        <v>0.45214506172839503</v>
      </c>
      <c r="N348" s="1">
        <v>36.313172230642898</v>
      </c>
      <c r="O348" s="1">
        <v>0.989918942816573</v>
      </c>
      <c r="P348" s="1">
        <v>19.964939217740501</v>
      </c>
      <c r="Q348" s="1">
        <v>39.423190982881003</v>
      </c>
      <c r="R348" s="1">
        <v>0.99208399991053597</v>
      </c>
      <c r="S348" s="1">
        <v>21.014942095574099</v>
      </c>
      <c r="T348" s="7"/>
      <c r="U348" s="1"/>
      <c r="V348" s="1"/>
      <c r="W348" s="8"/>
      <c r="X348" s="7"/>
      <c r="Y348" s="1"/>
      <c r="Z348" s="1"/>
      <c r="AA348" s="8"/>
      <c r="AB348" s="7">
        <v>16</v>
      </c>
      <c r="AC348" s="1">
        <v>0.446006944444444</v>
      </c>
      <c r="AD348" s="1">
        <v>35.595807351424398</v>
      </c>
      <c r="AE348" s="1">
        <v>0.99062982365289698</v>
      </c>
      <c r="AF348" s="1">
        <v>20.282522355953599</v>
      </c>
      <c r="AG348" s="1">
        <v>38.598604602340401</v>
      </c>
      <c r="AH348" s="1">
        <v>0.99198880104401199</v>
      </c>
      <c r="AI348" s="1">
        <v>20.9630248254206</v>
      </c>
      <c r="AJ348" s="1">
        <v>35.829076290130601</v>
      </c>
      <c r="AK348" s="1">
        <v>22.998804330825799</v>
      </c>
      <c r="AL348" s="7"/>
      <c r="AM348" s="1"/>
      <c r="AN348" s="1"/>
      <c r="AO348" s="8"/>
      <c r="AP348" s="1"/>
      <c r="AQ348" s="1"/>
      <c r="AR348" s="1"/>
      <c r="AS348" s="8"/>
      <c r="AT348" s="7">
        <v>1.28</v>
      </c>
      <c r="AU348" s="1">
        <v>0.58420138888888795</v>
      </c>
      <c r="AV348" s="1">
        <v>34.498395690795299</v>
      </c>
      <c r="AW348" s="1">
        <v>0.99600073829544999</v>
      </c>
      <c r="AX348" s="1">
        <v>23.980201754806199</v>
      </c>
      <c r="AY348" s="1">
        <v>37.838779893557899</v>
      </c>
      <c r="AZ348" s="1">
        <v>0.99700844894339602</v>
      </c>
      <c r="BA348" s="1">
        <v>25.241035806835001</v>
      </c>
      <c r="BB348" s="1">
        <v>66.9458265304565</v>
      </c>
      <c r="BC348" s="1">
        <v>33.879956245422299</v>
      </c>
      <c r="BD348" s="7"/>
      <c r="BE348" s="1"/>
      <c r="BF348" s="1"/>
      <c r="BG348" s="8"/>
      <c r="BH348" s="1"/>
      <c r="BI348" s="1"/>
      <c r="BJ348" s="1"/>
      <c r="BK348" s="8"/>
    </row>
    <row r="349" spans="1:63">
      <c r="A349" s="49"/>
      <c r="B349" s="7" t="s">
        <v>18</v>
      </c>
      <c r="C349" s="17">
        <v>0.25</v>
      </c>
      <c r="D349" s="7">
        <v>38</v>
      </c>
      <c r="E349" s="1">
        <v>0.23010802469135799</v>
      </c>
      <c r="F349" s="1">
        <v>31.730071041060398</v>
      </c>
      <c r="G349" s="1">
        <v>0.97163924203524599</v>
      </c>
      <c r="H349" s="1">
        <v>15.4728216645402</v>
      </c>
      <c r="I349" s="1">
        <v>34.935248635504202</v>
      </c>
      <c r="J349" s="1">
        <v>0.97784521768542998</v>
      </c>
      <c r="K349" s="8">
        <v>16.5453251284274</v>
      </c>
      <c r="L349" s="7">
        <v>35</v>
      </c>
      <c r="M349" s="1">
        <v>0.24068287037037001</v>
      </c>
      <c r="N349" s="1">
        <v>33.211234640044303</v>
      </c>
      <c r="O349" s="1">
        <v>0.980492891695397</v>
      </c>
      <c r="P349" s="1">
        <v>17.098071047947101</v>
      </c>
      <c r="Q349" s="1">
        <v>36.523495893497298</v>
      </c>
      <c r="R349" s="1">
        <v>0.98287130378126497</v>
      </c>
      <c r="S349" s="1">
        <v>17.662756928755901</v>
      </c>
      <c r="T349" s="7"/>
      <c r="U349" s="1"/>
      <c r="V349" s="1"/>
      <c r="W349" s="8"/>
      <c r="X349" s="7"/>
      <c r="Y349" s="1"/>
      <c r="Z349" s="1"/>
      <c r="AA349" s="8"/>
      <c r="AB349" s="7">
        <v>8</v>
      </c>
      <c r="AC349" s="1">
        <v>0.30844521604938202</v>
      </c>
      <c r="AD349" s="1">
        <v>33.857823083448302</v>
      </c>
      <c r="AE349" s="1">
        <v>0.98608557911177497</v>
      </c>
      <c r="AF349" s="1">
        <v>18.5653486408969</v>
      </c>
      <c r="AG349" s="1">
        <v>37.031031248058298</v>
      </c>
      <c r="AH349" s="1">
        <v>0.98751772824588901</v>
      </c>
      <c r="AI349" s="1">
        <v>19.0370636653753</v>
      </c>
      <c r="AJ349" s="1">
        <v>26.227799654006901</v>
      </c>
      <c r="AK349" s="1">
        <v>16.762507677078201</v>
      </c>
      <c r="AL349" s="7"/>
      <c r="AM349" s="1"/>
      <c r="AN349" s="1"/>
      <c r="AO349" s="8"/>
      <c r="AP349" s="1"/>
      <c r="AQ349" s="1"/>
      <c r="AR349" s="1"/>
      <c r="AS349" s="8"/>
      <c r="AT349" s="7">
        <v>0.16</v>
      </c>
      <c r="AU349" s="1">
        <v>0.217496141975308</v>
      </c>
      <c r="AV349" s="1">
        <v>30.4736737012249</v>
      </c>
      <c r="AW349" s="1">
        <v>0.98688181117252805</v>
      </c>
      <c r="AX349" s="1">
        <v>18.8212612201315</v>
      </c>
      <c r="AY349" s="1">
        <v>34.108890293491498</v>
      </c>
      <c r="AZ349" s="1">
        <v>0.98857979361119597</v>
      </c>
      <c r="BA349" s="1">
        <v>19.423260473416001</v>
      </c>
      <c r="BB349" s="1">
        <v>40.497413396835299</v>
      </c>
      <c r="BC349" s="1">
        <v>26.7027087211608</v>
      </c>
      <c r="BD349" s="7"/>
      <c r="BE349" s="1"/>
      <c r="BF349" s="1"/>
      <c r="BG349" s="8"/>
      <c r="BH349" s="1"/>
      <c r="BI349" s="1"/>
      <c r="BJ349" s="1"/>
      <c r="BK349" s="8"/>
    </row>
    <row r="350" spans="1:63">
      <c r="A350" s="49"/>
      <c r="B350" s="7" t="s">
        <v>18</v>
      </c>
      <c r="C350" s="17">
        <v>0.12</v>
      </c>
      <c r="D350" s="7">
        <v>43</v>
      </c>
      <c r="E350" s="1">
        <v>0.10508873456790099</v>
      </c>
      <c r="F350" s="1">
        <v>28.937397905034999</v>
      </c>
      <c r="G350" s="1">
        <v>0.94567195959327</v>
      </c>
      <c r="H350" s="1">
        <v>12.649759595326699</v>
      </c>
      <c r="I350" s="1">
        <v>32.339908641048801</v>
      </c>
      <c r="J350" s="1">
        <v>0.95353947679617301</v>
      </c>
      <c r="K350" s="8">
        <v>13.3291590380708</v>
      </c>
      <c r="L350" s="7">
        <v>40</v>
      </c>
      <c r="M350" s="1">
        <v>0.11663580246913501</v>
      </c>
      <c r="N350" s="1">
        <v>30.248789810594701</v>
      </c>
      <c r="O350" s="1">
        <v>0.96114317029620999</v>
      </c>
      <c r="P350" s="1">
        <v>14.1053263601406</v>
      </c>
      <c r="Q350" s="1">
        <v>33.784197595223603</v>
      </c>
      <c r="R350" s="1">
        <v>0.96415537138302299</v>
      </c>
      <c r="S350" s="1">
        <v>14.455759149413</v>
      </c>
      <c r="T350" s="7"/>
      <c r="U350" s="1"/>
      <c r="V350" s="1"/>
      <c r="W350" s="8"/>
      <c r="X350" s="7"/>
      <c r="Y350" s="1"/>
      <c r="Z350" s="1"/>
      <c r="AA350" s="8"/>
      <c r="AB350" s="7">
        <v>4</v>
      </c>
      <c r="AC350" s="1">
        <v>0.205721450617283</v>
      </c>
      <c r="AD350" s="1">
        <v>31.947749727317099</v>
      </c>
      <c r="AE350" s="1">
        <v>0.97841103937965901</v>
      </c>
      <c r="AF350" s="1">
        <v>16.657682658508801</v>
      </c>
      <c r="AG350" s="1">
        <v>35.329891971208397</v>
      </c>
      <c r="AH350" s="1">
        <v>0.97990106773112895</v>
      </c>
      <c r="AI350" s="1">
        <v>16.9682701332849</v>
      </c>
      <c r="AJ350" s="1">
        <v>36.6709561347961</v>
      </c>
      <c r="AK350" s="1">
        <v>27.1392998695373</v>
      </c>
      <c r="AL350" s="7"/>
      <c r="AM350" s="1"/>
      <c r="AN350" s="1"/>
      <c r="AO350" s="8"/>
      <c r="AP350" s="1"/>
      <c r="AQ350" s="1"/>
      <c r="AR350" s="1"/>
      <c r="AS350" s="8"/>
      <c r="AT350" s="7">
        <v>0.08</v>
      </c>
      <c r="AU350" s="1">
        <v>0.15170138888888801</v>
      </c>
      <c r="AV350" s="1">
        <v>29.441075219939702</v>
      </c>
      <c r="AW350" s="1">
        <v>0.98067503269133205</v>
      </c>
      <c r="AX350" s="1">
        <v>17.138812320889301</v>
      </c>
      <c r="AY350" s="1">
        <v>33.134779966255202</v>
      </c>
      <c r="AZ350" s="1">
        <v>0.982567017796808</v>
      </c>
      <c r="BA350" s="1">
        <v>17.586283131995401</v>
      </c>
      <c r="BB350" s="1">
        <v>25.697903871536202</v>
      </c>
      <c r="BC350" s="1">
        <v>16.550823211669901</v>
      </c>
      <c r="BD350" s="7"/>
      <c r="BE350" s="1"/>
      <c r="BF350" s="1"/>
      <c r="BG350" s="8"/>
      <c r="BH350" s="1"/>
      <c r="BI350" s="1"/>
      <c r="BJ350" s="1"/>
      <c r="BK350" s="8"/>
    </row>
    <row r="351" spans="1:63">
      <c r="A351" s="49"/>
      <c r="B351" s="7" t="s">
        <v>18</v>
      </c>
      <c r="C351" s="17">
        <v>0.06</v>
      </c>
      <c r="D351" s="7">
        <v>47</v>
      </c>
      <c r="E351" s="1">
        <v>5.2966820987654303E-2</v>
      </c>
      <c r="F351" s="1">
        <v>26.964704282146801</v>
      </c>
      <c r="G351" s="1">
        <v>0.91169497811813205</v>
      </c>
      <c r="H351" s="1">
        <v>10.5401459751453</v>
      </c>
      <c r="I351" s="1">
        <v>30.536307488578199</v>
      </c>
      <c r="J351" s="1">
        <v>0.92018288044002905</v>
      </c>
      <c r="K351" s="8">
        <v>10.979039490874699</v>
      </c>
      <c r="L351" s="7">
        <v>45</v>
      </c>
      <c r="M351" s="1">
        <v>5.2083333333333301E-2</v>
      </c>
      <c r="N351" s="1">
        <v>27.636028164721701</v>
      </c>
      <c r="O351" s="1">
        <v>0.92637629426734802</v>
      </c>
      <c r="P351" s="1">
        <v>11.329823268141199</v>
      </c>
      <c r="Q351" s="1">
        <v>31.424053141265599</v>
      </c>
      <c r="R351" s="1">
        <v>0.92933700132959396</v>
      </c>
      <c r="S351" s="1">
        <v>11.508079366948699</v>
      </c>
      <c r="T351" s="7"/>
      <c r="U351" s="1"/>
      <c r="V351" s="1"/>
      <c r="W351" s="8"/>
      <c r="X351" s="7"/>
      <c r="Y351" s="1"/>
      <c r="Z351" s="1"/>
      <c r="AA351" s="8"/>
      <c r="AB351" s="7">
        <v>2</v>
      </c>
      <c r="AC351" s="1">
        <v>0.124656635802469</v>
      </c>
      <c r="AD351" s="1">
        <v>29.973879656620301</v>
      </c>
      <c r="AE351" s="1">
        <v>0.96579585614997798</v>
      </c>
      <c r="AF351" s="1">
        <v>14.659212757514799</v>
      </c>
      <c r="AG351" s="1">
        <v>33.555985764074499</v>
      </c>
      <c r="AH351" s="1">
        <v>0.96729703859447902</v>
      </c>
      <c r="AI351" s="1">
        <v>14.8541291817022</v>
      </c>
      <c r="AJ351" s="1">
        <v>41.7171084880828</v>
      </c>
      <c r="AK351" s="1">
        <v>31.530933856964101</v>
      </c>
      <c r="AL351" s="7"/>
      <c r="AM351" s="1"/>
      <c r="AN351" s="1"/>
      <c r="AO351" s="8"/>
      <c r="AP351" s="1"/>
      <c r="AQ351" s="1"/>
      <c r="AR351" s="1"/>
      <c r="AS351" s="8"/>
      <c r="AT351" s="7">
        <v>0.04</v>
      </c>
      <c r="AU351" s="1">
        <v>0.102496141975308</v>
      </c>
      <c r="AV351" s="1">
        <v>28.426515370614101</v>
      </c>
      <c r="AW351" s="1">
        <v>0.97151059728386002</v>
      </c>
      <c r="AX351" s="1">
        <v>15.4531665570274</v>
      </c>
      <c r="AY351" s="1">
        <v>31.9813420332842</v>
      </c>
      <c r="AZ351" s="1">
        <v>0.97375755555135801</v>
      </c>
      <c r="BA351" s="1">
        <v>15.8099571346135</v>
      </c>
      <c r="BB351" s="1">
        <v>31.6882951259613</v>
      </c>
      <c r="BC351" s="1">
        <v>22.825329542159999</v>
      </c>
      <c r="BD351" s="7"/>
      <c r="BE351" s="1"/>
      <c r="BF351" s="1"/>
      <c r="BG351" s="8"/>
      <c r="BH351" s="1"/>
      <c r="BI351" s="1"/>
      <c r="BJ351" s="1"/>
      <c r="BK351" s="8"/>
    </row>
    <row r="352" spans="1:63">
      <c r="A352" s="49"/>
      <c r="B352" s="7" t="s">
        <v>79</v>
      </c>
      <c r="C352" s="17">
        <v>1.5</v>
      </c>
      <c r="D352" s="7">
        <v>25</v>
      </c>
      <c r="E352" s="1">
        <v>1.3967824074074</v>
      </c>
      <c r="F352" s="1">
        <v>39.369386162679902</v>
      </c>
      <c r="G352" s="1">
        <v>0.99563643263823898</v>
      </c>
      <c r="H352" s="1">
        <v>23.6015831530515</v>
      </c>
      <c r="I352" s="1">
        <v>42.983510627621101</v>
      </c>
      <c r="J352" s="1">
        <v>0.99791265410766194</v>
      </c>
      <c r="K352" s="8">
        <v>26.804055783967002</v>
      </c>
      <c r="L352" s="7">
        <v>22</v>
      </c>
      <c r="M352" s="1">
        <v>1.3748919753086399</v>
      </c>
      <c r="N352" s="1">
        <v>40.470186651552503</v>
      </c>
      <c r="O352" s="1">
        <v>0.99647181857389899</v>
      </c>
      <c r="P352" s="1">
        <v>24.5244909068062</v>
      </c>
      <c r="Q352" s="1">
        <v>44.129484421357397</v>
      </c>
      <c r="R352" s="1">
        <v>0.99831781625653604</v>
      </c>
      <c r="S352" s="1">
        <v>27.741265683394399</v>
      </c>
      <c r="T352" s="13">
        <f>bdrate(E352:E355,F352:F355,M352:M355,N352:N355)</f>
        <v>-0.23051364263835183</v>
      </c>
      <c r="U352" s="12">
        <f>bdrate(E352:E355,H352:H355,M352:M355,P352:P355)</f>
        <v>-0.21855354104275704</v>
      </c>
      <c r="V352" s="12">
        <f>bdrate(E352:E355,I352:I355,M352:M355,Q352:Q355)</f>
        <v>-0.22199136589400104</v>
      </c>
      <c r="W352" s="14">
        <f>bdrate(E352:E355,K352:K355,M352:M355,S352:S355)</f>
        <v>-0.15927624259624351</v>
      </c>
      <c r="X352" s="13">
        <f>bdrate(E354:E357,F354:F357,M354:M357,N354:N357)</f>
        <v>-0.23380187365867877</v>
      </c>
      <c r="Y352" s="12">
        <f>bdrate(E354:E357,H354:H357,M354:M357,P354:P357)</f>
        <v>-0.19810147292235736</v>
      </c>
      <c r="Z352" s="12">
        <f>bdrate(E354:E357,I354:I357,M354:M357,Q354:Q357)</f>
        <v>-0.25238322869440166</v>
      </c>
      <c r="AA352" s="14">
        <f>bdrate(E354:E357,K354:K357,M354:M357,S354:S357)</f>
        <v>-0.15545930026550903</v>
      </c>
      <c r="AB352" s="7">
        <v>128</v>
      </c>
      <c r="AC352" s="1">
        <v>1.5176273148148101</v>
      </c>
      <c r="AD352" s="1">
        <v>40.413707931673201</v>
      </c>
      <c r="AE352" s="1">
        <v>0.99735822069774704</v>
      </c>
      <c r="AF352" s="1">
        <v>25.781034667432898</v>
      </c>
      <c r="AG352" s="1">
        <v>43.621412017743801</v>
      </c>
      <c r="AH352" s="1">
        <v>0.99857540395375299</v>
      </c>
      <c r="AI352" s="1">
        <v>28.463082653092101</v>
      </c>
      <c r="AJ352" s="1">
        <v>227.11243557929899</v>
      </c>
      <c r="AK352" s="1">
        <v>66.218623876571598</v>
      </c>
      <c r="AL352" s="13">
        <f>bdrate(E352:E355,F352:F355,AC352:AC355,AD352:AD355)</f>
        <v>-4.7830915713586442E-2</v>
      </c>
      <c r="AM352" s="12">
        <f>bdrate(E352:E355,H352:H355,AC352:AC355,AF352:AF355)</f>
        <v>-0.22558397497144334</v>
      </c>
      <c r="AN352" s="12">
        <f>bdrate(E352:E355,I352:I355,AC352:AC355,AG352:AG355)</f>
        <v>1.1289830296394188E-2</v>
      </c>
      <c r="AO352" s="14">
        <f>bdrate(E352:E355,K352:K355,AC352:AC355,AI352:AI355)</f>
        <v>-0.14096698284072962</v>
      </c>
      <c r="AP352" s="12">
        <f>bdrate(E354:E357,F354:F357,AC354:AC357,AD354:AD357)</f>
        <v>-4.1545193450248541E-2</v>
      </c>
      <c r="AQ352" s="12">
        <f>bdrate(E354:E357,H354:H357,AC354:AC357,AF354:AF357)</f>
        <v>-0.22779957302834608</v>
      </c>
      <c r="AR352" s="12">
        <f>bdrate(E354:E357,I354:I357,AC354:AC357,AG354:AG357)</f>
        <v>-3.3300069756339035E-3</v>
      </c>
      <c r="AS352" s="14">
        <f>bdrate(E354:E357,K354:K357,AC354:AC357,AI354:AI357)</f>
        <v>-0.17791754944010363</v>
      </c>
      <c r="AT352" s="7">
        <v>6.4</v>
      </c>
      <c r="AU352" s="1">
        <v>1.44462577160493</v>
      </c>
      <c r="AV352" s="1">
        <v>37.501408555105797</v>
      </c>
      <c r="AW352" s="1">
        <v>0.99828344751932596</v>
      </c>
      <c r="AX352" s="1">
        <v>27.653429142199101</v>
      </c>
      <c r="AY352" s="1">
        <v>40.429523074073003</v>
      </c>
      <c r="AZ352" s="1">
        <v>0.99894400897942304</v>
      </c>
      <c r="BA352" s="1">
        <v>29.763397747288199</v>
      </c>
      <c r="BB352" s="1">
        <v>483.63160753250099</v>
      </c>
      <c r="BC352" s="1">
        <v>74.460114479064899</v>
      </c>
      <c r="BD352" s="13">
        <f>bdrate(E352:E355,F352:F355,AU352:AU355,AV352:AV355)</f>
        <v>0.39761067159490393</v>
      </c>
      <c r="BE352" s="12">
        <f>bdrate(E352:E355,H352:H355,AU352:AU355,AX352:AX355)</f>
        <v>-0.46242388574271132</v>
      </c>
      <c r="BF352" s="12">
        <f>bdrate(E352:E355,I352:I355,AU352:AU355,AY352:AY355)</f>
        <v>0.44052912814601308</v>
      </c>
      <c r="BG352" s="14">
        <f>bdrate(E352:E355,K352:K355,AU352:AU355,BA352:BA355)</f>
        <v>-0.37039509126558878</v>
      </c>
      <c r="BH352" s="12">
        <f>bdrate(E354:E357,F354:F357,AU354:AU357,AV354:AV357)</f>
        <v>0.49860796153105302</v>
      </c>
      <c r="BI352" s="12">
        <f>bdrate(E354:E357,H354:H357,AU354:AU357,AX354:AX357)</f>
        <v>-0.47484138322276004</v>
      </c>
      <c r="BJ352" s="12">
        <f>bdrate(E354:E357,I354:I357,AU354:AU357,AY354:AY357)</f>
        <v>0.48715602707587657</v>
      </c>
      <c r="BK352" s="14">
        <f>bdrate(E354:E357,K354:K357,AU354:AU357,BA354:BA357)</f>
        <v>-0.42745302075289038</v>
      </c>
    </row>
    <row r="353" spans="1:63">
      <c r="A353" s="49"/>
      <c r="B353" s="7" t="s">
        <v>18</v>
      </c>
      <c r="C353" s="17">
        <v>1</v>
      </c>
      <c r="D353" s="7">
        <v>29</v>
      </c>
      <c r="E353" s="1">
        <v>0.89409336419753005</v>
      </c>
      <c r="F353" s="1">
        <v>36.561451304882702</v>
      </c>
      <c r="G353" s="1">
        <v>0.99200663771137398</v>
      </c>
      <c r="H353" s="1">
        <v>20.9727050275824</v>
      </c>
      <c r="I353" s="1">
        <v>39.916461266201097</v>
      </c>
      <c r="J353" s="1">
        <v>0.99549335875345801</v>
      </c>
      <c r="K353" s="8">
        <v>23.4614701278512</v>
      </c>
      <c r="L353" s="7">
        <v>25</v>
      </c>
      <c r="M353" s="1">
        <v>0.99288580246913505</v>
      </c>
      <c r="N353" s="1">
        <v>38.555937960276403</v>
      </c>
      <c r="O353" s="1">
        <v>0.99477448697265503</v>
      </c>
      <c r="P353" s="1">
        <v>22.818710652155598</v>
      </c>
      <c r="Q353" s="1">
        <v>41.970813242134398</v>
      </c>
      <c r="R353" s="1">
        <v>0.99715281575500803</v>
      </c>
      <c r="S353" s="1">
        <v>25.455844281835802</v>
      </c>
      <c r="T353" s="7"/>
      <c r="U353" s="1"/>
      <c r="V353" s="1"/>
      <c r="W353" s="8"/>
      <c r="X353" s="7"/>
      <c r="Y353" s="1"/>
      <c r="Z353" s="1"/>
      <c r="AA353" s="8"/>
      <c r="AB353" s="7">
        <v>64</v>
      </c>
      <c r="AC353" s="1">
        <v>1.1141396604938201</v>
      </c>
      <c r="AD353" s="1">
        <v>38.157543752907301</v>
      </c>
      <c r="AE353" s="1">
        <v>0.99571209029589403</v>
      </c>
      <c r="AF353" s="1">
        <v>23.677543687027899</v>
      </c>
      <c r="AG353" s="1">
        <v>41.197137793341902</v>
      </c>
      <c r="AH353" s="1">
        <v>0.99750514324440498</v>
      </c>
      <c r="AI353" s="1">
        <v>26.029543847261699</v>
      </c>
      <c r="AJ353" s="1">
        <v>42.167156219482401</v>
      </c>
      <c r="AK353" s="1">
        <v>24.2323606014251</v>
      </c>
      <c r="AL353" s="7"/>
      <c r="AM353" s="1"/>
      <c r="AN353" s="1"/>
      <c r="AO353" s="8"/>
      <c r="AP353" s="1"/>
      <c r="AQ353" s="1"/>
      <c r="AR353" s="1"/>
      <c r="AS353" s="8"/>
      <c r="AT353" s="7">
        <v>3.2</v>
      </c>
      <c r="AU353" s="1">
        <v>1.07082947530864</v>
      </c>
      <c r="AV353" s="1">
        <v>36.041166824885302</v>
      </c>
      <c r="AW353" s="1">
        <v>0.99748937126186199</v>
      </c>
      <c r="AX353" s="1">
        <v>26.002175042919902</v>
      </c>
      <c r="AY353" s="1">
        <v>38.994806515281098</v>
      </c>
      <c r="AZ353" s="1">
        <v>0.99836083141908305</v>
      </c>
      <c r="BA353" s="1">
        <v>27.853763789511799</v>
      </c>
      <c r="BB353" s="1">
        <v>240.39121556282001</v>
      </c>
      <c r="BC353" s="1">
        <v>109.930110931396</v>
      </c>
      <c r="BD353" s="7"/>
      <c r="BE353" s="1"/>
      <c r="BF353" s="1"/>
      <c r="BG353" s="8"/>
      <c r="BH353" s="1"/>
      <c r="BI353" s="1"/>
      <c r="BJ353" s="1"/>
      <c r="BK353" s="8"/>
    </row>
    <row r="354" spans="1:63">
      <c r="A354" s="49"/>
      <c r="B354" s="7" t="s">
        <v>18</v>
      </c>
      <c r="C354" s="17">
        <v>0.5</v>
      </c>
      <c r="D354" s="7">
        <v>34</v>
      </c>
      <c r="E354" s="1">
        <v>0.48667052469135802</v>
      </c>
      <c r="F354" s="1">
        <v>33.295642235820203</v>
      </c>
      <c r="G354" s="1">
        <v>0.98288891977778903</v>
      </c>
      <c r="H354" s="1">
        <v>17.6672257259</v>
      </c>
      <c r="I354" s="1">
        <v>36.476324814709102</v>
      </c>
      <c r="J354" s="1">
        <v>0.98819482716651796</v>
      </c>
      <c r="K354" s="8">
        <v>19.279276502559199</v>
      </c>
      <c r="L354" s="7">
        <v>31</v>
      </c>
      <c r="M354" s="1">
        <v>0.496844135802469</v>
      </c>
      <c r="N354" s="1">
        <v>34.8313184346773</v>
      </c>
      <c r="O354" s="1">
        <v>0.98793773670600404</v>
      </c>
      <c r="P354" s="1">
        <v>19.185711960208099</v>
      </c>
      <c r="Q354" s="1">
        <v>38.002918849288598</v>
      </c>
      <c r="R354" s="1">
        <v>0.99125440168051404</v>
      </c>
      <c r="S354" s="1">
        <v>20.582104734394498</v>
      </c>
      <c r="T354" s="7"/>
      <c r="U354" s="1"/>
      <c r="V354" s="1"/>
      <c r="W354" s="8"/>
      <c r="X354" s="7"/>
      <c r="Y354" s="1"/>
      <c r="Z354" s="1"/>
      <c r="AA354" s="8"/>
      <c r="AB354" s="7">
        <v>16</v>
      </c>
      <c r="AC354" s="1">
        <v>0.55492669753086399</v>
      </c>
      <c r="AD354" s="1">
        <v>34.224913055815698</v>
      </c>
      <c r="AE354" s="1">
        <v>0.98950585020962101</v>
      </c>
      <c r="AF354" s="1">
        <v>19.790527411029402</v>
      </c>
      <c r="AG354" s="1">
        <v>37.1377334210068</v>
      </c>
      <c r="AH354" s="1">
        <v>0.99253704513838104</v>
      </c>
      <c r="AI354" s="1">
        <v>21.270891851261101</v>
      </c>
      <c r="AJ354" s="1">
        <v>37.336833000183098</v>
      </c>
      <c r="AK354" s="1">
        <v>24.1125440597534</v>
      </c>
      <c r="AL354" s="7"/>
      <c r="AM354" s="1"/>
      <c r="AN354" s="1"/>
      <c r="AO354" s="8"/>
      <c r="AP354" s="1"/>
      <c r="AQ354" s="1"/>
      <c r="AR354" s="1"/>
      <c r="AS354" s="8"/>
      <c r="AT354" s="7">
        <v>0.64</v>
      </c>
      <c r="AU354" s="1">
        <v>0.50744984567901197</v>
      </c>
      <c r="AV354" s="1">
        <v>31.651875304267801</v>
      </c>
      <c r="AW354" s="1">
        <v>0.99255075862920095</v>
      </c>
      <c r="AX354" s="1">
        <v>21.2788795346003</v>
      </c>
      <c r="AY354" s="1">
        <v>34.822498205347799</v>
      </c>
      <c r="AZ354" s="1">
        <v>0.99460901202492402</v>
      </c>
      <c r="BA354" s="1">
        <v>22.683316368903899</v>
      </c>
      <c r="BB354" s="1">
        <v>57.323146343231201</v>
      </c>
      <c r="BC354" s="1">
        <v>28.538304567337001</v>
      </c>
      <c r="BD354" s="7"/>
      <c r="BE354" s="1"/>
      <c r="BF354" s="1"/>
      <c r="BG354" s="8"/>
      <c r="BH354" s="1"/>
      <c r="BI354" s="1"/>
      <c r="BJ354" s="1"/>
      <c r="BK354" s="8"/>
    </row>
    <row r="355" spans="1:63">
      <c r="A355" s="49"/>
      <c r="B355" s="7" t="s">
        <v>18</v>
      </c>
      <c r="C355" s="17">
        <v>0.25</v>
      </c>
      <c r="D355" s="7">
        <v>39</v>
      </c>
      <c r="E355" s="1">
        <v>0.23584876543209801</v>
      </c>
      <c r="F355" s="1">
        <v>30.182896979325001</v>
      </c>
      <c r="G355" s="1">
        <v>0.96205153255861997</v>
      </c>
      <c r="H355" s="1">
        <v>14.2080575850872</v>
      </c>
      <c r="I355" s="1">
        <v>33.3870722120366</v>
      </c>
      <c r="J355" s="1">
        <v>0.96917336923516195</v>
      </c>
      <c r="K355" s="8">
        <v>15.110739394382501</v>
      </c>
      <c r="L355" s="7">
        <v>37</v>
      </c>
      <c r="M355" s="1">
        <v>0.224641203703703</v>
      </c>
      <c r="N355" s="1">
        <v>31.031043454456402</v>
      </c>
      <c r="O355" s="1">
        <v>0.96837748473769603</v>
      </c>
      <c r="P355" s="1">
        <v>15.000035891446601</v>
      </c>
      <c r="Q355" s="1">
        <v>34.268869836798501</v>
      </c>
      <c r="R355" s="1">
        <v>0.97332758752613802</v>
      </c>
      <c r="S355" s="1">
        <v>15.7393770134417</v>
      </c>
      <c r="T355" s="7"/>
      <c r="U355" s="1"/>
      <c r="V355" s="1"/>
      <c r="W355" s="8"/>
      <c r="X355" s="7"/>
      <c r="Y355" s="1"/>
      <c r="Z355" s="1"/>
      <c r="AA355" s="8"/>
      <c r="AB355" s="7">
        <v>8</v>
      </c>
      <c r="AC355" s="1">
        <v>0.38125385802469097</v>
      </c>
      <c r="AD355" s="1">
        <v>32.437625148081899</v>
      </c>
      <c r="AE355" s="1">
        <v>0.98309244960284004</v>
      </c>
      <c r="AF355" s="1">
        <v>17.719193093779499</v>
      </c>
      <c r="AG355" s="1">
        <v>35.393816633573898</v>
      </c>
      <c r="AH355" s="1">
        <v>0.98681993425933701</v>
      </c>
      <c r="AI355" s="1">
        <v>18.800824235253302</v>
      </c>
      <c r="AJ355" s="1">
        <v>28.7284047603607</v>
      </c>
      <c r="AK355" s="1">
        <v>17.206883668899501</v>
      </c>
      <c r="AL355" s="7"/>
      <c r="AM355" s="1"/>
      <c r="AN355" s="1"/>
      <c r="AO355" s="8"/>
      <c r="AP355" s="1"/>
      <c r="AQ355" s="1"/>
      <c r="AR355" s="1"/>
      <c r="AS355" s="8"/>
      <c r="AT355" s="7">
        <v>0.16</v>
      </c>
      <c r="AU355" s="1">
        <v>0.26593749999999999</v>
      </c>
      <c r="AV355" s="1">
        <v>29.091936516303001</v>
      </c>
      <c r="AW355" s="1">
        <v>0.982924143990062</v>
      </c>
      <c r="AX355" s="1">
        <v>17.676175159876301</v>
      </c>
      <c r="AY355" s="1">
        <v>32.386943360605002</v>
      </c>
      <c r="AZ355" s="1">
        <v>0.98641998903356198</v>
      </c>
      <c r="BA355" s="1">
        <v>18.6709987934405</v>
      </c>
      <c r="BB355" s="1">
        <v>40.883022069931002</v>
      </c>
      <c r="BC355" s="1">
        <v>25.248461484909001</v>
      </c>
      <c r="BD355" s="7"/>
      <c r="BE355" s="1"/>
      <c r="BF355" s="1"/>
      <c r="BG355" s="8"/>
      <c r="BH355" s="1"/>
      <c r="BI355" s="1"/>
      <c r="BJ355" s="1"/>
      <c r="BK355" s="8"/>
    </row>
    <row r="356" spans="1:63">
      <c r="A356" s="49"/>
      <c r="B356" s="7" t="s">
        <v>18</v>
      </c>
      <c r="C356" s="17">
        <v>0.12</v>
      </c>
      <c r="D356" s="7">
        <v>43</v>
      </c>
      <c r="E356" s="1">
        <v>0.117681327160493</v>
      </c>
      <c r="F356" s="1">
        <v>27.855606361229199</v>
      </c>
      <c r="G356" s="1">
        <v>0.92890159357285496</v>
      </c>
      <c r="H356" s="1">
        <v>11.481401332737899</v>
      </c>
      <c r="I356" s="1">
        <v>31.1603995384285</v>
      </c>
      <c r="J356" s="1">
        <v>0.93787072725237597</v>
      </c>
      <c r="K356" s="8">
        <v>12.0670372997843</v>
      </c>
      <c r="L356" s="7">
        <v>41</v>
      </c>
      <c r="M356" s="1">
        <v>0.119382716049382</v>
      </c>
      <c r="N356" s="1">
        <v>28.720046963861598</v>
      </c>
      <c r="O356" s="1">
        <v>0.94109736789904697</v>
      </c>
      <c r="P356" s="1">
        <v>12.2986529805875</v>
      </c>
      <c r="Q356" s="1">
        <v>32.090327990724703</v>
      </c>
      <c r="R356" s="1">
        <v>0.94723883398311004</v>
      </c>
      <c r="S356" s="1">
        <v>12.776856151517199</v>
      </c>
      <c r="T356" s="7"/>
      <c r="U356" s="1"/>
      <c r="V356" s="1"/>
      <c r="W356" s="8"/>
      <c r="X356" s="7"/>
      <c r="Y356" s="1"/>
      <c r="Z356" s="1"/>
      <c r="AA356" s="8"/>
      <c r="AB356" s="7">
        <v>4</v>
      </c>
      <c r="AC356" s="1">
        <v>0.251963734567901</v>
      </c>
      <c r="AD356" s="1">
        <v>30.521480621519601</v>
      </c>
      <c r="AE356" s="1">
        <v>0.97260576537938404</v>
      </c>
      <c r="AF356" s="1">
        <v>15.623408290013799</v>
      </c>
      <c r="AG356" s="1">
        <v>33.573500737742101</v>
      </c>
      <c r="AH356" s="1">
        <v>0.97725912701191997</v>
      </c>
      <c r="AI356" s="1">
        <v>16.431928674130798</v>
      </c>
      <c r="AJ356" s="1">
        <v>42.318546772003103</v>
      </c>
      <c r="AK356" s="1">
        <v>27.826644420623701</v>
      </c>
      <c r="AL356" s="7"/>
      <c r="AM356" s="1"/>
      <c r="AN356" s="1"/>
      <c r="AO356" s="8"/>
      <c r="AP356" s="1"/>
      <c r="AQ356" s="1"/>
      <c r="AR356" s="1"/>
      <c r="AS356" s="8"/>
      <c r="AT356" s="7">
        <v>0.08</v>
      </c>
      <c r="AU356" s="1">
        <v>0.184440586419753</v>
      </c>
      <c r="AV356" s="1">
        <v>28.076157939714999</v>
      </c>
      <c r="AW356" s="1">
        <v>0.97503164096850403</v>
      </c>
      <c r="AX356" s="1">
        <v>16.026099993781099</v>
      </c>
      <c r="AY356" s="1">
        <v>31.3804093032123</v>
      </c>
      <c r="AZ356" s="1">
        <v>0.97911529619840498</v>
      </c>
      <c r="BA356" s="1">
        <v>16.8017167975941</v>
      </c>
      <c r="BB356" s="1">
        <v>26.018258810043299</v>
      </c>
      <c r="BC356" s="1">
        <v>16.436037778854299</v>
      </c>
      <c r="BD356" s="7"/>
      <c r="BE356" s="1"/>
      <c r="BF356" s="1"/>
      <c r="BG356" s="8"/>
      <c r="BH356" s="1"/>
      <c r="BI356" s="1"/>
      <c r="BJ356" s="1"/>
      <c r="BK356" s="8"/>
    </row>
    <row r="357" spans="1:63">
      <c r="A357" s="49"/>
      <c r="B357" s="7" t="s">
        <v>18</v>
      </c>
      <c r="C357" s="17">
        <v>0.06</v>
      </c>
      <c r="D357" s="7">
        <v>47</v>
      </c>
      <c r="E357" s="1">
        <v>5.3626543209876497E-2</v>
      </c>
      <c r="F357" s="1">
        <v>25.9016989059784</v>
      </c>
      <c r="G357" s="1">
        <v>0.87783903126110896</v>
      </c>
      <c r="H357" s="1">
        <v>9.1306753197417496</v>
      </c>
      <c r="I357" s="1">
        <v>29.3261323248434</v>
      </c>
      <c r="J357" s="1">
        <v>0.88806673879254705</v>
      </c>
      <c r="K357" s="8">
        <v>9.5104084276172305</v>
      </c>
      <c r="L357" s="7">
        <v>45</v>
      </c>
      <c r="M357" s="1">
        <v>5.6060956790123399E-2</v>
      </c>
      <c r="N357" s="1">
        <v>26.577860789339301</v>
      </c>
      <c r="O357" s="1">
        <v>0.89462959043003298</v>
      </c>
      <c r="P357" s="1">
        <v>9.7728133186288293</v>
      </c>
      <c r="Q357" s="1">
        <v>30.085031030315498</v>
      </c>
      <c r="R357" s="1">
        <v>0.90230039091663705</v>
      </c>
      <c r="S357" s="1">
        <v>10.101071739810999</v>
      </c>
      <c r="T357" s="7"/>
      <c r="U357" s="1"/>
      <c r="V357" s="1"/>
      <c r="W357" s="8"/>
      <c r="X357" s="7"/>
      <c r="Y357" s="1"/>
      <c r="Z357" s="1"/>
      <c r="AA357" s="8"/>
      <c r="AB357" s="7">
        <v>2</v>
      </c>
      <c r="AC357" s="1">
        <v>0.14292824074074001</v>
      </c>
      <c r="AD357" s="1">
        <v>28.587690853334099</v>
      </c>
      <c r="AE357" s="1">
        <v>0.95332765382965501</v>
      </c>
      <c r="AF357" s="1">
        <v>13.3094036703377</v>
      </c>
      <c r="AG357" s="1">
        <v>31.771736502199499</v>
      </c>
      <c r="AH357" s="1">
        <v>0.95935791664784298</v>
      </c>
      <c r="AI357" s="1">
        <v>13.9102403780202</v>
      </c>
      <c r="AJ357" s="1">
        <v>43.989838600158599</v>
      </c>
      <c r="AK357" s="1">
        <v>32.040467977523797</v>
      </c>
      <c r="AL357" s="7"/>
      <c r="AM357" s="1"/>
      <c r="AN357" s="1"/>
      <c r="AO357" s="8"/>
      <c r="AP357" s="1"/>
      <c r="AQ357" s="1"/>
      <c r="AR357" s="1"/>
      <c r="AS357" s="8"/>
      <c r="AT357" s="7">
        <v>0.04</v>
      </c>
      <c r="AU357" s="1">
        <v>0.123530092592592</v>
      </c>
      <c r="AV357" s="1">
        <v>27.1072007972436</v>
      </c>
      <c r="AW357" s="1">
        <v>0.96306756403002902</v>
      </c>
      <c r="AX357" s="1">
        <v>14.3259204643982</v>
      </c>
      <c r="AY357" s="1">
        <v>30.378008484337499</v>
      </c>
      <c r="AZ357" s="1">
        <v>0.96807275237255697</v>
      </c>
      <c r="BA357" s="1">
        <v>14.958385193476801</v>
      </c>
      <c r="BB357" s="1">
        <v>30.629658937454199</v>
      </c>
      <c r="BC357" s="1">
        <v>22.572452545166001</v>
      </c>
      <c r="BD357" s="7"/>
      <c r="BE357" s="1"/>
      <c r="BF357" s="1"/>
      <c r="BG357" s="8"/>
      <c r="BH357" s="1"/>
      <c r="BI357" s="1"/>
      <c r="BJ357" s="1"/>
      <c r="BK357" s="8"/>
    </row>
    <row r="358" spans="1:63">
      <c r="A358" s="49"/>
      <c r="B358" s="7" t="s">
        <v>80</v>
      </c>
      <c r="C358" s="17">
        <v>1.5</v>
      </c>
      <c r="D358" s="7">
        <v>31</v>
      </c>
      <c r="E358" s="1">
        <v>1.3366743827160401</v>
      </c>
      <c r="F358" s="1">
        <v>32.672869089849499</v>
      </c>
      <c r="G358" s="1">
        <v>0.98026758610355202</v>
      </c>
      <c r="H358" s="1">
        <v>17.0481978358806</v>
      </c>
      <c r="I358" s="1">
        <v>35.953901169081398</v>
      </c>
      <c r="J358" s="1">
        <v>0.98978910661903996</v>
      </c>
      <c r="K358" s="8">
        <v>19.9093625855486</v>
      </c>
      <c r="L358" s="7">
        <v>28</v>
      </c>
      <c r="M358" s="1">
        <v>1.3709336419753</v>
      </c>
      <c r="N358" s="1">
        <v>34.005711661639097</v>
      </c>
      <c r="O358" s="1">
        <v>0.98517873995915195</v>
      </c>
      <c r="P358" s="1">
        <v>18.291148729069501</v>
      </c>
      <c r="Q358" s="1">
        <v>37.331904372952899</v>
      </c>
      <c r="R358" s="1">
        <v>0.99228964398274999</v>
      </c>
      <c r="S358" s="1">
        <v>21.1292556841371</v>
      </c>
      <c r="T358" s="13">
        <f>bdrate(E358:E361,F358:F361,M358:M361,N358:N361)</f>
        <v>-0.22907871643420852</v>
      </c>
      <c r="U358" s="12">
        <f>bdrate(E358:E361,H358:H361,M358:M361,P358:P361)</f>
        <v>-0.2007665109422786</v>
      </c>
      <c r="V358" s="12">
        <f>bdrate(E358:E361,I358:I361,M358:M361,Q358:Q361)</f>
        <v>-0.22154693620360744</v>
      </c>
      <c r="W358" s="14">
        <f>bdrate(E358:E361,K358:K361,M358:M361,S358:S361)</f>
        <v>-0.15017919453496675</v>
      </c>
      <c r="X358" s="13">
        <f>bdrate(E360:E363,F360:F363,M360:M363,N360:N363)</f>
        <v>-0.23826308006334884</v>
      </c>
      <c r="Y358" s="12">
        <f>bdrate(E360:E363,H360:H363,M360:M363,P360:P363)</f>
        <v>-0.21183068805133287</v>
      </c>
      <c r="Z358" s="12">
        <f>bdrate(E360:E363,I360:I363,M360:M363,Q360:Q363)</f>
        <v>-0.2385118044587331</v>
      </c>
      <c r="AA358" s="14">
        <f>bdrate(E360:E363,K360:K363,M360:M363,S360:S363)</f>
        <v>-0.16325308136086958</v>
      </c>
      <c r="AB358" s="7">
        <v>64</v>
      </c>
      <c r="AC358" s="1">
        <v>1.7399189814814799</v>
      </c>
      <c r="AD358" s="1">
        <v>34.506747426044299</v>
      </c>
      <c r="AE358" s="1">
        <v>0.990847847675147</v>
      </c>
      <c r="AF358" s="1">
        <v>20.3847676026298</v>
      </c>
      <c r="AG358" s="1">
        <v>37.494758740654703</v>
      </c>
      <c r="AH358" s="1">
        <v>0.99557545706584705</v>
      </c>
      <c r="AI358" s="1">
        <v>23.541315863057601</v>
      </c>
      <c r="AJ358" s="1">
        <v>45.102680683135901</v>
      </c>
      <c r="AK358" s="1">
        <v>24.286658763885399</v>
      </c>
      <c r="AL358" s="13">
        <f>bdrate(E358:E361,F358:F361,AC358:AC361,AD358:AD361)</f>
        <v>-0.12301574125909243</v>
      </c>
      <c r="AM358" s="12">
        <f>bdrate(E358:E361,H358:H361,AC358:AC361,AF358:AF361)</f>
        <v>-0.30133913713013583</v>
      </c>
      <c r="AN358" s="12">
        <f>bdrate(E358:E361,I358:I361,AC358:AC361,AG358:AG361)</f>
        <v>-4.1730111496417921E-2</v>
      </c>
      <c r="AO358" s="14">
        <f>bdrate(E358:E361,K358:K361,AC358:AC361,AI358:AI361)</f>
        <v>-0.25315048256927808</v>
      </c>
      <c r="AP358" s="12">
        <f>bdrate(E360:E363,F360:F363,AC360:AC363,AD360:AD363)</f>
        <v>-0.11134345264421763</v>
      </c>
      <c r="AQ358" s="12">
        <f>bdrate(E360:E363,H360:H363,AC360:AC363,AF360:AF363)</f>
        <v>-0.27583132416034417</v>
      </c>
      <c r="AR358" s="12">
        <f>bdrate(E360:E363,I360:I363,AC360:AC363,AG360:AG363)</f>
        <v>-1.8948529367842304E-2</v>
      </c>
      <c r="AS358" s="14">
        <f>bdrate(E360:E363,K360:K363,AC360:AC363,AI360:AI363)</f>
        <v>-0.20967847181418819</v>
      </c>
      <c r="AT358" s="7">
        <v>1.28</v>
      </c>
      <c r="AU358" s="1">
        <v>1.25053626543209</v>
      </c>
      <c r="AV358" s="1">
        <v>31.276934038378901</v>
      </c>
      <c r="AW358" s="1">
        <v>0.99185168713744698</v>
      </c>
      <c r="AX358" s="1">
        <v>20.889323041844499</v>
      </c>
      <c r="AY358" s="1">
        <v>33.740338385230203</v>
      </c>
      <c r="AZ358" s="1">
        <v>0.99456599736201401</v>
      </c>
      <c r="BA358" s="1">
        <v>22.648801550858799</v>
      </c>
      <c r="BB358" s="1">
        <v>83.765745162963796</v>
      </c>
      <c r="BC358" s="1">
        <v>32.834436178207397</v>
      </c>
      <c r="BD358" s="13">
        <f>bdrate(E358:E361,F358:F361,AU358:AU361,AV358:AV361)</f>
        <v>0.21764138845311698</v>
      </c>
      <c r="BE358" s="12">
        <f>bdrate(E358:E361,H358:H361,AU358:AU361,AX358:AX361)</f>
        <v>-0.52635290924817002</v>
      </c>
      <c r="BF358" s="12">
        <f>bdrate(E358:E361,I358:I361,AU358:AU361,AY358:AY361)</f>
        <v>0.38560027268969588</v>
      </c>
      <c r="BG358" s="14">
        <f>bdrate(E358:E361,K358:K361,AU358:AU361,BA358:BA361)</f>
        <v>-0.42940966312864326</v>
      </c>
      <c r="BH358" s="12">
        <f>bdrate(E360:E363,F360:F363,AU360:AU363,AV360:AV363)</f>
        <v>0.13804437863587538</v>
      </c>
      <c r="BI358" s="12">
        <f>bdrate(E360:E363,H360:H363,AU360:AU363,AX360:AX363)</f>
        <v>-0.49663959909514954</v>
      </c>
      <c r="BJ358" s="12">
        <f>bdrate(E360:E363,I360:I363,AU360:AU363,AY360:AY363)</f>
        <v>0.29354549184390488</v>
      </c>
      <c r="BK358" s="14">
        <f>bdrate(E360:E363,K360:K363,AU360:AU363,BA360:BA363)</f>
        <v>-0.39558644218674921</v>
      </c>
    </row>
    <row r="359" spans="1:63">
      <c r="A359" s="49"/>
      <c r="B359" s="7" t="s">
        <v>18</v>
      </c>
      <c r="C359" s="17">
        <v>1</v>
      </c>
      <c r="D359" s="7">
        <v>34</v>
      </c>
      <c r="E359" s="1">
        <v>0.88439814814814799</v>
      </c>
      <c r="F359" s="1">
        <v>30.7037842401019</v>
      </c>
      <c r="G359" s="1">
        <v>0.968034397156043</v>
      </c>
      <c r="H359" s="1">
        <v>14.9531710073003</v>
      </c>
      <c r="I359" s="1">
        <v>33.8051048790811</v>
      </c>
      <c r="J359" s="1">
        <v>0.98183914603253097</v>
      </c>
      <c r="K359" s="8">
        <v>17.408637337532799</v>
      </c>
      <c r="L359" s="7">
        <v>31</v>
      </c>
      <c r="M359" s="1">
        <v>0.927646604938271</v>
      </c>
      <c r="N359" s="1">
        <v>32.050841992725601</v>
      </c>
      <c r="O359" s="1">
        <v>0.97607561480473404</v>
      </c>
      <c r="P359" s="1">
        <v>16.211592138325798</v>
      </c>
      <c r="Q359" s="1">
        <v>35.192975740699197</v>
      </c>
      <c r="R359" s="1">
        <v>0.98609468116180998</v>
      </c>
      <c r="S359" s="1">
        <v>18.568190486495801</v>
      </c>
      <c r="T359" s="7"/>
      <c r="U359" s="1"/>
      <c r="V359" s="1"/>
      <c r="W359" s="8"/>
      <c r="X359" s="7"/>
      <c r="Y359" s="1"/>
      <c r="Z359" s="1"/>
      <c r="AA359" s="8"/>
      <c r="AB359" s="7">
        <v>32</v>
      </c>
      <c r="AC359" s="1">
        <v>1.2558834876543199</v>
      </c>
      <c r="AD359" s="1">
        <v>33.000687488782297</v>
      </c>
      <c r="AE359" s="1">
        <v>0.98605455640443895</v>
      </c>
      <c r="AF359" s="1">
        <v>18.555676665510202</v>
      </c>
      <c r="AG359" s="1">
        <v>35.837143266773097</v>
      </c>
      <c r="AH359" s="1">
        <v>0.99252794559653601</v>
      </c>
      <c r="AI359" s="1">
        <v>21.265599747011599</v>
      </c>
      <c r="AJ359" s="1">
        <v>35.586395978927598</v>
      </c>
      <c r="AK359" s="1">
        <v>17.591370820999099</v>
      </c>
      <c r="AL359" s="7"/>
      <c r="AM359" s="1"/>
      <c r="AN359" s="1"/>
      <c r="AO359" s="8"/>
      <c r="AP359" s="1"/>
      <c r="AQ359" s="1"/>
      <c r="AR359" s="1"/>
      <c r="AS359" s="8"/>
      <c r="AT359" s="7">
        <v>0.64</v>
      </c>
      <c r="AU359" s="1">
        <v>0.89098379629629598</v>
      </c>
      <c r="AV359" s="1">
        <v>29.8014345039375</v>
      </c>
      <c r="AW359" s="1">
        <v>0.987316261916793</v>
      </c>
      <c r="AX359" s="1">
        <v>18.967527346513101</v>
      </c>
      <c r="AY359" s="1">
        <v>32.295845231180799</v>
      </c>
      <c r="AZ359" s="1">
        <v>0.99135511347900296</v>
      </c>
      <c r="BA359" s="1">
        <v>20.632407032146201</v>
      </c>
      <c r="BB359" s="1">
        <v>61.313162326812702</v>
      </c>
      <c r="BC359" s="1">
        <v>28.076667308807298</v>
      </c>
      <c r="BD359" s="7"/>
      <c r="BE359" s="1"/>
      <c r="BF359" s="1"/>
      <c r="BG359" s="8"/>
      <c r="BH359" s="1"/>
      <c r="BI359" s="1"/>
      <c r="BJ359" s="1"/>
      <c r="BK359" s="8"/>
    </row>
    <row r="360" spans="1:63">
      <c r="A360" s="49"/>
      <c r="B360" s="7" t="s">
        <v>18</v>
      </c>
      <c r="C360" s="17">
        <v>0.5</v>
      </c>
      <c r="D360" s="7">
        <v>38</v>
      </c>
      <c r="E360" s="1">
        <v>0.47874228395061702</v>
      </c>
      <c r="F360" s="1">
        <v>28.319051409636199</v>
      </c>
      <c r="G360" s="1">
        <v>0.94285575321467197</v>
      </c>
      <c r="H360" s="1">
        <v>12.4302748731872</v>
      </c>
      <c r="I360" s="1">
        <v>31.251040798570301</v>
      </c>
      <c r="J360" s="1">
        <v>0.96353293259709505</v>
      </c>
      <c r="K360" s="8">
        <v>14.380991602383199</v>
      </c>
      <c r="L360" s="7">
        <v>36</v>
      </c>
      <c r="M360" s="1">
        <v>0.44921296296296298</v>
      </c>
      <c r="N360" s="1">
        <v>29.053008926165099</v>
      </c>
      <c r="O360" s="1">
        <v>0.95061163582500297</v>
      </c>
      <c r="P360" s="1">
        <v>13.063753581579</v>
      </c>
      <c r="Q360" s="1">
        <v>32.0005311179251</v>
      </c>
      <c r="R360" s="1">
        <v>0.96727979586090496</v>
      </c>
      <c r="S360" s="1">
        <v>14.8518399545896</v>
      </c>
      <c r="T360" s="7"/>
      <c r="U360" s="1"/>
      <c r="V360" s="1"/>
      <c r="W360" s="8"/>
      <c r="X360" s="7"/>
      <c r="Y360" s="1"/>
      <c r="Z360" s="1"/>
      <c r="AA360" s="8"/>
      <c r="AB360" s="7">
        <v>16</v>
      </c>
      <c r="AC360" s="1">
        <v>0.83571373456790099</v>
      </c>
      <c r="AD360" s="1">
        <v>31.000743063325999</v>
      </c>
      <c r="AE360" s="1">
        <v>0.97724888544014799</v>
      </c>
      <c r="AF360" s="1">
        <v>16.429973227283401</v>
      </c>
      <c r="AG360" s="1">
        <v>33.705650593302103</v>
      </c>
      <c r="AH360" s="1">
        <v>0.98686345447100499</v>
      </c>
      <c r="AI360" s="1">
        <v>18.8151882464967</v>
      </c>
      <c r="AJ360" s="1">
        <v>38.4206800460815</v>
      </c>
      <c r="AK360" s="1">
        <v>23.430908203125</v>
      </c>
      <c r="AL360" s="7"/>
      <c r="AM360" s="1"/>
      <c r="AN360" s="1"/>
      <c r="AO360" s="8"/>
      <c r="AP360" s="1"/>
      <c r="AQ360" s="1"/>
      <c r="AR360" s="1"/>
      <c r="AS360" s="8"/>
      <c r="AT360" s="7">
        <v>0.32</v>
      </c>
      <c r="AU360" s="1">
        <v>0.64538194444444397</v>
      </c>
      <c r="AV360" s="1">
        <v>28.771378965263899</v>
      </c>
      <c r="AW360" s="1">
        <v>0.980712268355306</v>
      </c>
      <c r="AX360" s="1">
        <v>17.147188450424402</v>
      </c>
      <c r="AY360" s="1">
        <v>31.2534485027739</v>
      </c>
      <c r="AZ360" s="1">
        <v>0.98698021686169002</v>
      </c>
      <c r="BA360" s="1">
        <v>18.853962494560001</v>
      </c>
      <c r="BB360" s="1">
        <v>58.531087398529003</v>
      </c>
      <c r="BC360" s="1">
        <v>33.953109979629502</v>
      </c>
      <c r="BD360" s="7"/>
      <c r="BE360" s="1"/>
      <c r="BF360" s="1"/>
      <c r="BG360" s="8"/>
      <c r="BH360" s="1"/>
      <c r="BI360" s="1"/>
      <c r="BJ360" s="1"/>
      <c r="BK360" s="8"/>
    </row>
    <row r="361" spans="1:63">
      <c r="A361" s="49"/>
      <c r="B361" s="7" t="s">
        <v>18</v>
      </c>
      <c r="C361" s="17">
        <v>0.25</v>
      </c>
      <c r="D361" s="7">
        <v>42</v>
      </c>
      <c r="E361" s="1">
        <v>0.244170524691358</v>
      </c>
      <c r="F361" s="1">
        <v>26.215478792751501</v>
      </c>
      <c r="G361" s="1">
        <v>0.90338412123937195</v>
      </c>
      <c r="H361" s="1">
        <v>10.1495149168588</v>
      </c>
      <c r="I361" s="1">
        <v>29.053216106731099</v>
      </c>
      <c r="J361" s="1">
        <v>0.93243249592149402</v>
      </c>
      <c r="K361" s="8">
        <v>11.7026212347479</v>
      </c>
      <c r="L361" s="7">
        <v>40</v>
      </c>
      <c r="M361" s="1">
        <v>0.23305555555555499</v>
      </c>
      <c r="N361" s="1">
        <v>26.851268257196502</v>
      </c>
      <c r="O361" s="1">
        <v>0.91561091450910703</v>
      </c>
      <c r="P361" s="1">
        <v>10.737137194596199</v>
      </c>
      <c r="Q361" s="1">
        <v>29.7092836891361</v>
      </c>
      <c r="R361" s="1">
        <v>0.93900922597523195</v>
      </c>
      <c r="S361" s="1">
        <v>12.147358550411701</v>
      </c>
      <c r="T361" s="7"/>
      <c r="U361" s="1"/>
      <c r="V361" s="1"/>
      <c r="W361" s="8"/>
      <c r="X361" s="7"/>
      <c r="Y361" s="1"/>
      <c r="Z361" s="1"/>
      <c r="AA361" s="8"/>
      <c r="AB361" s="7">
        <v>8</v>
      </c>
      <c r="AC361" s="1">
        <v>0.56227237654320905</v>
      </c>
      <c r="AD361" s="1">
        <v>29.4652001099955</v>
      </c>
      <c r="AE361" s="1">
        <v>0.96471038072025095</v>
      </c>
      <c r="AF361" s="1">
        <v>14.5235302697854</v>
      </c>
      <c r="AG361" s="1">
        <v>32.081320396592197</v>
      </c>
      <c r="AH361" s="1">
        <v>0.97731223247945098</v>
      </c>
      <c r="AI361" s="1">
        <v>16.442082366495299</v>
      </c>
      <c r="AJ361" s="1">
        <v>28.8067624568939</v>
      </c>
      <c r="AK361" s="1">
        <v>16.294530630111598</v>
      </c>
      <c r="AL361" s="7"/>
      <c r="AM361" s="1"/>
      <c r="AN361" s="1"/>
      <c r="AO361" s="8"/>
      <c r="AP361" s="1"/>
      <c r="AQ361" s="1"/>
      <c r="AR361" s="1"/>
      <c r="AS361" s="8"/>
      <c r="AT361" s="7">
        <v>0.16</v>
      </c>
      <c r="AU361" s="1">
        <v>0.45409336419752999</v>
      </c>
      <c r="AV361" s="1">
        <v>27.6818325875428</v>
      </c>
      <c r="AW361" s="1">
        <v>0.97053110204559601</v>
      </c>
      <c r="AX361" s="1">
        <v>15.306361051161501</v>
      </c>
      <c r="AY361" s="1">
        <v>30.163026698784002</v>
      </c>
      <c r="AZ361" s="1">
        <v>0.97915175070156302</v>
      </c>
      <c r="BA361" s="1">
        <v>16.809304084096901</v>
      </c>
      <c r="BB361" s="1">
        <v>41.717312335968003</v>
      </c>
      <c r="BC361" s="1">
        <v>27.517988204956001</v>
      </c>
      <c r="BD361" s="7"/>
      <c r="BE361" s="1"/>
      <c r="BF361" s="1"/>
      <c r="BG361" s="8"/>
      <c r="BH361" s="1"/>
      <c r="BI361" s="1"/>
      <c r="BJ361" s="1"/>
      <c r="BK361" s="8"/>
    </row>
    <row r="362" spans="1:63">
      <c r="A362" s="49"/>
      <c r="B362" s="7" t="s">
        <v>18</v>
      </c>
      <c r="C362" s="17">
        <v>0.12</v>
      </c>
      <c r="D362" s="7">
        <v>46</v>
      </c>
      <c r="E362" s="1">
        <v>0.117542438271604</v>
      </c>
      <c r="F362" s="1">
        <v>24.355427446280402</v>
      </c>
      <c r="G362" s="1">
        <v>0.84292684460400102</v>
      </c>
      <c r="H362" s="1">
        <v>8.0389803176190693</v>
      </c>
      <c r="I362" s="1">
        <v>27.1458121339749</v>
      </c>
      <c r="J362" s="1">
        <v>0.87941277814123697</v>
      </c>
      <c r="K362" s="8">
        <v>9.1869871019127292</v>
      </c>
      <c r="L362" s="7">
        <v>44</v>
      </c>
      <c r="M362" s="1">
        <v>0.11541280864197501</v>
      </c>
      <c r="N362" s="1">
        <v>24.974879078207199</v>
      </c>
      <c r="O362" s="1">
        <v>0.86326991848395795</v>
      </c>
      <c r="P362" s="1">
        <v>8.6413592728141104</v>
      </c>
      <c r="Q362" s="1">
        <v>27.780480002026799</v>
      </c>
      <c r="R362" s="1">
        <v>0.89354247077574001</v>
      </c>
      <c r="S362" s="1">
        <v>9.7282361759893892</v>
      </c>
      <c r="T362" s="7"/>
      <c r="U362" s="1"/>
      <c r="V362" s="1"/>
      <c r="W362" s="8"/>
      <c r="X362" s="7"/>
      <c r="Y362" s="1"/>
      <c r="Z362" s="1"/>
      <c r="AA362" s="8"/>
      <c r="AB362" s="7">
        <v>4</v>
      </c>
      <c r="AC362" s="1">
        <v>0.35708719135802403</v>
      </c>
      <c r="AD362" s="1">
        <v>27.689917207883799</v>
      </c>
      <c r="AE362" s="1">
        <v>0.94405057475384702</v>
      </c>
      <c r="AF362" s="1">
        <v>12.5220437050661</v>
      </c>
      <c r="AG362" s="1">
        <v>30.252288703526698</v>
      </c>
      <c r="AH362" s="1">
        <v>0.96129947442628405</v>
      </c>
      <c r="AI362" s="1">
        <v>14.1228313699105</v>
      </c>
      <c r="AJ362" s="1">
        <v>40.989198446273797</v>
      </c>
      <c r="AK362" s="1">
        <v>26.915693283081001</v>
      </c>
      <c r="AL362" s="7"/>
      <c r="AM362" s="1"/>
      <c r="AN362" s="1"/>
      <c r="AO362" s="8"/>
      <c r="AP362" s="1"/>
      <c r="AQ362" s="1"/>
      <c r="AR362" s="1"/>
      <c r="AS362" s="8"/>
      <c r="AT362" s="7">
        <v>0.08</v>
      </c>
      <c r="AU362" s="1">
        <v>0.31636188271604898</v>
      </c>
      <c r="AV362" s="1">
        <v>26.568403580017002</v>
      </c>
      <c r="AW362" s="1">
        <v>0.95516586096564604</v>
      </c>
      <c r="AX362" s="1">
        <v>13.4839116573373</v>
      </c>
      <c r="AY362" s="1">
        <v>29.0548440508671</v>
      </c>
      <c r="AZ362" s="1">
        <v>0.96685726998252397</v>
      </c>
      <c r="BA362" s="1">
        <v>14.796117209410401</v>
      </c>
      <c r="BB362" s="1">
        <v>26.550773382186801</v>
      </c>
      <c r="BC362" s="1">
        <v>17.0911943912506</v>
      </c>
      <c r="BD362" s="7"/>
      <c r="BE362" s="1"/>
      <c r="BF362" s="1"/>
      <c r="BG362" s="8"/>
      <c r="BH362" s="1"/>
      <c r="BI362" s="1"/>
      <c r="BJ362" s="1"/>
      <c r="BK362" s="8"/>
    </row>
    <row r="363" spans="1:63">
      <c r="A363" s="49"/>
      <c r="B363" s="7" t="s">
        <v>18</v>
      </c>
      <c r="C363" s="17">
        <v>0.06</v>
      </c>
      <c r="D363" s="7">
        <v>50</v>
      </c>
      <c r="E363" s="1">
        <v>5.4506172839506102E-2</v>
      </c>
      <c r="F363" s="1">
        <v>22.8054699647811</v>
      </c>
      <c r="G363" s="1">
        <v>0.76483080359936995</v>
      </c>
      <c r="H363" s="1">
        <v>6.2861956486349104</v>
      </c>
      <c r="I363" s="1">
        <v>25.578123398465401</v>
      </c>
      <c r="J363" s="1">
        <v>0.80612558051177896</v>
      </c>
      <c r="K363" s="8">
        <v>7.1247948957003304</v>
      </c>
      <c r="L363" s="7">
        <v>48</v>
      </c>
      <c r="M363" s="1">
        <v>5.4560185185185101E-2</v>
      </c>
      <c r="N363" s="1">
        <v>23.3102338303853</v>
      </c>
      <c r="O363" s="1">
        <v>0.79165608406792598</v>
      </c>
      <c r="P363" s="1">
        <v>6.8121917730753099</v>
      </c>
      <c r="Q363" s="1">
        <v>26.1006710061062</v>
      </c>
      <c r="R363" s="1">
        <v>0.82615931117835095</v>
      </c>
      <c r="S363" s="1">
        <v>7.5984856584740097</v>
      </c>
      <c r="T363" s="7"/>
      <c r="U363" s="1"/>
      <c r="V363" s="1"/>
      <c r="W363" s="8"/>
      <c r="X363" s="7"/>
      <c r="Y363" s="1"/>
      <c r="Z363" s="1"/>
      <c r="AA363" s="8"/>
      <c r="AB363" s="7">
        <v>2</v>
      </c>
      <c r="AC363" s="1">
        <v>0.20263503086419701</v>
      </c>
      <c r="AD363" s="1">
        <v>26.101596624288799</v>
      </c>
      <c r="AE363" s="1">
        <v>0.91350030198295196</v>
      </c>
      <c r="AF363" s="1">
        <v>10.629854087173699</v>
      </c>
      <c r="AG363" s="1">
        <v>28.645717332716799</v>
      </c>
      <c r="AH363" s="1">
        <v>0.936066246545183</v>
      </c>
      <c r="AI363" s="1">
        <v>11.942697980397201</v>
      </c>
      <c r="AJ363" s="1">
        <v>45.986481904983499</v>
      </c>
      <c r="AK363" s="1">
        <v>33.180350065231302</v>
      </c>
      <c r="AL363" s="7"/>
      <c r="AM363" s="1"/>
      <c r="AN363" s="1"/>
      <c r="AO363" s="8"/>
      <c r="AP363" s="1"/>
      <c r="AQ363" s="1"/>
      <c r="AR363" s="1"/>
      <c r="AS363" s="8"/>
      <c r="AT363" s="7">
        <v>0.04</v>
      </c>
      <c r="AU363" s="1">
        <v>0.19726466049382699</v>
      </c>
      <c r="AV363" s="1">
        <v>25.395937123134601</v>
      </c>
      <c r="AW363" s="1">
        <v>0.93282546063577598</v>
      </c>
      <c r="AX363" s="1">
        <v>11.7279530297088</v>
      </c>
      <c r="AY363" s="1">
        <v>27.8856404177554</v>
      </c>
      <c r="AZ363" s="1">
        <v>0.94793616670051495</v>
      </c>
      <c r="BA363" s="1">
        <v>12.8346385928622</v>
      </c>
      <c r="BB363" s="1">
        <v>31.861572742462101</v>
      </c>
      <c r="BC363" s="1">
        <v>22.748998403549098</v>
      </c>
      <c r="BD363" s="7"/>
      <c r="BE363" s="1"/>
      <c r="BF363" s="1"/>
      <c r="BG363" s="8"/>
      <c r="BH363" s="1"/>
      <c r="BI363" s="1"/>
      <c r="BJ363" s="1"/>
      <c r="BK363" s="8"/>
    </row>
    <row r="364" spans="1:63">
      <c r="A364" s="49"/>
      <c r="B364" s="7" t="s">
        <v>81</v>
      </c>
      <c r="C364" s="17">
        <v>1.5</v>
      </c>
      <c r="D364" s="7">
        <v>15</v>
      </c>
      <c r="E364" s="1">
        <v>1.4565586419753001</v>
      </c>
      <c r="F364" s="1">
        <v>46.8252375410773</v>
      </c>
      <c r="G364" s="1">
        <v>0.99659047137625401</v>
      </c>
      <c r="H364" s="1">
        <v>24.673056592060199</v>
      </c>
      <c r="I364" s="1">
        <v>50.189274981989499</v>
      </c>
      <c r="J364" s="1">
        <v>0.998518419188411</v>
      </c>
      <c r="K364" s="8">
        <v>28.292746553078999</v>
      </c>
      <c r="L364" s="7">
        <v>13</v>
      </c>
      <c r="M364" s="1">
        <v>1.47745756172839</v>
      </c>
      <c r="N364" s="1">
        <v>47.630916649179298</v>
      </c>
      <c r="O364" s="1">
        <v>0.99740142521492903</v>
      </c>
      <c r="P364" s="1">
        <v>25.852647799855902</v>
      </c>
      <c r="Q364" s="1">
        <v>51.120000108752301</v>
      </c>
      <c r="R364" s="1">
        <v>0.99882940667537301</v>
      </c>
      <c r="S364" s="1">
        <v>29.315939568032601</v>
      </c>
      <c r="T364" s="13">
        <f>bdrate(E364:E367,F364:F367,M364:M367,N364:N367)</f>
        <v>-0.38348829787198435</v>
      </c>
      <c r="U364" s="12">
        <f>bdrate(E364:E367,H364:H367,M364:M367,P364:P367)</f>
        <v>-0.41876654489390408</v>
      </c>
      <c r="V364" s="12">
        <f>bdrate(E364:E367,I364:I367,M364:M367,Q364:Q367)</f>
        <v>-0.34588792923033307</v>
      </c>
      <c r="W364" s="14">
        <f>bdrate(E364:E367,K364:K367,M364:M367,S364:S367)</f>
        <v>-0.26912805841437959</v>
      </c>
      <c r="X364" s="13">
        <f>bdrate(E366:E369,F366:F369,M366:M369,N366:N369)</f>
        <v>-0.4464836720236306</v>
      </c>
      <c r="Y364" s="12">
        <f>bdrate(E366:E369,H366:H369,M366:M369,P366:P369)</f>
        <v>-0.48893051380917019</v>
      </c>
      <c r="Z364" s="12">
        <f>bdrate(E366:E369,I366:I369,M366:M369,Q366:Q369)</f>
        <v>-0.40815871305462159</v>
      </c>
      <c r="AA364" s="14">
        <f>bdrate(E366:E369,K366:K369,M366:M369,S366:S369)</f>
        <v>-0.290843619544779</v>
      </c>
      <c r="AB364" s="7">
        <v>256</v>
      </c>
      <c r="AC364" s="1">
        <v>0.57653163580246902</v>
      </c>
      <c r="AD364" s="1">
        <v>45.932266935046897</v>
      </c>
      <c r="AE364" s="1">
        <v>0.99548126517417701</v>
      </c>
      <c r="AF364" s="1">
        <v>23.449831437453401</v>
      </c>
      <c r="AG364" s="1">
        <v>48.511448667343799</v>
      </c>
      <c r="AH364" s="1">
        <v>0.996942057009371</v>
      </c>
      <c r="AI364" s="1">
        <v>25.1457061542012</v>
      </c>
      <c r="AJ364" s="1">
        <v>133.62010955810501</v>
      </c>
      <c r="AK364" s="1">
        <v>70.099446535110403</v>
      </c>
      <c r="AL364" s="13">
        <f>bdrate(E364:E367,F364:F367,AC364:AC367,AD364:AD367)</f>
        <v>-0.45410226391272956</v>
      </c>
      <c r="AM364" s="12">
        <f>bdrate(E364:E367,H364:H367,AC364:AC367,AF364:AF367)</f>
        <v>-0.47204994461050931</v>
      </c>
      <c r="AN364" s="12">
        <f>bdrate(E364:E367,I364:I367,AC364:AC367,AG364:AG367)</f>
        <v>-0.3523804189526405</v>
      </c>
      <c r="AO364" s="14">
        <f>bdrate(E364:E367,K364:K367,AC364:AC367,AI364:AI367)</f>
        <v>-0.21404792299405262</v>
      </c>
      <c r="AP364" s="12">
        <f>bdrate(E366:E369,F366:F369,AC366:AC369,AD366:AD369)</f>
        <v>-0.42050418874848838</v>
      </c>
      <c r="AQ364" s="12">
        <f>bdrate(E366:E369,H366:H369,AC366:AC369,AF366:AF369)</f>
        <v>-0.46691915251836724</v>
      </c>
      <c r="AR364" s="12">
        <f>bdrate(E366:E369,I366:I369,AC366:AC369,AG366:AG369)</f>
        <v>-0.34035487806036846</v>
      </c>
      <c r="AS364" s="14">
        <f>bdrate(E366:E369,K366:K369,AC366:AC369,AI366:AI369)</f>
        <v>-0.19256760446121035</v>
      </c>
      <c r="AT364" s="7">
        <v>6.4</v>
      </c>
      <c r="AU364" s="1">
        <v>1.04596064814814</v>
      </c>
      <c r="AV364" s="1">
        <v>47.193196567858699</v>
      </c>
      <c r="AW364" s="1">
        <v>0.998382993939394</v>
      </c>
      <c r="AX364" s="1">
        <v>27.9128835233678</v>
      </c>
      <c r="AY364" s="1">
        <v>49.770085043893403</v>
      </c>
      <c r="AZ364" s="1">
        <v>0.99900394014433302</v>
      </c>
      <c r="BA364" s="1">
        <v>30.017145629772799</v>
      </c>
      <c r="BB364" s="1">
        <v>276.046217918396</v>
      </c>
      <c r="BC364" s="1">
        <v>72.644263029098497</v>
      </c>
      <c r="BD364" s="13">
        <f>bdrate(E364:E367,F364:F367,AU364:AU367,AV364:AV367)</f>
        <v>-0.34755021226363647</v>
      </c>
      <c r="BE364" s="12">
        <f>bdrate(E364:E367,H364:H367,AU364:AU367,AX364:AX367)</f>
        <v>-0.58657245601072783</v>
      </c>
      <c r="BF364" s="12">
        <f>bdrate(E364:E367,I364:I367,AU364:AU367,AY364:AY367)</f>
        <v>-0.21377331340901251</v>
      </c>
      <c r="BG364" s="14">
        <f>bdrate(E364:E367,K364:K367,AU364:AU367,BA364:BA367)</f>
        <v>-0.38911433025016118</v>
      </c>
      <c r="BH364" s="12">
        <f>bdrate(E366:E369,F366:F369,AU366:AU369,AV366:AV369)</f>
        <v>-0.20562021046305456</v>
      </c>
      <c r="BI364" s="12">
        <f>bdrate(E366:E369,H366:H369,AU366:AU369,AX366:AX369)</f>
        <v>-0.56161725930012074</v>
      </c>
      <c r="BJ364" s="12">
        <f>bdrate(E366:E369,I366:I369,AU366:AU369,AY366:AY369)</f>
        <v>-0.13076588398456179</v>
      </c>
      <c r="BK364" s="14">
        <f>bdrate(E366:E369,K366:K369,AU366:AU369,BA366:BA369)</f>
        <v>-0.34635263307684783</v>
      </c>
    </row>
    <row r="365" spans="1:63">
      <c r="A365" s="49"/>
      <c r="B365" s="7" t="s">
        <v>18</v>
      </c>
      <c r="C365" s="17">
        <v>1</v>
      </c>
      <c r="D365" s="7">
        <v>18</v>
      </c>
      <c r="E365" s="1">
        <v>0.97913580246913501</v>
      </c>
      <c r="F365" s="1">
        <v>45.5121326176982</v>
      </c>
      <c r="G365" s="1">
        <v>0.99496690784071096</v>
      </c>
      <c r="H365" s="1">
        <v>22.981651173072301</v>
      </c>
      <c r="I365" s="1">
        <v>48.747885211948997</v>
      </c>
      <c r="J365" s="1">
        <v>0.99769623802236396</v>
      </c>
      <c r="K365" s="8">
        <v>26.375623937988401</v>
      </c>
      <c r="L365" s="7">
        <v>16</v>
      </c>
      <c r="M365" s="1">
        <v>0.90573302469135797</v>
      </c>
      <c r="N365" s="1">
        <v>46.459861521493401</v>
      </c>
      <c r="O365" s="1">
        <v>0.99635604980994497</v>
      </c>
      <c r="P365" s="1">
        <v>24.384275681239501</v>
      </c>
      <c r="Q365" s="1">
        <v>49.679110791738999</v>
      </c>
      <c r="R365" s="1">
        <v>0.99812178521177797</v>
      </c>
      <c r="S365" s="1">
        <v>27.2625474433537</v>
      </c>
      <c r="T365" s="7"/>
      <c r="U365" s="1"/>
      <c r="V365" s="1"/>
      <c r="W365" s="8"/>
      <c r="X365" s="7"/>
      <c r="Y365" s="1"/>
      <c r="Z365" s="1"/>
      <c r="AA365" s="8"/>
      <c r="AB365" s="7">
        <v>128</v>
      </c>
      <c r="AC365" s="1">
        <v>0.37643132716049299</v>
      </c>
      <c r="AD365" s="1">
        <v>44.519016183361401</v>
      </c>
      <c r="AE365" s="1">
        <v>0.99327930118783103</v>
      </c>
      <c r="AF365" s="1">
        <v>21.725855670518499</v>
      </c>
      <c r="AG365" s="1">
        <v>47.033773868535398</v>
      </c>
      <c r="AH365" s="1">
        <v>0.99487152674702894</v>
      </c>
      <c r="AI365" s="1">
        <v>22.900119051604001</v>
      </c>
      <c r="AJ365" s="1">
        <v>145.41441273689199</v>
      </c>
      <c r="AK365" s="1">
        <v>68.003340005874605</v>
      </c>
      <c r="AL365" s="7"/>
      <c r="AM365" s="1"/>
      <c r="AN365" s="1"/>
      <c r="AO365" s="8"/>
      <c r="AP365" s="1"/>
      <c r="AQ365" s="1"/>
      <c r="AR365" s="1"/>
      <c r="AS365" s="8"/>
      <c r="AT365" s="7">
        <v>3.2</v>
      </c>
      <c r="AU365" s="1">
        <v>0.821547067901234</v>
      </c>
      <c r="AV365" s="1">
        <v>46.170950313874002</v>
      </c>
      <c r="AW365" s="1">
        <v>0.99773788556599896</v>
      </c>
      <c r="AX365" s="1">
        <v>26.4548542911974</v>
      </c>
      <c r="AY365" s="1">
        <v>48.731033443057797</v>
      </c>
      <c r="AZ365" s="1">
        <v>0.99855179527816695</v>
      </c>
      <c r="BA365" s="1">
        <v>28.391700408475501</v>
      </c>
      <c r="BB365" s="1">
        <v>184.10484886169399</v>
      </c>
      <c r="BC365" s="1">
        <v>108.919048070907</v>
      </c>
      <c r="BD365" s="7"/>
      <c r="BE365" s="1"/>
      <c r="BF365" s="1"/>
      <c r="BG365" s="8"/>
      <c r="BH365" s="1"/>
      <c r="BI365" s="1"/>
      <c r="BJ365" s="1"/>
      <c r="BK365" s="8"/>
    </row>
    <row r="366" spans="1:63">
      <c r="A366" s="49"/>
      <c r="B366" s="7" t="s">
        <v>18</v>
      </c>
      <c r="C366" s="17">
        <v>0.5</v>
      </c>
      <c r="D366" s="7">
        <v>23</v>
      </c>
      <c r="E366" s="1">
        <v>0.485952932098765</v>
      </c>
      <c r="F366" s="1">
        <v>43.343883593402801</v>
      </c>
      <c r="G366" s="1">
        <v>0.99018700773780399</v>
      </c>
      <c r="H366" s="1">
        <v>20.081985436079101</v>
      </c>
      <c r="I366" s="1">
        <v>46.372589480314304</v>
      </c>
      <c r="J366" s="1">
        <v>0.99485609408551501</v>
      </c>
      <c r="K366" s="8">
        <v>22.887069835507202</v>
      </c>
      <c r="L366" s="7">
        <v>20</v>
      </c>
      <c r="M366" s="1">
        <v>0.49828317901234498</v>
      </c>
      <c r="N366" s="1">
        <v>44.951131790261201</v>
      </c>
      <c r="O366" s="1">
        <v>0.99429449108595902</v>
      </c>
      <c r="P366" s="1">
        <v>22.437056117712299</v>
      </c>
      <c r="Q366" s="1">
        <v>47.929161729622002</v>
      </c>
      <c r="R366" s="1">
        <v>0.99656251532814599</v>
      </c>
      <c r="S366" s="1">
        <v>24.637592297272899</v>
      </c>
      <c r="T366" s="7"/>
      <c r="U366" s="1"/>
      <c r="V366" s="1"/>
      <c r="W366" s="8"/>
      <c r="X366" s="7"/>
      <c r="Y366" s="1"/>
      <c r="Z366" s="1"/>
      <c r="AA366" s="8"/>
      <c r="AB366" s="7">
        <v>64</v>
      </c>
      <c r="AC366" s="1">
        <v>0.26147762345678999</v>
      </c>
      <c r="AD366" s="1">
        <v>43.151788697685497</v>
      </c>
      <c r="AE366" s="1">
        <v>0.99011461214264196</v>
      </c>
      <c r="AF366" s="1">
        <v>20.050062862890499</v>
      </c>
      <c r="AG366" s="1">
        <v>45.639021131553399</v>
      </c>
      <c r="AH366" s="1">
        <v>0.99188067151873105</v>
      </c>
      <c r="AI366" s="1">
        <v>20.904798881159</v>
      </c>
      <c r="AJ366" s="1">
        <v>40.276368141174302</v>
      </c>
      <c r="AK366" s="1">
        <v>25.0189640522003</v>
      </c>
      <c r="AL366" s="7"/>
      <c r="AM366" s="1"/>
      <c r="AN366" s="1"/>
      <c r="AO366" s="8"/>
      <c r="AP366" s="1"/>
      <c r="AQ366" s="1"/>
      <c r="AR366" s="1"/>
      <c r="AS366" s="8"/>
      <c r="AT366" s="7">
        <v>1.28</v>
      </c>
      <c r="AU366" s="1">
        <v>0.52184027777777697</v>
      </c>
      <c r="AV366" s="1">
        <v>44.973599571935502</v>
      </c>
      <c r="AW366" s="1">
        <v>0.99619001221574199</v>
      </c>
      <c r="AX366" s="1">
        <v>24.1907641677528</v>
      </c>
      <c r="AY366" s="1">
        <v>47.499711005923899</v>
      </c>
      <c r="AZ366" s="1">
        <v>0.99734920808351901</v>
      </c>
      <c r="BA366" s="1">
        <v>25.766243624484598</v>
      </c>
      <c r="BB366" s="1">
        <v>58.835769176483097</v>
      </c>
      <c r="BC366" s="1">
        <v>33.307473659515303</v>
      </c>
      <c r="BD366" s="7"/>
      <c r="BE366" s="1"/>
      <c r="BF366" s="1"/>
      <c r="BG366" s="8"/>
      <c r="BH366" s="1"/>
      <c r="BI366" s="1"/>
      <c r="BJ366" s="1"/>
      <c r="BK366" s="8"/>
    </row>
    <row r="367" spans="1:63">
      <c r="A367" s="49"/>
      <c r="B367" s="7" t="s">
        <v>18</v>
      </c>
      <c r="C367" s="17">
        <v>0.25</v>
      </c>
      <c r="D367" s="7">
        <v>28</v>
      </c>
      <c r="E367" s="1">
        <v>0.22582175925925899</v>
      </c>
      <c r="F367" s="1">
        <v>41.057619789949698</v>
      </c>
      <c r="G367" s="1">
        <v>0.980814230331295</v>
      </c>
      <c r="H367" s="1">
        <v>17.170207736787599</v>
      </c>
      <c r="I367" s="1">
        <v>43.8946652378417</v>
      </c>
      <c r="J367" s="1">
        <v>0.98820332320216697</v>
      </c>
      <c r="K367" s="8">
        <v>19.282403191032401</v>
      </c>
      <c r="L367" s="7">
        <v>25</v>
      </c>
      <c r="M367" s="1">
        <v>0.242380401234567</v>
      </c>
      <c r="N367" s="1">
        <v>42.9761400566695</v>
      </c>
      <c r="O367" s="1">
        <v>0.98974853809541097</v>
      </c>
      <c r="P367" s="1">
        <v>19.892141978448901</v>
      </c>
      <c r="Q367" s="1">
        <v>45.731211944811598</v>
      </c>
      <c r="R367" s="1">
        <v>0.99249076999004504</v>
      </c>
      <c r="S367" s="1">
        <v>21.244045928988999</v>
      </c>
      <c r="T367" s="7"/>
      <c r="U367" s="1"/>
      <c r="V367" s="1"/>
      <c r="W367" s="8"/>
      <c r="X367" s="7"/>
      <c r="Y367" s="1"/>
      <c r="Z367" s="1"/>
      <c r="AA367" s="8"/>
      <c r="AB367" s="7">
        <v>32</v>
      </c>
      <c r="AC367" s="1">
        <v>0.15832175925925901</v>
      </c>
      <c r="AD367" s="1">
        <v>41.752039064195401</v>
      </c>
      <c r="AE367" s="1">
        <v>0.98525879920933401</v>
      </c>
      <c r="AF367" s="1">
        <v>18.314671382192099</v>
      </c>
      <c r="AG367" s="1">
        <v>44.213696327845803</v>
      </c>
      <c r="AH367" s="1">
        <v>0.98684603322466402</v>
      </c>
      <c r="AI367" s="1">
        <v>18.8094325942875</v>
      </c>
      <c r="AJ367" s="1">
        <v>29.286414861678999</v>
      </c>
      <c r="AK367" s="1">
        <v>17.651811361312799</v>
      </c>
      <c r="AL367" s="7"/>
      <c r="AM367" s="1"/>
      <c r="AN367" s="1"/>
      <c r="AO367" s="8"/>
      <c r="AP367" s="1"/>
      <c r="AQ367" s="1"/>
      <c r="AR367" s="1"/>
      <c r="AS367" s="8"/>
      <c r="AT367" s="7">
        <v>0.32</v>
      </c>
      <c r="AU367" s="1">
        <v>0.241631944444444</v>
      </c>
      <c r="AV367" s="1">
        <v>42.374353196729501</v>
      </c>
      <c r="AW367" s="1">
        <v>0.99147030319099805</v>
      </c>
      <c r="AX367" s="1">
        <v>20.690664057044099</v>
      </c>
      <c r="AY367" s="1">
        <v>44.861377786627102</v>
      </c>
      <c r="AZ367" s="1">
        <v>0.99299734220268498</v>
      </c>
      <c r="BA367" s="1">
        <v>21.547370960380299</v>
      </c>
      <c r="BB367" s="1">
        <v>46.595054864883402</v>
      </c>
      <c r="BC367" s="1">
        <v>34.101733207702601</v>
      </c>
      <c r="BD367" s="7"/>
      <c r="BE367" s="1"/>
      <c r="BF367" s="1"/>
      <c r="BG367" s="8"/>
      <c r="BH367" s="1"/>
      <c r="BI367" s="1"/>
      <c r="BJ367" s="1"/>
      <c r="BK367" s="8"/>
    </row>
    <row r="368" spans="1:63">
      <c r="A368" s="49"/>
      <c r="B368" s="7" t="s">
        <v>18</v>
      </c>
      <c r="C368" s="17">
        <v>0.12</v>
      </c>
      <c r="D368" s="7">
        <v>32</v>
      </c>
      <c r="E368" s="1">
        <v>0.11798996913580199</v>
      </c>
      <c r="F368" s="1">
        <v>39.373719474679298</v>
      </c>
      <c r="G368" s="1">
        <v>0.96945304757847395</v>
      </c>
      <c r="H368" s="1">
        <v>15.1503211152733</v>
      </c>
      <c r="I368" s="1">
        <v>42.091250517277203</v>
      </c>
      <c r="J368" s="1">
        <v>0.97859963973394903</v>
      </c>
      <c r="K368" s="8">
        <v>16.695789154246</v>
      </c>
      <c r="L368" s="7">
        <v>30</v>
      </c>
      <c r="M368" s="1">
        <v>0.11527777777777699</v>
      </c>
      <c r="N368" s="1">
        <v>40.8655947889022</v>
      </c>
      <c r="O368" s="1">
        <v>0.98103220982345696</v>
      </c>
      <c r="P368" s="1">
        <v>17.2198326320921</v>
      </c>
      <c r="Q368" s="1">
        <v>43.492629060025202</v>
      </c>
      <c r="R368" s="1">
        <v>0.98382825251266803</v>
      </c>
      <c r="S368" s="1">
        <v>17.912430485475401</v>
      </c>
      <c r="T368" s="7"/>
      <c r="U368" s="1"/>
      <c r="V368" s="1"/>
      <c r="W368" s="8"/>
      <c r="X368" s="7"/>
      <c r="Y368" s="1"/>
      <c r="Z368" s="1"/>
      <c r="AA368" s="8"/>
      <c r="AB368" s="7">
        <v>16</v>
      </c>
      <c r="AC368" s="1">
        <v>0.101292438271604</v>
      </c>
      <c r="AD368" s="1">
        <v>40.301304711013401</v>
      </c>
      <c r="AE368" s="1">
        <v>0.97787452368595695</v>
      </c>
      <c r="AF368" s="1">
        <v>16.551073711009199</v>
      </c>
      <c r="AG368" s="1">
        <v>42.757312064471499</v>
      </c>
      <c r="AH368" s="1">
        <v>0.97949072659837499</v>
      </c>
      <c r="AI368" s="1">
        <v>16.880497254558399</v>
      </c>
      <c r="AJ368" s="1">
        <v>32.422116756439202</v>
      </c>
      <c r="AK368" s="1">
        <v>22.341494321823099</v>
      </c>
      <c r="AL368" s="7"/>
      <c r="AM368" s="1"/>
      <c r="AN368" s="1"/>
      <c r="AO368" s="8"/>
      <c r="AP368" s="1"/>
      <c r="AQ368" s="1"/>
      <c r="AR368" s="1"/>
      <c r="AS368" s="8"/>
      <c r="AT368" s="7">
        <v>0.08</v>
      </c>
      <c r="AU368" s="1">
        <v>0.105466820987654</v>
      </c>
      <c r="AV368" s="1">
        <v>39.647201614139703</v>
      </c>
      <c r="AW368" s="1">
        <v>0.98196929590347004</v>
      </c>
      <c r="AX368" s="1">
        <v>17.439873138063302</v>
      </c>
      <c r="AY368" s="1">
        <v>42.094240247506001</v>
      </c>
      <c r="AZ368" s="1">
        <v>0.98400680563970699</v>
      </c>
      <c r="BA368" s="1">
        <v>17.9606478487818</v>
      </c>
      <c r="BB368" s="1">
        <v>25.850907087326</v>
      </c>
      <c r="BC368" s="1">
        <v>16.796610593795702</v>
      </c>
      <c r="BD368" s="7"/>
      <c r="BE368" s="1"/>
      <c r="BF368" s="1"/>
      <c r="BG368" s="8"/>
      <c r="BH368" s="1"/>
      <c r="BI368" s="1"/>
      <c r="BJ368" s="1"/>
      <c r="BK368" s="8"/>
    </row>
    <row r="369" spans="1:63">
      <c r="A369" s="49"/>
      <c r="B369" s="7" t="s">
        <v>18</v>
      </c>
      <c r="C369" s="17">
        <v>0.06</v>
      </c>
      <c r="D369" s="7">
        <v>36</v>
      </c>
      <c r="E369" s="1">
        <v>5.9278549382715998E-2</v>
      </c>
      <c r="F369" s="1">
        <v>37.773112688198502</v>
      </c>
      <c r="G369" s="1">
        <v>0.95350288015885798</v>
      </c>
      <c r="H369" s="1">
        <v>13.3257394766571</v>
      </c>
      <c r="I369" s="1">
        <v>40.394971391187603</v>
      </c>
      <c r="J369" s="1">
        <v>0.96330667800855496</v>
      </c>
      <c r="K369" s="8">
        <v>14.354129680684199</v>
      </c>
      <c r="L369" s="7">
        <v>35</v>
      </c>
      <c r="M369" s="1">
        <v>5.2569444444444398E-2</v>
      </c>
      <c r="N369" s="1">
        <v>38.776469091182904</v>
      </c>
      <c r="O369" s="1">
        <v>0.96552523910912502</v>
      </c>
      <c r="P369" s="1">
        <v>14.6249873730973</v>
      </c>
      <c r="Q369" s="1">
        <v>41.339476336168097</v>
      </c>
      <c r="R369" s="1">
        <v>0.96777340557574298</v>
      </c>
      <c r="S369" s="1">
        <v>14.917855865416101</v>
      </c>
      <c r="T369" s="7"/>
      <c r="U369" s="1"/>
      <c r="V369" s="1"/>
      <c r="W369" s="8"/>
      <c r="X369" s="7"/>
      <c r="Y369" s="1"/>
      <c r="Z369" s="1"/>
      <c r="AA369" s="8"/>
      <c r="AB369" s="7">
        <v>8</v>
      </c>
      <c r="AC369" s="1">
        <v>6.7064043209876495E-2</v>
      </c>
      <c r="AD369" s="1">
        <v>39.024005312335497</v>
      </c>
      <c r="AE369" s="1">
        <v>0.96852724932464096</v>
      </c>
      <c r="AF369" s="1">
        <v>15.0206529868434</v>
      </c>
      <c r="AG369" s="1">
        <v>41.453779400035799</v>
      </c>
      <c r="AH369" s="1">
        <v>0.96975479202062498</v>
      </c>
      <c r="AI369" s="1">
        <v>15.1934342474618</v>
      </c>
      <c r="AJ369" s="1">
        <v>25.4150424003601</v>
      </c>
      <c r="AK369" s="1">
        <v>16.7902927398681</v>
      </c>
      <c r="AL369" s="7"/>
      <c r="AM369" s="1"/>
      <c r="AN369" s="1"/>
      <c r="AO369" s="8"/>
      <c r="AP369" s="1"/>
      <c r="AQ369" s="1"/>
      <c r="AR369" s="1"/>
      <c r="AS369" s="8"/>
      <c r="AT369" s="7">
        <v>0.04</v>
      </c>
      <c r="AU369" s="1">
        <v>8.3530092592592503E-2</v>
      </c>
      <c r="AV369" s="1">
        <v>37.731388079564397</v>
      </c>
      <c r="AW369" s="1">
        <v>0.97432725198793002</v>
      </c>
      <c r="AX369" s="1">
        <v>15.9052764194006</v>
      </c>
      <c r="AY369" s="1">
        <v>40.1576443544811</v>
      </c>
      <c r="AZ369" s="1">
        <v>0.97627126939584796</v>
      </c>
      <c r="BA369" s="1">
        <v>16.2472549424612</v>
      </c>
      <c r="BB369" s="1">
        <v>29.323889732360801</v>
      </c>
      <c r="BC369" s="1">
        <v>22.4770634174346</v>
      </c>
      <c r="BD369" s="7"/>
      <c r="BE369" s="1"/>
      <c r="BF369" s="1"/>
      <c r="BG369" s="8"/>
      <c r="BH369" s="1"/>
      <c r="BI369" s="1"/>
      <c r="BJ369" s="1"/>
      <c r="BK369" s="8"/>
    </row>
    <row r="370" spans="1:63">
      <c r="A370" s="49"/>
      <c r="B370" s="7" t="s">
        <v>82</v>
      </c>
      <c r="C370" s="17">
        <v>1.5</v>
      </c>
      <c r="D370" s="7">
        <v>28</v>
      </c>
      <c r="E370" s="1">
        <v>1.39328125</v>
      </c>
      <c r="F370" s="1">
        <v>35.791506132551298</v>
      </c>
      <c r="G370" s="1">
        <v>0.98961330259129798</v>
      </c>
      <c r="H370" s="1">
        <v>19.835225203138499</v>
      </c>
      <c r="I370" s="1">
        <v>39.0705584534454</v>
      </c>
      <c r="J370" s="1">
        <v>0.99292713997494397</v>
      </c>
      <c r="K370" s="8">
        <v>21.5040493670726</v>
      </c>
      <c r="L370" s="7">
        <v>24</v>
      </c>
      <c r="M370" s="1">
        <v>1.49853190104166</v>
      </c>
      <c r="N370" s="1">
        <v>37.572870810243302</v>
      </c>
      <c r="O370" s="1">
        <v>0.99294217382205896</v>
      </c>
      <c r="P370" s="1">
        <v>21.513290417667399</v>
      </c>
      <c r="Q370" s="1">
        <v>40.936425865917698</v>
      </c>
      <c r="R370" s="1">
        <v>0.99522594762995198</v>
      </c>
      <c r="S370" s="1">
        <v>23.211128212115501</v>
      </c>
      <c r="T370" s="13">
        <f>bdrate(E370:E373,F370:F373,M370:M373,N370:N373)</f>
        <v>-0.25169744885148315</v>
      </c>
      <c r="U370" s="12">
        <f>bdrate(E370:E373,H370:H373,M370:M373,P370:P373)</f>
        <v>-0.23213367727917122</v>
      </c>
      <c r="V370" s="12">
        <f>bdrate(E370:E373,I370:I373,M370:M373,Q370:Q373)</f>
        <v>-0.26464769904896401</v>
      </c>
      <c r="W370" s="14">
        <f>bdrate(E370:E373,K370:K373,M370:M373,S370:S373)</f>
        <v>-0.19847200290183686</v>
      </c>
      <c r="X370" s="13">
        <f>bdrate(E372:E375,F372:F375,M372:M375,N372:N375)</f>
        <v>-0.26524445281685538</v>
      </c>
      <c r="Y370" s="12">
        <f>bdrate(E372:E375,H372:H375,M372:M375,P372:P375)</f>
        <v>-0.23579837977002349</v>
      </c>
      <c r="Z370" s="12">
        <f>bdrate(E372:E375,I372:I375,M372:M375,Q372:Q375)</f>
        <v>-0.28540687848108059</v>
      </c>
      <c r="AA370" s="14">
        <f>bdrate(E372:E375,K372:K375,M372:M375,S372:S375)</f>
        <v>-0.2000667222607162</v>
      </c>
      <c r="AB370" s="7">
        <v>64</v>
      </c>
      <c r="AC370" s="1">
        <v>1.392529296875</v>
      </c>
      <c r="AD370" s="1">
        <v>36.795918752001498</v>
      </c>
      <c r="AE370" s="1">
        <v>0.99349880956215897</v>
      </c>
      <c r="AF370" s="1">
        <v>21.870071120881899</v>
      </c>
      <c r="AG370" s="1">
        <v>39.615471738023203</v>
      </c>
      <c r="AH370" s="1">
        <v>0.99527249192432099</v>
      </c>
      <c r="AI370" s="1">
        <v>23.253677206067099</v>
      </c>
      <c r="AJ370" s="1">
        <v>52.5258049964904</v>
      </c>
      <c r="AK370" s="1">
        <v>31.210037469863799</v>
      </c>
      <c r="AL370" s="13">
        <f>bdrate(E370:E373,F370:F373,AC370:AC373,AD370:AD373)</f>
        <v>-0.20950605126695199</v>
      </c>
      <c r="AM370" s="12">
        <f>bdrate(E370:E373,H370:H373,AC370:AC373,AF370:AF373)</f>
        <v>-0.32051063016017267</v>
      </c>
      <c r="AN370" s="12">
        <f>bdrate(E370:E373,I370:I373,AC370:AC373,AG370:AG373)</f>
        <v>-0.14312332076550216</v>
      </c>
      <c r="AO370" s="14">
        <f>bdrate(E370:E373,K370:K373,AC370:AC373,AI370:AI373)</f>
        <v>-0.24975003445574062</v>
      </c>
      <c r="AP370" s="12">
        <f>bdrate(E372:E375,F372:F375,AC372:AC375,AD372:AD375)</f>
        <v>-0.24765386046993354</v>
      </c>
      <c r="AQ370" s="12">
        <f>bdrate(E372:E375,H372:H375,AC372:AC375,AF372:AF375)</f>
        <v>-0.34045289481137042</v>
      </c>
      <c r="AR370" s="12">
        <f>bdrate(E372:E375,I372:I375,AC372:AC375,AG372:AG375)</f>
        <v>-0.19166706958243229</v>
      </c>
      <c r="AS370" s="14">
        <f>bdrate(E372:E375,K372:K375,AC372:AC375,AI372:AI375)</f>
        <v>-0.26721396254542029</v>
      </c>
      <c r="AT370" s="7">
        <v>3.2</v>
      </c>
      <c r="AU370" s="1">
        <v>1.43355143229166</v>
      </c>
      <c r="AV370" s="1">
        <v>34.941758064364201</v>
      </c>
      <c r="AW370" s="1">
        <v>0.99673266142625505</v>
      </c>
      <c r="AX370" s="1">
        <v>24.8580585998732</v>
      </c>
      <c r="AY370" s="1">
        <v>37.849146325175603</v>
      </c>
      <c r="AZ370" s="1">
        <v>0.99756942446094798</v>
      </c>
      <c r="BA370" s="1">
        <v>26.142908770854099</v>
      </c>
      <c r="BB370" s="1">
        <v>329.341998338699</v>
      </c>
      <c r="BC370" s="1">
        <v>131.570399284362</v>
      </c>
      <c r="BD370" s="13">
        <f>bdrate(E370:E373,F370:F373,AU370:AU373,AV370:AV373)</f>
        <v>0.13043596085427245</v>
      </c>
      <c r="BE370" s="12">
        <f>bdrate(E370:E373,H370:H373,AU370:AU373,AX370:AX373)</f>
        <v>-0.5662773901778273</v>
      </c>
      <c r="BF370" s="12">
        <f>bdrate(E370:E373,I370:I373,AU370:AU373,AY370:AY373)</f>
        <v>0.19063738151065746</v>
      </c>
      <c r="BG370" s="14">
        <f>bdrate(E370:E373,K370:K373,AU370:AU373,BA370:BA373)</f>
        <v>-0.51793438724607843</v>
      </c>
      <c r="BH370" s="12">
        <f>bdrate(E372:E375,F372:F375,AU372:AU375,AV372:AV375)</f>
        <v>-6.8223073383167132E-2</v>
      </c>
      <c r="BI370" s="12">
        <f>bdrate(E372:E375,H372:H375,AU372:AU375,AX372:AX375)</f>
        <v>-0.50870444792171732</v>
      </c>
      <c r="BJ370" s="12">
        <f>bdrate(E372:E375,I372:I375,AU372:AU375,AY372:AY375)</f>
        <v>-1.1276877515528194E-2</v>
      </c>
      <c r="BK370" s="14">
        <f>bdrate(E372:E375,K372:K375,AU372:AU375,BA372:BA375)</f>
        <v>-0.43930169844296729</v>
      </c>
    </row>
    <row r="371" spans="1:63">
      <c r="A371" s="49"/>
      <c r="B371" s="7" t="s">
        <v>18</v>
      </c>
      <c r="C371" s="17">
        <v>1</v>
      </c>
      <c r="D371" s="7">
        <v>31</v>
      </c>
      <c r="E371" s="1">
        <v>0.974244791666666</v>
      </c>
      <c r="F371" s="1">
        <v>33.8415466825005</v>
      </c>
      <c r="G371" s="1">
        <v>0.98489199349721901</v>
      </c>
      <c r="H371" s="1">
        <v>18.207928369156601</v>
      </c>
      <c r="I371" s="1">
        <v>37.091973983198898</v>
      </c>
      <c r="J371" s="1">
        <v>0.98954421100972101</v>
      </c>
      <c r="K371" s="8">
        <v>19.806431898959801</v>
      </c>
      <c r="L371" s="7">
        <v>28</v>
      </c>
      <c r="M371" s="1">
        <v>0.94032877604166598</v>
      </c>
      <c r="N371" s="1">
        <v>35.064429592436497</v>
      </c>
      <c r="O371" s="1">
        <v>0.987880719449859</v>
      </c>
      <c r="P371" s="1">
        <v>19.165231608939798</v>
      </c>
      <c r="Q371" s="1">
        <v>38.389375717756202</v>
      </c>
      <c r="R371" s="1">
        <v>0.99135921350134504</v>
      </c>
      <c r="S371" s="1">
        <v>20.634467255211302</v>
      </c>
      <c r="T371" s="7"/>
      <c r="U371" s="1"/>
      <c r="V371" s="1"/>
      <c r="W371" s="8"/>
      <c r="X371" s="7"/>
      <c r="Y371" s="1"/>
      <c r="Z371" s="1"/>
      <c r="AA371" s="8"/>
      <c r="AB371" s="7">
        <v>32</v>
      </c>
      <c r="AC371" s="1">
        <v>0.984983723958333</v>
      </c>
      <c r="AD371" s="1">
        <v>35.094233009513601</v>
      </c>
      <c r="AE371" s="1">
        <v>0.98987246007115204</v>
      </c>
      <c r="AF371" s="1">
        <v>19.9449603589118</v>
      </c>
      <c r="AG371" s="1">
        <v>37.9210218882939</v>
      </c>
      <c r="AH371" s="1">
        <v>0.99232403344200404</v>
      </c>
      <c r="AI371" s="1">
        <v>21.1486692603008</v>
      </c>
      <c r="AJ371" s="1">
        <v>40.999210357666001</v>
      </c>
      <c r="AK371" s="1">
        <v>20.924366950988698</v>
      </c>
      <c r="AL371" s="7"/>
      <c r="AM371" s="1"/>
      <c r="AN371" s="1"/>
      <c r="AO371" s="8"/>
      <c r="AP371" s="1"/>
      <c r="AQ371" s="1"/>
      <c r="AR371" s="1"/>
      <c r="AS371" s="8"/>
      <c r="AT371" s="7">
        <v>1.28</v>
      </c>
      <c r="AU371" s="1">
        <v>0.93555664062499999</v>
      </c>
      <c r="AV371" s="1">
        <v>32.674925642572099</v>
      </c>
      <c r="AW371" s="1">
        <v>0.99417248648696799</v>
      </c>
      <c r="AX371" s="1">
        <v>22.345167107497801</v>
      </c>
      <c r="AY371" s="1">
        <v>35.647763639499601</v>
      </c>
      <c r="AZ371" s="1">
        <v>0.99562713368765099</v>
      </c>
      <c r="BA371" s="1">
        <v>23.592337997411001</v>
      </c>
      <c r="BB371" s="1">
        <v>93.601702928543006</v>
      </c>
      <c r="BC371" s="1">
        <v>40.240611314773503</v>
      </c>
      <c r="BD371" s="7"/>
      <c r="BE371" s="1"/>
      <c r="BF371" s="1"/>
      <c r="BG371" s="8"/>
      <c r="BH371" s="1"/>
      <c r="BI371" s="1"/>
      <c r="BJ371" s="1"/>
      <c r="BK371" s="8"/>
    </row>
    <row r="372" spans="1:63">
      <c r="A372" s="49"/>
      <c r="B372" s="7" t="s">
        <v>18</v>
      </c>
      <c r="C372" s="17">
        <v>0.5</v>
      </c>
      <c r="D372" s="7">
        <v>37</v>
      </c>
      <c r="E372" s="1">
        <v>0.447626953125</v>
      </c>
      <c r="F372" s="1">
        <v>30.078061229503799</v>
      </c>
      <c r="G372" s="1">
        <v>0.96816064041690497</v>
      </c>
      <c r="H372" s="1">
        <v>14.9703567624609</v>
      </c>
      <c r="I372" s="1">
        <v>33.288415174080598</v>
      </c>
      <c r="J372" s="1">
        <v>0.97740083483642204</v>
      </c>
      <c r="K372" s="8">
        <v>16.459076038414501</v>
      </c>
      <c r="L372" s="7">
        <v>34</v>
      </c>
      <c r="M372" s="1">
        <v>0.45066406250000002</v>
      </c>
      <c r="N372" s="1">
        <v>31.473405344192301</v>
      </c>
      <c r="O372" s="1">
        <v>0.975341185021389</v>
      </c>
      <c r="P372" s="1">
        <v>16.080277980004698</v>
      </c>
      <c r="Q372" s="1">
        <v>34.787260172900602</v>
      </c>
      <c r="R372" s="1">
        <v>0.98190283471412698</v>
      </c>
      <c r="S372" s="1">
        <v>17.423894470709801</v>
      </c>
      <c r="T372" s="7"/>
      <c r="U372" s="1"/>
      <c r="V372" s="1"/>
      <c r="W372" s="8"/>
      <c r="X372" s="7"/>
      <c r="Y372" s="1"/>
      <c r="Z372" s="1"/>
      <c r="AA372" s="8"/>
      <c r="AB372" s="7">
        <v>16</v>
      </c>
      <c r="AC372" s="1">
        <v>0.668821614583333</v>
      </c>
      <c r="AD372" s="1">
        <v>33.115005582648401</v>
      </c>
      <c r="AE372" s="1">
        <v>0.98510087413403902</v>
      </c>
      <c r="AF372" s="1">
        <v>18.268392109653099</v>
      </c>
      <c r="AG372" s="1">
        <v>35.9656120630519</v>
      </c>
      <c r="AH372" s="1">
        <v>0.98860461365528096</v>
      </c>
      <c r="AI372" s="1">
        <v>19.432709460838701</v>
      </c>
      <c r="AJ372" s="1">
        <v>44.078110218048003</v>
      </c>
      <c r="AK372" s="1">
        <v>26.429175853729198</v>
      </c>
      <c r="AL372" s="7"/>
      <c r="AM372" s="1"/>
      <c r="AN372" s="1"/>
      <c r="AO372" s="8"/>
      <c r="AP372" s="1"/>
      <c r="AQ372" s="1"/>
      <c r="AR372" s="1"/>
      <c r="AS372" s="8"/>
      <c r="AT372" s="7">
        <v>0.32</v>
      </c>
      <c r="AU372" s="1">
        <v>0.48067382812499998</v>
      </c>
      <c r="AV372" s="1">
        <v>30.2363358789096</v>
      </c>
      <c r="AW372" s="1">
        <v>0.98697905297992905</v>
      </c>
      <c r="AX372" s="1">
        <v>18.853574281615298</v>
      </c>
      <c r="AY372" s="1">
        <v>33.231766981520799</v>
      </c>
      <c r="AZ372" s="1">
        <v>0.98993570460108904</v>
      </c>
      <c r="BA372" s="1">
        <v>19.972166246577299</v>
      </c>
      <c r="BB372" s="1">
        <v>64.714850187301593</v>
      </c>
      <c r="BC372" s="1">
        <v>42.128305196762</v>
      </c>
      <c r="BD372" s="7"/>
      <c r="BE372" s="1"/>
      <c r="BF372" s="1"/>
      <c r="BG372" s="8"/>
      <c r="BH372" s="1"/>
      <c r="BI372" s="1"/>
      <c r="BJ372" s="1"/>
      <c r="BK372" s="8"/>
    </row>
    <row r="373" spans="1:63">
      <c r="A373" s="49"/>
      <c r="B373" s="7" t="s">
        <v>18</v>
      </c>
      <c r="C373" s="17">
        <v>0.25</v>
      </c>
      <c r="D373" s="7">
        <v>42</v>
      </c>
      <c r="E373" s="1">
        <v>0.214840494791666</v>
      </c>
      <c r="F373" s="1">
        <v>27.183362114748501</v>
      </c>
      <c r="G373" s="1">
        <v>0.94065769912383501</v>
      </c>
      <c r="H373" s="1">
        <v>12.2663561881376</v>
      </c>
      <c r="I373" s="1">
        <v>30.3778239823822</v>
      </c>
      <c r="J373" s="1">
        <v>0.95619439778568804</v>
      </c>
      <c r="K373" s="8">
        <v>13.5847034485711</v>
      </c>
      <c r="L373" s="7">
        <v>39</v>
      </c>
      <c r="M373" s="1">
        <v>0.227932942708333</v>
      </c>
      <c r="N373" s="1">
        <v>28.5751817846111</v>
      </c>
      <c r="O373" s="1">
        <v>0.95506843211986103</v>
      </c>
      <c r="P373" s="1">
        <v>13.474484265035199</v>
      </c>
      <c r="Q373" s="1">
        <v>31.8803189062005</v>
      </c>
      <c r="R373" s="1">
        <v>0.96599512695355105</v>
      </c>
      <c r="S373" s="1">
        <v>14.684588422067</v>
      </c>
      <c r="T373" s="7"/>
      <c r="U373" s="1"/>
      <c r="V373" s="1"/>
      <c r="W373" s="8"/>
      <c r="X373" s="7"/>
      <c r="Y373" s="1"/>
      <c r="Z373" s="1"/>
      <c r="AA373" s="8"/>
      <c r="AB373" s="7">
        <v>8</v>
      </c>
      <c r="AC373" s="1">
        <v>0.46516601562499998</v>
      </c>
      <c r="AD373" s="1">
        <v>31.480603341684301</v>
      </c>
      <c r="AE373" s="1">
        <v>0.97885335361039905</v>
      </c>
      <c r="AF373" s="1">
        <v>16.7475849684559</v>
      </c>
      <c r="AG373" s="1">
        <v>34.361002662872799</v>
      </c>
      <c r="AH373" s="1">
        <v>0.98366724874581202</v>
      </c>
      <c r="AI373" s="1">
        <v>17.869406521359899</v>
      </c>
      <c r="AJ373" s="1">
        <v>32.549459934234598</v>
      </c>
      <c r="AK373" s="1">
        <v>19.4302432537078</v>
      </c>
      <c r="AL373" s="7"/>
      <c r="AM373" s="1"/>
      <c r="AN373" s="1"/>
      <c r="AO373" s="8"/>
      <c r="AP373" s="1"/>
      <c r="AQ373" s="1"/>
      <c r="AR373" s="1"/>
      <c r="AS373" s="8"/>
      <c r="AT373" s="7">
        <v>0.16</v>
      </c>
      <c r="AU373" s="1">
        <v>0.33091471354166602</v>
      </c>
      <c r="AV373" s="1">
        <v>29.023119973784699</v>
      </c>
      <c r="AW373" s="1">
        <v>0.979808404099755</v>
      </c>
      <c r="AX373" s="1">
        <v>16.948293539994399</v>
      </c>
      <c r="AY373" s="1">
        <v>32.016790967728099</v>
      </c>
      <c r="AZ373" s="1">
        <v>0.98402188749357</v>
      </c>
      <c r="BA373" s="1">
        <v>17.964745251758298</v>
      </c>
      <c r="BB373" s="1">
        <v>44.437868833541799</v>
      </c>
      <c r="BC373" s="1">
        <v>30.247144699096602</v>
      </c>
      <c r="BD373" s="7"/>
      <c r="BE373" s="1"/>
      <c r="BF373" s="1"/>
      <c r="BG373" s="8"/>
      <c r="BH373" s="1"/>
      <c r="BI373" s="1"/>
      <c r="BJ373" s="1"/>
      <c r="BK373" s="8"/>
    </row>
    <row r="374" spans="1:63">
      <c r="A374" s="49"/>
      <c r="B374" s="7" t="s">
        <v>18</v>
      </c>
      <c r="C374" s="17">
        <v>0.12</v>
      </c>
      <c r="D374" s="7">
        <v>46</v>
      </c>
      <c r="E374" s="1">
        <v>0.116009114583333</v>
      </c>
      <c r="F374" s="1">
        <v>25.168919934682801</v>
      </c>
      <c r="G374" s="1">
        <v>0.90551766971655201</v>
      </c>
      <c r="H374" s="1">
        <v>10.246494039554801</v>
      </c>
      <c r="I374" s="1">
        <v>28.338927407501799</v>
      </c>
      <c r="J374" s="1">
        <v>0.92659086512796696</v>
      </c>
      <c r="K374" s="8">
        <v>11.3424989406662</v>
      </c>
      <c r="L374" s="7">
        <v>44</v>
      </c>
      <c r="M374" s="1">
        <v>0.109039713541666</v>
      </c>
      <c r="N374" s="1">
        <v>25.935305208631799</v>
      </c>
      <c r="O374" s="1">
        <v>0.91846534033595595</v>
      </c>
      <c r="P374" s="1">
        <v>10.8865773725949</v>
      </c>
      <c r="Q374" s="1">
        <v>29.214047033593602</v>
      </c>
      <c r="R374" s="1">
        <v>0.93553545967872798</v>
      </c>
      <c r="S374" s="1">
        <v>11.906791098222399</v>
      </c>
      <c r="T374" s="7"/>
      <c r="U374" s="1"/>
      <c r="V374" s="1"/>
      <c r="W374" s="8"/>
      <c r="X374" s="7"/>
      <c r="Y374" s="1"/>
      <c r="Z374" s="1"/>
      <c r="AA374" s="8"/>
      <c r="AB374" s="7">
        <v>4</v>
      </c>
      <c r="AC374" s="1">
        <v>0.31174804687500002</v>
      </c>
      <c r="AD374" s="1">
        <v>29.665418669074199</v>
      </c>
      <c r="AE374" s="1">
        <v>0.96915920745736595</v>
      </c>
      <c r="AF374" s="1">
        <v>15.1087447003516</v>
      </c>
      <c r="AG374" s="1">
        <v>32.583737090251098</v>
      </c>
      <c r="AH374" s="1">
        <v>0.97592324391441798</v>
      </c>
      <c r="AI374" s="1">
        <v>16.1840202692558</v>
      </c>
      <c r="AJ374" s="1">
        <v>44.163796186447101</v>
      </c>
      <c r="AK374" s="1">
        <v>31.9482307434082</v>
      </c>
      <c r="AL374" s="7"/>
      <c r="AM374" s="1"/>
      <c r="AN374" s="1"/>
      <c r="AO374" s="8"/>
      <c r="AP374" s="1"/>
      <c r="AQ374" s="1"/>
      <c r="AR374" s="1"/>
      <c r="AS374" s="8"/>
      <c r="AT374" s="7">
        <v>0.08</v>
      </c>
      <c r="AU374" s="1">
        <v>0.22713216145833301</v>
      </c>
      <c r="AV374" s="1">
        <v>27.702748215394301</v>
      </c>
      <c r="AW374" s="1">
        <v>0.96946763284623505</v>
      </c>
      <c r="AX374" s="1">
        <v>15.152395238387401</v>
      </c>
      <c r="AY374" s="1">
        <v>30.6949098343736</v>
      </c>
      <c r="AZ374" s="1">
        <v>0.97542958576440797</v>
      </c>
      <c r="BA374" s="1">
        <v>16.095875216348901</v>
      </c>
      <c r="BB374" s="1">
        <v>30.3130168914794</v>
      </c>
      <c r="BC374" s="1">
        <v>19.0865960121154</v>
      </c>
      <c r="BD374" s="7"/>
      <c r="BE374" s="1"/>
      <c r="BF374" s="1"/>
      <c r="BG374" s="8"/>
      <c r="BH374" s="1"/>
      <c r="BI374" s="1"/>
      <c r="BJ374" s="1"/>
      <c r="BK374" s="8"/>
    </row>
    <row r="375" spans="1:63">
      <c r="A375" s="49"/>
      <c r="B375" s="7" t="s">
        <v>18</v>
      </c>
      <c r="C375" s="17">
        <v>0.06</v>
      </c>
      <c r="D375" s="7">
        <v>51</v>
      </c>
      <c r="E375" s="1">
        <v>5.32063802083333E-2</v>
      </c>
      <c r="F375" s="1">
        <v>22.935995824139699</v>
      </c>
      <c r="G375" s="1">
        <v>0.83910961877144297</v>
      </c>
      <c r="H375" s="1">
        <v>7.9346991925851897</v>
      </c>
      <c r="I375" s="1">
        <v>26.098155211388299</v>
      </c>
      <c r="J375" s="1">
        <v>0.86639466022776201</v>
      </c>
      <c r="K375" s="8">
        <v>8.7417618417129308</v>
      </c>
      <c r="L375" s="7">
        <v>48</v>
      </c>
      <c r="M375" s="1">
        <v>5.8802083333333303E-2</v>
      </c>
      <c r="N375" s="1">
        <v>24.0195851582979</v>
      </c>
      <c r="O375" s="1">
        <v>0.87173813640077202</v>
      </c>
      <c r="P375" s="1">
        <v>8.9190245422868593</v>
      </c>
      <c r="Q375" s="1">
        <v>27.265936355023101</v>
      </c>
      <c r="R375" s="1">
        <v>0.89378689824780799</v>
      </c>
      <c r="S375" s="1">
        <v>9.7382190822890102</v>
      </c>
      <c r="T375" s="7"/>
      <c r="U375" s="1"/>
      <c r="V375" s="1"/>
      <c r="W375" s="8"/>
      <c r="X375" s="7"/>
      <c r="Y375" s="1"/>
      <c r="Z375" s="1"/>
      <c r="AA375" s="8"/>
      <c r="AB375" s="7">
        <v>2</v>
      </c>
      <c r="AC375" s="1">
        <v>0.18879231770833299</v>
      </c>
      <c r="AD375" s="1">
        <v>27.872768949489</v>
      </c>
      <c r="AE375" s="1">
        <v>0.95391594869749297</v>
      </c>
      <c r="AF375" s="1">
        <v>13.364493485739301</v>
      </c>
      <c r="AG375" s="1">
        <v>30.810338572604898</v>
      </c>
      <c r="AH375" s="1">
        <v>0.96367379723936697</v>
      </c>
      <c r="AI375" s="1">
        <v>14.3977999730088</v>
      </c>
      <c r="AJ375" s="1">
        <v>52.989162921905503</v>
      </c>
      <c r="AK375" s="1">
        <v>39.743771791458101</v>
      </c>
      <c r="AL375" s="7"/>
      <c r="AM375" s="1"/>
      <c r="AN375" s="1"/>
      <c r="AO375" s="8"/>
      <c r="AP375" s="1"/>
      <c r="AQ375" s="1"/>
      <c r="AR375" s="1"/>
      <c r="AS375" s="8"/>
      <c r="AT375" s="7">
        <v>0.04</v>
      </c>
      <c r="AU375" s="1">
        <v>0.14809570312500001</v>
      </c>
      <c r="AV375" s="1">
        <v>26.343998778770398</v>
      </c>
      <c r="AW375" s="1">
        <v>0.95479873125535597</v>
      </c>
      <c r="AX375" s="1">
        <v>13.4484937489957</v>
      </c>
      <c r="AY375" s="1">
        <v>29.301550019394501</v>
      </c>
      <c r="AZ375" s="1">
        <v>0.963180969538601</v>
      </c>
      <c r="BA375" s="1">
        <v>14.3392765175835</v>
      </c>
      <c r="BB375" s="1">
        <v>36.701982736587503</v>
      </c>
      <c r="BC375" s="1">
        <v>26.651368141174299</v>
      </c>
      <c r="BD375" s="7"/>
      <c r="BE375" s="1"/>
      <c r="BF375" s="1"/>
      <c r="BG375" s="8"/>
      <c r="BH375" s="1"/>
      <c r="BI375" s="1"/>
      <c r="BJ375" s="1"/>
      <c r="BK375" s="8"/>
    </row>
    <row r="376" spans="1:63">
      <c r="A376" s="49"/>
      <c r="B376" s="7" t="s">
        <v>83</v>
      </c>
      <c r="C376" s="17">
        <v>1.5</v>
      </c>
      <c r="D376" s="7">
        <v>17</v>
      </c>
      <c r="E376" s="1">
        <v>1.4264496527777699</v>
      </c>
      <c r="F376" s="1">
        <v>44.651936318318199</v>
      </c>
      <c r="G376" s="1">
        <v>0.994965428320568</v>
      </c>
      <c r="H376" s="1">
        <v>22.980374715198401</v>
      </c>
      <c r="I376" s="1">
        <v>48.362848799529203</v>
      </c>
      <c r="J376" s="1">
        <v>0.99780298679565405</v>
      </c>
      <c r="K376" s="8">
        <v>26.581673329033499</v>
      </c>
      <c r="L376" s="7">
        <v>15</v>
      </c>
      <c r="M376" s="1">
        <v>1.40772135416666</v>
      </c>
      <c r="N376" s="1">
        <v>44.905571676736102</v>
      </c>
      <c r="O376" s="1">
        <v>0.99506867539266697</v>
      </c>
      <c r="P376" s="1">
        <v>23.0703640883909</v>
      </c>
      <c r="Q376" s="1">
        <v>48.728267800074399</v>
      </c>
      <c r="R376" s="1">
        <v>0.99802732630644397</v>
      </c>
      <c r="S376" s="1">
        <v>27.049447468857799</v>
      </c>
      <c r="T376" s="13">
        <f>bdrate(E376:E379,F376:F379,M376:M379,N376:N379)</f>
        <v>-0.15375804308282348</v>
      </c>
      <c r="U376" s="12">
        <f>bdrate(E376:E379,H376:H379,M376:M379,P376:P379)</f>
        <v>-0.11062043019064205</v>
      </c>
      <c r="V376" s="12">
        <f>bdrate(E376:E379,I376:I379,M376:M379,Q376:Q379)</f>
        <v>-0.17147098379436043</v>
      </c>
      <c r="W376" s="14">
        <f>bdrate(E376:E379,K376:K379,M376:M379,S376:S379)</f>
        <v>-0.13997569736864435</v>
      </c>
      <c r="X376" s="13">
        <f>bdrate(E378:E381,F378:F381,M378:M381,N378:N381)</f>
        <v>-0.30547281113235247</v>
      </c>
      <c r="Y376" s="12">
        <f>bdrate(E378:E381,H378:H381,M378:M381,P378:P381)</f>
        <v>-0.26568305455131058</v>
      </c>
      <c r="Z376" s="12">
        <f>bdrate(E378:E381,I378:I381,M378:M381,Q378:Q381)</f>
        <v>-0.3070514087860754</v>
      </c>
      <c r="AA376" s="14">
        <f>bdrate(E378:E381,K378:K381,M378:M381,S378:S381)</f>
        <v>-0.27102364569427051</v>
      </c>
      <c r="AB376" s="7">
        <v>256</v>
      </c>
      <c r="AC376" s="1">
        <v>0.78398654513888799</v>
      </c>
      <c r="AD376" s="1">
        <v>43.588581694037899</v>
      </c>
      <c r="AE376" s="1">
        <v>0.99296758958217901</v>
      </c>
      <c r="AF376" s="1">
        <v>21.528957913766401</v>
      </c>
      <c r="AG376" s="1">
        <v>46.993356132012501</v>
      </c>
      <c r="AH376" s="1">
        <v>0.99687164677585105</v>
      </c>
      <c r="AI376" s="1">
        <v>25.046842164057701</v>
      </c>
      <c r="AJ376" s="1">
        <v>269.61292624473498</v>
      </c>
      <c r="AK376" s="1">
        <v>116.20301198959299</v>
      </c>
      <c r="AL376" s="13">
        <f>bdrate(E376:E379,F376:F379,AC376:AC379,AD376:AD379)</f>
        <v>-0.19617973251874887</v>
      </c>
      <c r="AM376" s="12">
        <f>bdrate(E376:E379,H376:H379,AC376:AC379,AF376:AF379)</f>
        <v>-0.20752683953091333</v>
      </c>
      <c r="AN376" s="12">
        <f>bdrate(E376:E379,I376:I379,AC376:AC379,AG376:AG379)</f>
        <v>-0.13462277314337734</v>
      </c>
      <c r="AO376" s="14">
        <f>bdrate(E376:E379,K376:K379,AC376:AC379,AI376:AI379)</f>
        <v>-0.29515688258011863</v>
      </c>
      <c r="AP376" s="12">
        <f>bdrate(E378:E381,F378:F381,AC378:AC381,AD378:AD381)</f>
        <v>-0.23649384363886783</v>
      </c>
      <c r="AQ376" s="12">
        <f>bdrate(E378:E381,H378:H381,AC378:AC381,AF378:AF381)</f>
        <v>-0.29245472439843101</v>
      </c>
      <c r="AR376" s="12">
        <f>bdrate(E378:E381,I378:I381,AC378:AC381,AG378:AG381)</f>
        <v>-0.17392475585096356</v>
      </c>
      <c r="AS376" s="14">
        <f>bdrate(E378:E381,K378:K381,AC378:AC381,AI378:AI381)</f>
        <v>-0.29873790879472539</v>
      </c>
      <c r="AT376" s="7">
        <v>6.4</v>
      </c>
      <c r="AU376" s="1">
        <v>1.51696397569444</v>
      </c>
      <c r="AV376" s="1">
        <v>43.625028004950202</v>
      </c>
      <c r="AW376" s="1">
        <v>0.99807183696377999</v>
      </c>
      <c r="AX376" s="1">
        <v>27.148562470219101</v>
      </c>
      <c r="AY376" s="1">
        <v>46.417300020085499</v>
      </c>
      <c r="AZ376" s="1">
        <v>0.99897637842527998</v>
      </c>
      <c r="BA376" s="1">
        <v>29.8986056912827</v>
      </c>
      <c r="BB376" s="1">
        <v>727.95539283752396</v>
      </c>
      <c r="BC376" s="1">
        <v>144.772221326828</v>
      </c>
      <c r="BD376" s="13">
        <f>bdrate(E376:E379,F376:F379,AU376:AU379,AV376:AV379)</f>
        <v>0.82007849067825433</v>
      </c>
      <c r="BE376" s="12">
        <f>bdrate(E376:E379,H376:H379,AU376:AU379,AX376:AX379)</f>
        <v>-0.52361508693952308</v>
      </c>
      <c r="BF376" s="12">
        <f>bdrate(E376:E379,I376:I379,AU376:AU379,AY376:AY379)</f>
        <v>1.5445467833685922</v>
      </c>
      <c r="BG376" s="14">
        <f>bdrate(E376:E379,K376:K379,AU376:AU379,BA376:BA379)</f>
        <v>-0.48438732000879703</v>
      </c>
      <c r="BH376" s="12">
        <f>bdrate(E378:E381,F378:F381,AU378:AU381,AV378:AV381)</f>
        <v>0.60189416420490716</v>
      </c>
      <c r="BI376" s="12">
        <f>bdrate(E378:E381,H378:H381,AU378:AU381,AX378:AX381)</f>
        <v>-0.5756558147108517</v>
      </c>
      <c r="BJ376" s="12">
        <f>bdrate(E378:E381,I378:I381,AU378:AU381,AY378:AY381)</f>
        <v>0.96892339503124369</v>
      </c>
      <c r="BK376" s="14">
        <f>bdrate(E378:E381,K378:K381,AU378:AU381,BA378:BA381)</f>
        <v>-0.4343720335126684</v>
      </c>
    </row>
    <row r="377" spans="1:63">
      <c r="A377" s="49"/>
      <c r="B377" s="7" t="s">
        <v>18</v>
      </c>
      <c r="C377" s="17">
        <v>1</v>
      </c>
      <c r="D377" s="7">
        <v>20</v>
      </c>
      <c r="E377" s="1">
        <v>0.85389973958333298</v>
      </c>
      <c r="F377" s="1">
        <v>43.181036862246401</v>
      </c>
      <c r="G377" s="1">
        <v>0.99189495873853695</v>
      </c>
      <c r="H377" s="1">
        <v>20.9124476988639</v>
      </c>
      <c r="I377" s="1">
        <v>46.821910230733501</v>
      </c>
      <c r="J377" s="1">
        <v>0.99626770503810902</v>
      </c>
      <c r="K377" s="8">
        <v>24.280240414369</v>
      </c>
      <c r="L377" s="7">
        <v>17</v>
      </c>
      <c r="M377" s="1">
        <v>0.98729600694444397</v>
      </c>
      <c r="N377" s="1">
        <v>43.858501108281096</v>
      </c>
      <c r="O377" s="1">
        <v>0.99324998360581596</v>
      </c>
      <c r="P377" s="1">
        <v>21.706951723697198</v>
      </c>
      <c r="Q377" s="1">
        <v>47.559421308124598</v>
      </c>
      <c r="R377" s="1">
        <v>0.99704513215511903</v>
      </c>
      <c r="S377" s="1">
        <v>25.294619379714302</v>
      </c>
      <c r="T377" s="7"/>
      <c r="U377" s="1"/>
      <c r="V377" s="1"/>
      <c r="W377" s="8"/>
      <c r="X377" s="7"/>
      <c r="Y377" s="1"/>
      <c r="Z377" s="1"/>
      <c r="AA377" s="8"/>
      <c r="AB377" s="7">
        <v>128</v>
      </c>
      <c r="AC377" s="1">
        <v>0.47422526041666602</v>
      </c>
      <c r="AD377" s="1">
        <v>42.208966822415803</v>
      </c>
      <c r="AE377" s="1">
        <v>0.98908479521993897</v>
      </c>
      <c r="AF377" s="1">
        <v>19.619681120834599</v>
      </c>
      <c r="AG377" s="1">
        <v>45.733200731932101</v>
      </c>
      <c r="AH377" s="1">
        <v>0.99563571069879897</v>
      </c>
      <c r="AI377" s="1">
        <v>23.600864684983001</v>
      </c>
      <c r="AJ377" s="1">
        <v>350.84531140327402</v>
      </c>
      <c r="AK377" s="1">
        <v>116.429574728012</v>
      </c>
      <c r="AL377" s="7"/>
      <c r="AM377" s="1"/>
      <c r="AN377" s="1"/>
      <c r="AO377" s="8"/>
      <c r="AP377" s="1"/>
      <c r="AQ377" s="1"/>
      <c r="AR377" s="1"/>
      <c r="AS377" s="8"/>
      <c r="AT377" s="7">
        <v>3.2</v>
      </c>
      <c r="AU377" s="1">
        <v>1.1040776909722201</v>
      </c>
      <c r="AV377" s="1">
        <v>42.342406433650403</v>
      </c>
      <c r="AW377" s="1">
        <v>0.99709492701008795</v>
      </c>
      <c r="AX377" s="1">
        <v>25.368429514947898</v>
      </c>
      <c r="AY377" s="1">
        <v>45.112265345070099</v>
      </c>
      <c r="AZ377" s="1">
        <v>0.99855202396490395</v>
      </c>
      <c r="BA377" s="1">
        <v>28.392386259234001</v>
      </c>
      <c r="BB377" s="1">
        <v>410.18900442123402</v>
      </c>
      <c r="BC377" s="1">
        <v>192.87748050689601</v>
      </c>
      <c r="BD377" s="7"/>
      <c r="BE377" s="1"/>
      <c r="BF377" s="1"/>
      <c r="BG377" s="8"/>
      <c r="BH377" s="1"/>
      <c r="BI377" s="1"/>
      <c r="BJ377" s="1"/>
      <c r="BK377" s="8"/>
    </row>
    <row r="378" spans="1:63">
      <c r="A378" s="49"/>
      <c r="B378" s="7" t="s">
        <v>18</v>
      </c>
      <c r="C378" s="17">
        <v>0.5</v>
      </c>
      <c r="D378" s="7">
        <v>24</v>
      </c>
      <c r="E378" s="1">
        <v>0.46372178819444398</v>
      </c>
      <c r="F378" s="1">
        <v>41.5702954750545</v>
      </c>
      <c r="G378" s="1">
        <v>0.986983914198442</v>
      </c>
      <c r="H378" s="1">
        <v>18.8551959720855</v>
      </c>
      <c r="I378" s="1">
        <v>45.307924784718097</v>
      </c>
      <c r="J378" s="1">
        <v>0.99463937989423301</v>
      </c>
      <c r="K378" s="8">
        <v>22.707849690879598</v>
      </c>
      <c r="L378" s="7">
        <v>21</v>
      </c>
      <c r="M378" s="1">
        <v>0.47907552083333299</v>
      </c>
      <c r="N378" s="1">
        <v>42.127996054171199</v>
      </c>
      <c r="O378" s="1">
        <v>0.98846976636335704</v>
      </c>
      <c r="P378" s="1">
        <v>19.3816189252519</v>
      </c>
      <c r="Q378" s="1">
        <v>45.894629449254602</v>
      </c>
      <c r="R378" s="1">
        <v>0.99512589697246501</v>
      </c>
      <c r="S378" s="1">
        <v>23.1210529504934</v>
      </c>
      <c r="T378" s="7"/>
      <c r="U378" s="1"/>
      <c r="V378" s="1"/>
      <c r="W378" s="8"/>
      <c r="X378" s="7"/>
      <c r="Y378" s="1"/>
      <c r="Z378" s="1"/>
      <c r="AA378" s="8"/>
      <c r="AB378" s="7">
        <v>64</v>
      </c>
      <c r="AC378" s="1">
        <v>0.314494357638888</v>
      </c>
      <c r="AD378" s="1">
        <v>41.025243269879397</v>
      </c>
      <c r="AE378" s="1">
        <v>0.98539812495538404</v>
      </c>
      <c r="AF378" s="1">
        <v>18.355913723495501</v>
      </c>
      <c r="AG378" s="1">
        <v>44.579140936461101</v>
      </c>
      <c r="AH378" s="1">
        <v>0.99453603977960703</v>
      </c>
      <c r="AI378" s="1">
        <v>22.624924711359501</v>
      </c>
      <c r="AJ378" s="1">
        <v>73.689870357513399</v>
      </c>
      <c r="AK378" s="1">
        <v>42.4993348121643</v>
      </c>
      <c r="AL378" s="7"/>
      <c r="AM378" s="1"/>
      <c r="AN378" s="1"/>
      <c r="AO378" s="8"/>
      <c r="AP378" s="1"/>
      <c r="AQ378" s="1"/>
      <c r="AR378" s="1"/>
      <c r="AS378" s="8"/>
      <c r="AT378" s="7">
        <v>0.64</v>
      </c>
      <c r="AU378" s="1">
        <v>0.39935546875</v>
      </c>
      <c r="AV378" s="1">
        <v>39.370761055900303</v>
      </c>
      <c r="AW378" s="1">
        <v>0.99169270957182099</v>
      </c>
      <c r="AX378" s="1">
        <v>20.805406060569201</v>
      </c>
      <c r="AY378" s="1">
        <v>42.1401584105597</v>
      </c>
      <c r="AZ378" s="1">
        <v>0.99600744200884705</v>
      </c>
      <c r="BA378" s="1">
        <v>23.987487670981999</v>
      </c>
      <c r="BB378" s="1">
        <v>105.682661056518</v>
      </c>
      <c r="BC378" s="1">
        <v>52.898691415786701</v>
      </c>
      <c r="BD378" s="7"/>
      <c r="BE378" s="1"/>
      <c r="BF378" s="1"/>
      <c r="BG378" s="8"/>
      <c r="BH378" s="1"/>
      <c r="BI378" s="1"/>
      <c r="BJ378" s="1"/>
      <c r="BK378" s="8"/>
    </row>
    <row r="379" spans="1:63">
      <c r="A379" s="49"/>
      <c r="B379" s="7" t="s">
        <v>18</v>
      </c>
      <c r="C379" s="17">
        <v>0.25</v>
      </c>
      <c r="D379" s="7">
        <v>29</v>
      </c>
      <c r="E379" s="1">
        <v>0.225685763888888</v>
      </c>
      <c r="F379" s="1">
        <v>39.604405795696799</v>
      </c>
      <c r="G379" s="1">
        <v>0.97918410216617602</v>
      </c>
      <c r="H379" s="1">
        <v>16.816048523310702</v>
      </c>
      <c r="I379" s="1">
        <v>43.334284587285097</v>
      </c>
      <c r="J379" s="1">
        <v>0.99237173299764103</v>
      </c>
      <c r="K379" s="8">
        <v>21.175741143122401</v>
      </c>
      <c r="L379" s="7">
        <v>26</v>
      </c>
      <c r="M379" s="1">
        <v>0.222621527777777</v>
      </c>
      <c r="N379" s="1">
        <v>40.385414130703502</v>
      </c>
      <c r="O379" s="1">
        <v>0.982043174860044</v>
      </c>
      <c r="P379" s="1">
        <v>17.457704464038201</v>
      </c>
      <c r="Q379" s="1">
        <v>44.2031705417212</v>
      </c>
      <c r="R379" s="1">
        <v>0.99330457687710205</v>
      </c>
      <c r="S379" s="1">
        <v>21.742219721795301</v>
      </c>
      <c r="T379" s="7"/>
      <c r="U379" s="1"/>
      <c r="V379" s="1"/>
      <c r="W379" s="8"/>
      <c r="X379" s="7"/>
      <c r="Y379" s="1"/>
      <c r="Z379" s="1"/>
      <c r="AA379" s="8"/>
      <c r="AB379" s="7">
        <v>32</v>
      </c>
      <c r="AC379" s="1">
        <v>0.193283420138888</v>
      </c>
      <c r="AD379" s="1">
        <v>39.9557247661904</v>
      </c>
      <c r="AE379" s="1">
        <v>0.98098736296400801</v>
      </c>
      <c r="AF379" s="1">
        <v>17.209576426951301</v>
      </c>
      <c r="AG379" s="1">
        <v>43.476126955817698</v>
      </c>
      <c r="AH379" s="1">
        <v>0.99324065957693197</v>
      </c>
      <c r="AI379" s="1">
        <v>21.7009568047811</v>
      </c>
      <c r="AJ379" s="1">
        <v>54.436280965804997</v>
      </c>
      <c r="AK379" s="1">
        <v>30.6201121807098</v>
      </c>
      <c r="AL379" s="7"/>
      <c r="AM379" s="1"/>
      <c r="AN379" s="1"/>
      <c r="AO379" s="8"/>
      <c r="AP379" s="1"/>
      <c r="AQ379" s="1"/>
      <c r="AR379" s="1"/>
      <c r="AS379" s="8"/>
      <c r="AT379" s="7">
        <v>0.32</v>
      </c>
      <c r="AU379" s="1">
        <v>0.244694010416666</v>
      </c>
      <c r="AV379" s="1">
        <v>38.244454319689297</v>
      </c>
      <c r="AW379" s="1">
        <v>0.98819047954589301</v>
      </c>
      <c r="AX379" s="1">
        <v>19.277677373029601</v>
      </c>
      <c r="AY379" s="1">
        <v>41.015989072585398</v>
      </c>
      <c r="AZ379" s="1">
        <v>0.99455790561705903</v>
      </c>
      <c r="BA379" s="1">
        <v>22.642339304661</v>
      </c>
      <c r="BB379" s="1">
        <v>100.97236609458901</v>
      </c>
      <c r="BC379" s="1">
        <v>55.225515127182</v>
      </c>
      <c r="BD379" s="7"/>
      <c r="BE379" s="1"/>
      <c r="BF379" s="1"/>
      <c r="BG379" s="8"/>
      <c r="BH379" s="1"/>
      <c r="BI379" s="1"/>
      <c r="BJ379" s="1"/>
      <c r="BK379" s="8"/>
    </row>
    <row r="380" spans="1:63">
      <c r="A380" s="49"/>
      <c r="B380" s="7" t="s">
        <v>18</v>
      </c>
      <c r="C380" s="17">
        <v>0.12</v>
      </c>
      <c r="D380" s="7">
        <v>34</v>
      </c>
      <c r="E380" s="1">
        <v>0.117866753472222</v>
      </c>
      <c r="F380" s="1">
        <v>37.663649869226397</v>
      </c>
      <c r="G380" s="1">
        <v>0.97158713523765605</v>
      </c>
      <c r="H380" s="1">
        <v>15.464849757893999</v>
      </c>
      <c r="I380" s="1">
        <v>41.124671329698003</v>
      </c>
      <c r="J380" s="1">
        <v>0.98843949012455201</v>
      </c>
      <c r="K380" s="8">
        <v>19.370230109665101</v>
      </c>
      <c r="L380" s="7">
        <v>31</v>
      </c>
      <c r="M380" s="1">
        <v>0.11141276041666601</v>
      </c>
      <c r="N380" s="1">
        <v>38.757055484409896</v>
      </c>
      <c r="O380" s="1">
        <v>0.97547431048716604</v>
      </c>
      <c r="P380" s="1">
        <v>16.1037877406383</v>
      </c>
      <c r="Q380" s="1">
        <v>42.333216555136502</v>
      </c>
      <c r="R380" s="1">
        <v>0.99057385472276804</v>
      </c>
      <c r="S380" s="1">
        <v>20.2566587111004</v>
      </c>
      <c r="T380" s="7"/>
      <c r="U380" s="1"/>
      <c r="V380" s="1"/>
      <c r="W380" s="8"/>
      <c r="X380" s="7"/>
      <c r="Y380" s="1"/>
      <c r="Z380" s="1"/>
      <c r="AA380" s="8"/>
      <c r="AB380" s="7">
        <v>16</v>
      </c>
      <c r="AC380" s="1">
        <v>0.137263454861111</v>
      </c>
      <c r="AD380" s="1">
        <v>38.952328540134602</v>
      </c>
      <c r="AE380" s="1">
        <v>0.977716785146027</v>
      </c>
      <c r="AF380" s="1">
        <v>16.520221522496701</v>
      </c>
      <c r="AG380" s="1">
        <v>42.323530137759498</v>
      </c>
      <c r="AH380" s="1">
        <v>0.99171543815697605</v>
      </c>
      <c r="AI380" s="1">
        <v>20.817304557647599</v>
      </c>
      <c r="AJ380" s="1">
        <v>63.544921159744199</v>
      </c>
      <c r="AK380" s="1">
        <v>40.6628062725067</v>
      </c>
      <c r="AL380" s="7"/>
      <c r="AM380" s="1"/>
      <c r="AN380" s="1"/>
      <c r="AO380" s="8"/>
      <c r="AP380" s="1"/>
      <c r="AQ380" s="1"/>
      <c r="AR380" s="1"/>
      <c r="AS380" s="8"/>
      <c r="AT380" s="7">
        <v>0.16</v>
      </c>
      <c r="AU380" s="1">
        <v>0.14588324652777701</v>
      </c>
      <c r="AV380" s="1">
        <v>36.839159560641797</v>
      </c>
      <c r="AW380" s="1">
        <v>0.98348466255848899</v>
      </c>
      <c r="AX380" s="1">
        <v>17.821125483734701</v>
      </c>
      <c r="AY380" s="1">
        <v>39.5696049536716</v>
      </c>
      <c r="AZ380" s="1">
        <v>0.99263473893631904</v>
      </c>
      <c r="BA380" s="1">
        <v>21.328118548625699</v>
      </c>
      <c r="BB380" s="1">
        <v>79.531960487365694</v>
      </c>
      <c r="BC380" s="1">
        <v>52.340585947036701</v>
      </c>
      <c r="BD380" s="7"/>
      <c r="BE380" s="1"/>
      <c r="BF380" s="1"/>
      <c r="BG380" s="8"/>
      <c r="BH380" s="1"/>
      <c r="BI380" s="1"/>
      <c r="BJ380" s="1"/>
      <c r="BK380" s="8"/>
    </row>
    <row r="381" spans="1:63">
      <c r="A381" s="49"/>
      <c r="B381" s="7" t="s">
        <v>18</v>
      </c>
      <c r="C381" s="17">
        <v>0.06</v>
      </c>
      <c r="D381" s="7">
        <v>40</v>
      </c>
      <c r="E381" s="1">
        <v>5.4071180555555501E-2</v>
      </c>
      <c r="F381" s="1">
        <v>35.0316707092136</v>
      </c>
      <c r="G381" s="1">
        <v>0.95858097443167201</v>
      </c>
      <c r="H381" s="1">
        <v>13.828001226148601</v>
      </c>
      <c r="I381" s="1">
        <v>38.130031417688699</v>
      </c>
      <c r="J381" s="1">
        <v>0.97812043891292999</v>
      </c>
      <c r="K381" s="8">
        <v>16.599613943758701</v>
      </c>
      <c r="L381" s="7">
        <v>36</v>
      </c>
      <c r="M381" s="1">
        <v>5.9535590277777703E-2</v>
      </c>
      <c r="N381" s="1">
        <v>36.959542279444499</v>
      </c>
      <c r="O381" s="1">
        <v>0.96820726953026204</v>
      </c>
      <c r="P381" s="1">
        <v>14.976721717701199</v>
      </c>
      <c r="Q381" s="1">
        <v>40.132394517075703</v>
      </c>
      <c r="R381" s="1">
        <v>0.984876042957614</v>
      </c>
      <c r="S381" s="1">
        <v>18.203345648642099</v>
      </c>
      <c r="T381" s="7"/>
      <c r="U381" s="1"/>
      <c r="V381" s="1"/>
      <c r="W381" s="8"/>
      <c r="X381" s="7"/>
      <c r="Y381" s="1"/>
      <c r="Z381" s="1"/>
      <c r="AA381" s="8"/>
      <c r="AB381" s="7">
        <v>4</v>
      </c>
      <c r="AC381" s="1">
        <v>6.5575086805555502E-2</v>
      </c>
      <c r="AD381" s="1">
        <v>36.737322177168203</v>
      </c>
      <c r="AE381" s="1">
        <v>0.97004982078665603</v>
      </c>
      <c r="AF381" s="1">
        <v>15.236005745723901</v>
      </c>
      <c r="AG381" s="1">
        <v>39.774657944659602</v>
      </c>
      <c r="AH381" s="1">
        <v>0.98606428703552096</v>
      </c>
      <c r="AI381" s="1">
        <v>18.5587080745888</v>
      </c>
      <c r="AJ381" s="1">
        <v>69.360234498977604</v>
      </c>
      <c r="AK381" s="1">
        <v>50.137430667877197</v>
      </c>
      <c r="AL381" s="7"/>
      <c r="AM381" s="1"/>
      <c r="AN381" s="1"/>
      <c r="AO381" s="8"/>
      <c r="AP381" s="1"/>
      <c r="AQ381" s="1"/>
      <c r="AR381" s="1"/>
      <c r="AS381" s="8"/>
      <c r="AT381" s="7">
        <v>0.04</v>
      </c>
      <c r="AU381" s="1">
        <v>4.9121093749999997E-2</v>
      </c>
      <c r="AV381" s="1">
        <v>34.2905568475717</v>
      </c>
      <c r="AW381" s="1">
        <v>0.97235490853726603</v>
      </c>
      <c r="AX381" s="1">
        <v>15.583819688761</v>
      </c>
      <c r="AY381" s="1">
        <v>36.9638317980599</v>
      </c>
      <c r="AZ381" s="1">
        <v>0.98733957158333796</v>
      </c>
      <c r="BA381" s="1">
        <v>18.975515979644701</v>
      </c>
      <c r="BB381" s="1">
        <v>53.210746049880903</v>
      </c>
      <c r="BC381" s="1">
        <v>40.500815629959099</v>
      </c>
      <c r="BD381" s="7"/>
      <c r="BE381" s="1"/>
      <c r="BF381" s="1"/>
      <c r="BG381" s="8"/>
      <c r="BH381" s="1"/>
      <c r="BI381" s="1"/>
      <c r="BJ381" s="1"/>
      <c r="BK381" s="8"/>
    </row>
    <row r="382" spans="1:63">
      <c r="A382" s="49"/>
      <c r="B382" s="7" t="s">
        <v>84</v>
      </c>
      <c r="C382" s="17">
        <v>1.5</v>
      </c>
      <c r="D382" s="7">
        <v>21</v>
      </c>
      <c r="E382" s="1">
        <v>1.46244140625</v>
      </c>
      <c r="F382" s="1">
        <v>41.858630311209197</v>
      </c>
      <c r="G382" s="1">
        <v>0.99159410484687405</v>
      </c>
      <c r="H382" s="1">
        <v>20.754160312593001</v>
      </c>
      <c r="I382" s="1">
        <v>45.027580278949102</v>
      </c>
      <c r="J382" s="1">
        <v>0.99496615363614105</v>
      </c>
      <c r="K382" s="8">
        <v>22.9810004352479</v>
      </c>
      <c r="L382" s="7">
        <v>20</v>
      </c>
      <c r="M382" s="1">
        <v>1.39109049479166</v>
      </c>
      <c r="N382" s="1">
        <v>42.165546980387802</v>
      </c>
      <c r="O382" s="1">
        <v>0.99246266308974695</v>
      </c>
      <c r="P382" s="1">
        <v>21.227820718326999</v>
      </c>
      <c r="Q382" s="1">
        <v>45.407440120347601</v>
      </c>
      <c r="R382" s="1">
        <v>0.99542495518145702</v>
      </c>
      <c r="S382" s="1">
        <v>23.3960464709475</v>
      </c>
      <c r="T382" s="13">
        <f>bdrate(E382:E385,F382:F385,M382:M385,N382:N385)</f>
        <v>-0.15094546930173114</v>
      </c>
      <c r="U382" s="12">
        <f>bdrate(E382:E385,H382:H385,M382:M385,P382:P385)</f>
        <v>-0.16935853233118381</v>
      </c>
      <c r="V382" s="12">
        <f>bdrate(E382:E385,I382:I385,M382:M385,Q382:Q385)</f>
        <v>-0.16373342060436535</v>
      </c>
      <c r="W382" s="14">
        <f>bdrate(E382:E385,K382:K385,M382:M385,S382:S385)</f>
        <v>-0.15636827840967182</v>
      </c>
      <c r="X382" s="13">
        <f>bdrate(E384:E387,F384:F387,M384:M387,N384:N387)</f>
        <v>-0.28936761856991566</v>
      </c>
      <c r="Y382" s="12">
        <f>bdrate(E384:E387,H384:H387,M384:M387,P384:P387)</f>
        <v>-0.25206422004373485</v>
      </c>
      <c r="Z382" s="12">
        <f>bdrate(E384:E387,I384:I387,M384:M387,Q384:Q387)</f>
        <v>-0.30651290188425728</v>
      </c>
      <c r="AA382" s="14">
        <f>bdrate(E384:E387,K384:K387,M384:M387,S384:S387)</f>
        <v>-0.21323846894482068</v>
      </c>
      <c r="AB382" s="7">
        <v>256</v>
      </c>
      <c r="AC382" s="1">
        <v>1.6043912760416601</v>
      </c>
      <c r="AD382" s="1">
        <v>42.789574938511002</v>
      </c>
      <c r="AE382" s="1">
        <v>0.99428802570977803</v>
      </c>
      <c r="AF382" s="1">
        <v>22.4321375600083</v>
      </c>
      <c r="AG382" s="1">
        <v>45.650689847294402</v>
      </c>
      <c r="AH382" s="1">
        <v>0.99635846708483999</v>
      </c>
      <c r="AI382" s="1">
        <v>24.387157601824502</v>
      </c>
      <c r="AJ382" s="1">
        <v>185.750770568847</v>
      </c>
      <c r="AK382" s="1">
        <v>83.2498455047607</v>
      </c>
      <c r="AL382" s="13">
        <f>bdrate(E382:E385,F382:F385,AC382:AC385,AD382:AD385)</f>
        <v>-0.13511159157895469</v>
      </c>
      <c r="AM382" s="12">
        <f>bdrate(E382:E385,H382:H385,AC382:AC385,AF382:AF385)</f>
        <v>-0.24701636940311611</v>
      </c>
      <c r="AN382" s="12">
        <f>bdrate(E382:E385,I382:I385,AC382:AC385,AG382:AG385)</f>
        <v>-7.4169656244002624E-2</v>
      </c>
      <c r="AO382" s="14">
        <f>bdrate(E382:E385,K382:K385,AC382:AC385,AI382:AI385)</f>
        <v>-0.16350347376635188</v>
      </c>
      <c r="AP382" s="12">
        <f>bdrate(E384:E387,F384:F387,AC384:AC387,AD384:AD387)</f>
        <v>-0.23568493054554762</v>
      </c>
      <c r="AQ382" s="12">
        <f>bdrate(E384:E387,H384:H387,AC384:AC387,AF384:AF387)</f>
        <v>-0.34930505476102225</v>
      </c>
      <c r="AR382" s="12">
        <f>bdrate(E384:E387,I384:I387,AC384:AC387,AG384:AG387)</f>
        <v>-0.19529312348514261</v>
      </c>
      <c r="AS382" s="14">
        <f>bdrate(E384:E387,K384:K387,AC384:AC387,AI384:AI387)</f>
        <v>-0.2485413132299521</v>
      </c>
      <c r="AT382" s="7">
        <v>3.2</v>
      </c>
      <c r="AU382" s="1">
        <v>1.2808300781249999</v>
      </c>
      <c r="AV382" s="1">
        <v>39.583754398667303</v>
      </c>
      <c r="AW382" s="1">
        <v>0.99593241117924902</v>
      </c>
      <c r="AX382" s="1">
        <v>23.9066295493921</v>
      </c>
      <c r="AY382" s="1">
        <v>42.418183910408501</v>
      </c>
      <c r="AZ382" s="1">
        <v>0.99703049650681497</v>
      </c>
      <c r="BA382" s="1">
        <v>25.27316159503</v>
      </c>
      <c r="BB382" s="1">
        <v>256.427249670028</v>
      </c>
      <c r="BC382" s="1">
        <v>132.008851289749</v>
      </c>
      <c r="BD382" s="13">
        <f>bdrate(E382:E385,F382:F385,AU382:AU385,AV382:AV385)</f>
        <v>0.91400879044058603</v>
      </c>
      <c r="BE382" s="12">
        <f>bdrate(E382:E385,H382:H385,AU382:AU385,AX382:AX385)</f>
        <v>-0.62348515779159253</v>
      </c>
      <c r="BF382" s="12">
        <f>bdrate(E382:E385,I382:I385,AU382:AU385,AY382:AY385)</f>
        <v>1.1182393523198852</v>
      </c>
      <c r="BG382" s="14">
        <f>bdrate(E382:E385,K382:K385,AU382:AU385,BA382:BA385)</f>
        <v>-0.56894219947574087</v>
      </c>
      <c r="BH382" s="12">
        <f>bdrate(E384:E387,F384:F387,AU384:AU387,AV384:AV387)</f>
        <v>0.90902709236959778</v>
      </c>
      <c r="BI382" s="12">
        <f>bdrate(E384:E387,H384:H387,AU384:AU387,AX384:AX387)</f>
        <v>-0.59398026922266778</v>
      </c>
      <c r="BJ382" s="12">
        <f>bdrate(E384:E387,I384:I387,AU384:AU387,AY384:AY387)</f>
        <v>1.0414256825465755</v>
      </c>
      <c r="BK382" s="14">
        <f>bdrate(E384:E387,K384:K387,AU384:AU387,BA384:BA387)</f>
        <v>-0.54203756477435483</v>
      </c>
    </row>
    <row r="383" spans="1:63">
      <c r="A383" s="49"/>
      <c r="B383" s="7" t="s">
        <v>18</v>
      </c>
      <c r="C383" s="17">
        <v>1</v>
      </c>
      <c r="D383" s="7">
        <v>23</v>
      </c>
      <c r="E383" s="1">
        <v>0.96541992187500003</v>
      </c>
      <c r="F383" s="1">
        <v>40.093932537840999</v>
      </c>
      <c r="G383" s="1">
        <v>0.98736777172895995</v>
      </c>
      <c r="H383" s="1">
        <v>18.985200349980701</v>
      </c>
      <c r="I383" s="1">
        <v>43.242492188980997</v>
      </c>
      <c r="J383" s="1">
        <v>0.99139053954735001</v>
      </c>
      <c r="K383" s="8">
        <v>20.650240645486001</v>
      </c>
      <c r="L383" s="7">
        <v>22</v>
      </c>
      <c r="M383" s="1">
        <v>0.95703125</v>
      </c>
      <c r="N383" s="1">
        <v>40.541461540757801</v>
      </c>
      <c r="O383" s="1">
        <v>0.98891133468061998</v>
      </c>
      <c r="P383" s="1">
        <v>19.5512072430271</v>
      </c>
      <c r="Q383" s="1">
        <v>43.732434102969698</v>
      </c>
      <c r="R383" s="1">
        <v>0.992573130004204</v>
      </c>
      <c r="S383" s="1">
        <v>21.2919417815827</v>
      </c>
      <c r="T383" s="7"/>
      <c r="U383" s="1"/>
      <c r="V383" s="1"/>
      <c r="W383" s="8"/>
      <c r="X383" s="7"/>
      <c r="Y383" s="1"/>
      <c r="Z383" s="1"/>
      <c r="AA383" s="8"/>
      <c r="AB383" s="7">
        <v>128</v>
      </c>
      <c r="AC383" s="1">
        <v>0.978759765625</v>
      </c>
      <c r="AD383" s="1">
        <v>40.567755713926502</v>
      </c>
      <c r="AE383" s="1">
        <v>0.990033681830774</v>
      </c>
      <c r="AF383" s="1">
        <v>20.014652523312101</v>
      </c>
      <c r="AG383" s="1">
        <v>43.480777515422901</v>
      </c>
      <c r="AH383" s="1">
        <v>0.99274733169338503</v>
      </c>
      <c r="AI383" s="1">
        <v>21.395021840990999</v>
      </c>
      <c r="AJ383" s="1">
        <v>212.26952004432599</v>
      </c>
      <c r="AK383" s="1">
        <v>79.986479759216294</v>
      </c>
      <c r="AL383" s="7"/>
      <c r="AM383" s="1"/>
      <c r="AN383" s="1"/>
      <c r="AO383" s="8"/>
      <c r="AP383" s="1"/>
      <c r="AQ383" s="1"/>
      <c r="AR383" s="1"/>
      <c r="AS383" s="8"/>
      <c r="AT383" s="7">
        <v>1.28</v>
      </c>
      <c r="AU383" s="1">
        <v>0.715823567708333</v>
      </c>
      <c r="AV383" s="1">
        <v>37.376467521723903</v>
      </c>
      <c r="AW383" s="1">
        <v>0.99301944298086298</v>
      </c>
      <c r="AX383" s="1">
        <v>21.5610992111821</v>
      </c>
      <c r="AY383" s="1">
        <v>40.248240556443697</v>
      </c>
      <c r="AZ383" s="1">
        <v>0.99469721920874099</v>
      </c>
      <c r="BA383" s="1">
        <v>22.754963255713001</v>
      </c>
      <c r="BB383" s="1">
        <v>74.745278835296602</v>
      </c>
      <c r="BC383" s="1">
        <v>35.758805274963301</v>
      </c>
      <c r="BD383" s="7"/>
      <c r="BE383" s="1"/>
      <c r="BF383" s="1"/>
      <c r="BG383" s="8"/>
      <c r="BH383" s="1"/>
      <c r="BI383" s="1"/>
      <c r="BJ383" s="1"/>
      <c r="BK383" s="8"/>
    </row>
    <row r="384" spans="1:63">
      <c r="A384" s="49"/>
      <c r="B384" s="7" t="s">
        <v>18</v>
      </c>
      <c r="C384" s="17">
        <v>0.5</v>
      </c>
      <c r="D384" s="7">
        <v>26</v>
      </c>
      <c r="E384" s="1">
        <v>0.471256510416666</v>
      </c>
      <c r="F384" s="1">
        <v>38.145223017423497</v>
      </c>
      <c r="G384" s="1">
        <v>0.97824300594279501</v>
      </c>
      <c r="H384" s="1">
        <v>16.624011068849899</v>
      </c>
      <c r="I384" s="1">
        <v>41.309867390868298</v>
      </c>
      <c r="J384" s="1">
        <v>0.98330338391163996</v>
      </c>
      <c r="K384" s="8">
        <v>17.7737153861687</v>
      </c>
      <c r="L384" s="7">
        <v>25</v>
      </c>
      <c r="M384" s="1">
        <v>0.44504882812500002</v>
      </c>
      <c r="N384" s="1">
        <v>38.4334297358632</v>
      </c>
      <c r="O384" s="1">
        <v>0.98033819323357896</v>
      </c>
      <c r="P384" s="1">
        <v>17.0637657640047</v>
      </c>
      <c r="Q384" s="1">
        <v>41.641054922813197</v>
      </c>
      <c r="R384" s="1">
        <v>0.985134357519449</v>
      </c>
      <c r="S384" s="1">
        <v>18.278163162115899</v>
      </c>
      <c r="T384" s="7"/>
      <c r="U384" s="1"/>
      <c r="V384" s="1"/>
      <c r="W384" s="8"/>
      <c r="X384" s="7"/>
      <c r="Y384" s="1"/>
      <c r="Z384" s="1"/>
      <c r="AA384" s="8"/>
      <c r="AB384" s="7">
        <v>64</v>
      </c>
      <c r="AC384" s="1">
        <v>0.45354492187500001</v>
      </c>
      <c r="AD384" s="1">
        <v>38.431477618758301</v>
      </c>
      <c r="AE384" s="1">
        <v>0.981770127520455</v>
      </c>
      <c r="AF384" s="1">
        <v>17.392163692838</v>
      </c>
      <c r="AG384" s="1">
        <v>41.4289050430949</v>
      </c>
      <c r="AH384" s="1">
        <v>0.98547583716470599</v>
      </c>
      <c r="AI384" s="1">
        <v>18.379088907097799</v>
      </c>
      <c r="AJ384" s="1">
        <v>45.1692953109741</v>
      </c>
      <c r="AK384" s="1">
        <v>28.923443078994701</v>
      </c>
      <c r="AL384" s="7"/>
      <c r="AM384" s="1"/>
      <c r="AN384" s="1"/>
      <c r="AO384" s="8"/>
      <c r="AP384" s="1"/>
      <c r="AQ384" s="1"/>
      <c r="AR384" s="1"/>
      <c r="AS384" s="8"/>
      <c r="AT384" s="7">
        <v>0.64</v>
      </c>
      <c r="AU384" s="1">
        <v>0.52108398437500003</v>
      </c>
      <c r="AV384" s="1">
        <v>36.270189756518803</v>
      </c>
      <c r="AW384" s="1">
        <v>0.99057061727354201</v>
      </c>
      <c r="AX384" s="1">
        <v>20.2551673645332</v>
      </c>
      <c r="AY384" s="1">
        <v>39.086973455598503</v>
      </c>
      <c r="AZ384" s="1">
        <v>0.99281324308702901</v>
      </c>
      <c r="BA384" s="1">
        <v>21.434670446021101</v>
      </c>
      <c r="BB384" s="1">
        <v>60.910462617874103</v>
      </c>
      <c r="BC384" s="1">
        <v>37.4393727779388</v>
      </c>
      <c r="BD384" s="7"/>
      <c r="BE384" s="1"/>
      <c r="BF384" s="1"/>
      <c r="BG384" s="8"/>
      <c r="BH384" s="1"/>
      <c r="BI384" s="1"/>
      <c r="BJ384" s="1"/>
      <c r="BK384" s="8"/>
    </row>
    <row r="385" spans="1:63">
      <c r="A385" s="49"/>
      <c r="B385" s="7" t="s">
        <v>18</v>
      </c>
      <c r="C385" s="17">
        <v>0.25</v>
      </c>
      <c r="D385" s="7">
        <v>31</v>
      </c>
      <c r="E385" s="1">
        <v>0.23276367187499999</v>
      </c>
      <c r="F385" s="1">
        <v>36.6901579004575</v>
      </c>
      <c r="G385" s="1">
        <v>0.97046281589772698</v>
      </c>
      <c r="H385" s="1">
        <v>15.296309100780899</v>
      </c>
      <c r="I385" s="1">
        <v>39.7527705093921</v>
      </c>
      <c r="J385" s="1">
        <v>0.977312477712456</v>
      </c>
      <c r="K385" s="8">
        <v>16.442129309816799</v>
      </c>
      <c r="L385" s="7">
        <v>28</v>
      </c>
      <c r="M385" s="1">
        <v>0.23757161458333301</v>
      </c>
      <c r="N385" s="1">
        <v>37.345877440391199</v>
      </c>
      <c r="O385" s="1">
        <v>0.97285947349334401</v>
      </c>
      <c r="P385" s="1">
        <v>15.663817315945799</v>
      </c>
      <c r="Q385" s="1">
        <v>40.528189225138398</v>
      </c>
      <c r="R385" s="1">
        <v>0.97856938396865301</v>
      </c>
      <c r="S385" s="1">
        <v>16.689653448158701</v>
      </c>
      <c r="T385" s="7"/>
      <c r="U385" s="1"/>
      <c r="V385" s="1"/>
      <c r="W385" s="8"/>
      <c r="X385" s="7"/>
      <c r="Y385" s="1"/>
      <c r="Z385" s="1"/>
      <c r="AA385" s="8"/>
      <c r="AB385" s="7">
        <v>32</v>
      </c>
      <c r="AC385" s="1">
        <v>0.238102213541666</v>
      </c>
      <c r="AD385" s="1">
        <v>37.270869992272701</v>
      </c>
      <c r="AE385" s="1">
        <v>0.97434085723970898</v>
      </c>
      <c r="AF385" s="1">
        <v>15.907578569515101</v>
      </c>
      <c r="AG385" s="1">
        <v>40.272678030467098</v>
      </c>
      <c r="AH385" s="1">
        <v>0.979079947634379</v>
      </c>
      <c r="AI385" s="1">
        <v>16.794372327076601</v>
      </c>
      <c r="AJ385" s="1">
        <v>37.659425735473597</v>
      </c>
      <c r="AK385" s="1">
        <v>20.712814569473199</v>
      </c>
      <c r="AL385" s="7"/>
      <c r="AM385" s="1"/>
      <c r="AN385" s="1"/>
      <c r="AO385" s="8"/>
      <c r="AP385" s="1"/>
      <c r="AQ385" s="1"/>
      <c r="AR385" s="1"/>
      <c r="AS385" s="8"/>
      <c r="AT385" s="7">
        <v>0.16</v>
      </c>
      <c r="AU385" s="1">
        <v>0.15923502604166601</v>
      </c>
      <c r="AV385" s="1">
        <v>34.137479748902201</v>
      </c>
      <c r="AW385" s="1">
        <v>0.977076527814014</v>
      </c>
      <c r="AX385" s="1">
        <v>16.397195997498301</v>
      </c>
      <c r="AY385" s="1">
        <v>36.928378854113397</v>
      </c>
      <c r="AZ385" s="1">
        <v>0.98149537457045799</v>
      </c>
      <c r="BA385" s="1">
        <v>17.3271970146481</v>
      </c>
      <c r="BB385" s="1">
        <v>48.195320606231597</v>
      </c>
      <c r="BC385" s="1">
        <v>33.112349987030001</v>
      </c>
      <c r="BD385" s="7"/>
      <c r="BE385" s="1"/>
      <c r="BF385" s="1"/>
      <c r="BG385" s="8"/>
      <c r="BH385" s="1"/>
      <c r="BI385" s="1"/>
      <c r="BJ385" s="1"/>
      <c r="BK385" s="8"/>
    </row>
    <row r="386" spans="1:63">
      <c r="A386" s="49"/>
      <c r="B386" s="7" t="s">
        <v>18</v>
      </c>
      <c r="C386" s="17">
        <v>0.12</v>
      </c>
      <c r="D386" s="7">
        <v>37</v>
      </c>
      <c r="E386" s="1">
        <v>0.108125</v>
      </c>
      <c r="F386" s="1">
        <v>34.7286117697317</v>
      </c>
      <c r="G386" s="1">
        <v>0.96175492030642296</v>
      </c>
      <c r="H386" s="1">
        <v>14.174244297751599</v>
      </c>
      <c r="I386" s="1">
        <v>37.681677819187598</v>
      </c>
      <c r="J386" s="1">
        <v>0.97112897492337902</v>
      </c>
      <c r="K386" s="8">
        <v>15.395377960563501</v>
      </c>
      <c r="L386" s="7">
        <v>34</v>
      </c>
      <c r="M386" s="1">
        <v>0.113798828125</v>
      </c>
      <c r="N386" s="1">
        <v>35.855236613540697</v>
      </c>
      <c r="O386" s="1">
        <v>0.966968009446039</v>
      </c>
      <c r="P386" s="1">
        <v>14.810652543269599</v>
      </c>
      <c r="Q386" s="1">
        <v>38.919860028927701</v>
      </c>
      <c r="R386" s="1">
        <v>0.97460156189698</v>
      </c>
      <c r="S386" s="1">
        <v>15.951929898405499</v>
      </c>
      <c r="T386" s="7"/>
      <c r="U386" s="1"/>
      <c r="V386" s="1"/>
      <c r="W386" s="8"/>
      <c r="X386" s="7"/>
      <c r="Y386" s="1"/>
      <c r="Z386" s="1"/>
      <c r="AA386" s="8"/>
      <c r="AB386" s="7">
        <v>8</v>
      </c>
      <c r="AC386" s="1">
        <v>0.111266276041666</v>
      </c>
      <c r="AD386" s="1">
        <v>35.6005762976542</v>
      </c>
      <c r="AE386" s="1">
        <v>0.96851790753609901</v>
      </c>
      <c r="AF386" s="1">
        <v>15.019364098795201</v>
      </c>
      <c r="AG386" s="1">
        <v>38.4668576407472</v>
      </c>
      <c r="AH386" s="1">
        <v>0.97509385235187696</v>
      </c>
      <c r="AI386" s="1">
        <v>16.036934416544</v>
      </c>
      <c r="AJ386" s="1">
        <v>31.725053071975701</v>
      </c>
      <c r="AK386" s="1">
        <v>20.2577385902404</v>
      </c>
      <c r="AL386" s="7"/>
      <c r="AM386" s="1"/>
      <c r="AN386" s="1"/>
      <c r="AO386" s="8"/>
      <c r="AP386" s="1"/>
      <c r="AQ386" s="1"/>
      <c r="AR386" s="1"/>
      <c r="AS386" s="8"/>
      <c r="AT386" s="7">
        <v>0.08</v>
      </c>
      <c r="AU386" s="1">
        <v>8.62337239583333E-2</v>
      </c>
      <c r="AV386" s="1">
        <v>33.136033474781897</v>
      </c>
      <c r="AW386" s="1">
        <v>0.96928619279205896</v>
      </c>
      <c r="AX386" s="1">
        <v>15.1266634614511</v>
      </c>
      <c r="AY386" s="1">
        <v>35.8543409854285</v>
      </c>
      <c r="AZ386" s="1">
        <v>0.97524499194150505</v>
      </c>
      <c r="BA386" s="1">
        <v>16.063369279566501</v>
      </c>
      <c r="BB386" s="1">
        <v>29.3377556800842</v>
      </c>
      <c r="BC386" s="1">
        <v>19.559997081756499</v>
      </c>
      <c r="BD386" s="7"/>
      <c r="BE386" s="1"/>
      <c r="BF386" s="1"/>
      <c r="BG386" s="8"/>
      <c r="BH386" s="1"/>
      <c r="BI386" s="1"/>
      <c r="BJ386" s="1"/>
      <c r="BK386" s="8"/>
    </row>
    <row r="387" spans="1:63">
      <c r="A387" s="49"/>
      <c r="B387" s="7" t="s">
        <v>18</v>
      </c>
      <c r="C387" s="17">
        <v>0.06</v>
      </c>
      <c r="D387" s="7">
        <v>42</v>
      </c>
      <c r="E387" s="1">
        <v>5.1175130208333301E-2</v>
      </c>
      <c r="F387" s="1">
        <v>32.621608965952603</v>
      </c>
      <c r="G387" s="1">
        <v>0.94767023238213099</v>
      </c>
      <c r="H387" s="1">
        <v>12.8125119383861</v>
      </c>
      <c r="I387" s="1">
        <v>35.484309666363799</v>
      </c>
      <c r="J387" s="1">
        <v>0.95979225163200699</v>
      </c>
      <c r="K387" s="8">
        <v>13.956902466865801</v>
      </c>
      <c r="L387" s="7">
        <v>39</v>
      </c>
      <c r="M387" s="1">
        <v>5.8629557291666599E-2</v>
      </c>
      <c r="N387" s="1">
        <v>34.104760944823397</v>
      </c>
      <c r="O387" s="1">
        <v>0.95832331295074602</v>
      </c>
      <c r="P387" s="1">
        <v>13.801068111435701</v>
      </c>
      <c r="Q387" s="1">
        <v>37.0724655217346</v>
      </c>
      <c r="R387" s="1">
        <v>0.968036921555257</v>
      </c>
      <c r="S387" s="1">
        <v>14.9535139934616</v>
      </c>
      <c r="T387" s="7"/>
      <c r="U387" s="1"/>
      <c r="V387" s="1"/>
      <c r="W387" s="8"/>
      <c r="X387" s="7"/>
      <c r="Y387" s="1"/>
      <c r="Z387" s="1"/>
      <c r="AA387" s="8"/>
      <c r="AB387" s="7">
        <v>4</v>
      </c>
      <c r="AC387" s="1">
        <v>7.3473307291666595E-2</v>
      </c>
      <c r="AD387" s="1">
        <v>34.459196047840102</v>
      </c>
      <c r="AE387" s="1">
        <v>0.96402043252248404</v>
      </c>
      <c r="AF387" s="1">
        <v>14.439440617591501</v>
      </c>
      <c r="AG387" s="1">
        <v>37.262583413730802</v>
      </c>
      <c r="AH387" s="1">
        <v>0.97181958166117099</v>
      </c>
      <c r="AI387" s="1">
        <v>15.500525640692199</v>
      </c>
      <c r="AJ387" s="1">
        <v>44.465171575546201</v>
      </c>
      <c r="AK387" s="1">
        <v>33.556301355361903</v>
      </c>
      <c r="AL387" s="7"/>
      <c r="AM387" s="1"/>
      <c r="AN387" s="1"/>
      <c r="AO387" s="8"/>
      <c r="AP387" s="1"/>
      <c r="AQ387" s="1"/>
      <c r="AR387" s="1"/>
      <c r="AS387" s="8"/>
      <c r="AT387" s="7">
        <v>0.04</v>
      </c>
      <c r="AU387" s="1">
        <v>4.6624348958333298E-2</v>
      </c>
      <c r="AV387" s="1">
        <v>31.942679001693602</v>
      </c>
      <c r="AW387" s="1">
        <v>0.96159599026349796</v>
      </c>
      <c r="AX387" s="1">
        <v>14.1562342887404</v>
      </c>
      <c r="AY387" s="1">
        <v>34.600384058129002</v>
      </c>
      <c r="AZ387" s="1">
        <v>0.96963264571930696</v>
      </c>
      <c r="BA387" s="1">
        <v>15.175930438192401</v>
      </c>
      <c r="BB387" s="1">
        <v>35.3346843719482</v>
      </c>
      <c r="BC387" s="1">
        <v>27.299461364746001</v>
      </c>
      <c r="BD387" s="7"/>
      <c r="BE387" s="1"/>
      <c r="BF387" s="1"/>
      <c r="BG387" s="8"/>
      <c r="BH387" s="1"/>
      <c r="BI387" s="1"/>
      <c r="BJ387" s="1"/>
      <c r="BK387" s="8"/>
    </row>
    <row r="388" spans="1:63">
      <c r="A388" s="49"/>
      <c r="B388" s="7" t="s">
        <v>85</v>
      </c>
      <c r="C388" s="17">
        <v>1.5</v>
      </c>
      <c r="D388" s="7">
        <v>22</v>
      </c>
      <c r="E388" s="1">
        <v>1.3125655864197501</v>
      </c>
      <c r="F388" s="1">
        <v>40.621150964405203</v>
      </c>
      <c r="G388" s="1">
        <v>0.99269023643357401</v>
      </c>
      <c r="H388" s="1">
        <v>21.360966700267198</v>
      </c>
      <c r="I388" s="1">
        <v>44.278904233906403</v>
      </c>
      <c r="J388" s="1">
        <v>0.99637120115366595</v>
      </c>
      <c r="K388" s="8">
        <v>24.4023710519396</v>
      </c>
      <c r="L388" s="7">
        <v>19</v>
      </c>
      <c r="M388" s="1">
        <v>1.35018518518518</v>
      </c>
      <c r="N388" s="1">
        <v>41.597259921461898</v>
      </c>
      <c r="O388" s="1">
        <v>0.99406629195518303</v>
      </c>
      <c r="P388" s="1">
        <v>22.266738260078</v>
      </c>
      <c r="Q388" s="1">
        <v>45.505260193608599</v>
      </c>
      <c r="R388" s="1">
        <v>0.99723411352703795</v>
      </c>
      <c r="S388" s="1">
        <v>25.5816564967079</v>
      </c>
      <c r="T388" s="13">
        <f>bdrate(E388:E391,F388:F391,M388:M391,N388:N391)</f>
        <v>-0.26972004661347559</v>
      </c>
      <c r="U388" s="12">
        <f>bdrate(E388:E391,H388:H391,M388:M391,P388:P391)</f>
        <v>-0.2393376558881084</v>
      </c>
      <c r="V388" s="12">
        <f>bdrate(E388:E391,I388:I391,M388:M391,Q388:Q391)</f>
        <v>-0.28937462554246984</v>
      </c>
      <c r="W388" s="14">
        <f>bdrate(E388:E391,K388:K391,M388:M391,S388:S391)</f>
        <v>-0.23333004779120436</v>
      </c>
      <c r="X388" s="13">
        <f>bdrate(E390:E393,F390:F393,M390:M393,N390:N393)</f>
        <v>-0.38523108309056364</v>
      </c>
      <c r="Y388" s="12">
        <f>bdrate(E390:E393,H390:H393,M390:M393,P390:P393)</f>
        <v>-0.3346646581019741</v>
      </c>
      <c r="Z388" s="12">
        <f>bdrate(E390:E393,I390:I393,M390:M393,Q390:Q393)</f>
        <v>-0.39897783253060071</v>
      </c>
      <c r="AA388" s="14">
        <f>bdrate(E390:E393,K390:K393,M390:M393,S390:S393)</f>
        <v>-0.30000832252198473</v>
      </c>
      <c r="AB388" s="7">
        <v>256</v>
      </c>
      <c r="AC388" s="1">
        <v>1.70478009259259</v>
      </c>
      <c r="AD388" s="1">
        <v>42.667155256822603</v>
      </c>
      <c r="AE388" s="1">
        <v>0.99620066680892005</v>
      </c>
      <c r="AF388" s="1">
        <v>24.202926183426001</v>
      </c>
      <c r="AG388" s="1">
        <v>45.950042582241103</v>
      </c>
      <c r="AH388" s="1">
        <v>0.99802182710041198</v>
      </c>
      <c r="AI388" s="1">
        <v>27.0373575214462</v>
      </c>
      <c r="AJ388" s="1">
        <v>207.02016878128001</v>
      </c>
      <c r="AK388" s="1">
        <v>65.783606052398596</v>
      </c>
      <c r="AL388" s="13">
        <f>bdrate(E388:E391,F388:F391,AC388:AC391,AD388:AD391)</f>
        <v>-0.24028066778675217</v>
      </c>
      <c r="AM388" s="12">
        <f>bdrate(E388:E391,H388:H391,AC388:AC391,AF388:AF391)</f>
        <v>-0.28519749274310768</v>
      </c>
      <c r="AN388" s="12">
        <f>bdrate(E388:E391,I388:I391,AC388:AC391,AG388:AG391)</f>
        <v>-0.16960999607787131</v>
      </c>
      <c r="AO388" s="14">
        <f>bdrate(E388:E391,K388:K391,AC388:AC391,AI388:AI391)</f>
        <v>-0.20445913439845576</v>
      </c>
      <c r="AP388" s="12">
        <f>bdrate(E390:E393,F390:F393,AC390:AC393,AD390:AD393)</f>
        <v>-0.30180790551753089</v>
      </c>
      <c r="AQ388" s="12">
        <f>bdrate(E390:E393,H390:H393,AC390:AC393,AF390:AF393)</f>
        <v>-0.31022393693299877</v>
      </c>
      <c r="AR388" s="12">
        <f>bdrate(E390:E393,I390:I393,AC390:AC393,AG390:AG393)</f>
        <v>-0.24742330493799991</v>
      </c>
      <c r="AS388" s="14">
        <f>bdrate(E390:E393,K390:K393,AC390:AC393,AI390:AI393)</f>
        <v>-0.22679907104867691</v>
      </c>
      <c r="AT388" s="7">
        <v>6.4</v>
      </c>
      <c r="AU388" s="1">
        <v>1.6202662037036999</v>
      </c>
      <c r="AV388" s="1">
        <v>40.649303213325403</v>
      </c>
      <c r="AW388" s="1">
        <v>0.99778850787033602</v>
      </c>
      <c r="AX388" s="1">
        <v>26.553146018741501</v>
      </c>
      <c r="AY388" s="1">
        <v>43.716268754121103</v>
      </c>
      <c r="AZ388" s="1">
        <v>0.99861916441547205</v>
      </c>
      <c r="BA388" s="1">
        <v>28.598580295917099</v>
      </c>
      <c r="BB388" s="1">
        <v>572.23954987525894</v>
      </c>
      <c r="BC388" s="1">
        <v>87.645367383956895</v>
      </c>
      <c r="BD388" s="13">
        <f>bdrate(E388:E391,F388:F391,AU388:AU391,AV388:AV391)</f>
        <v>0.24985719900020631</v>
      </c>
      <c r="BE388" s="12">
        <f>bdrate(E388:E391,H388:H391,AU388:AU391,AX388:AX391)</f>
        <v>-0.58408388578252513</v>
      </c>
      <c r="BF388" s="12">
        <f>bdrate(E388:E391,I388:I391,AU388:AU391,AY388:AY391)</f>
        <v>0.41166670301547192</v>
      </c>
      <c r="BG388" s="14">
        <f>bdrate(E388:E391,K388:K391,AU388:AU391,BA388:BA391)</f>
        <v>-0.5024816417050888</v>
      </c>
      <c r="BH388" s="12">
        <f>bdrate(E390:E393,F390:F393,AU390:AU393,AV390:AV393)</f>
        <v>9.1853314892745841E-2</v>
      </c>
      <c r="BI388" s="12">
        <f>bdrate(E390:E393,H390:H393,AU390:AU393,AX390:AX393)</f>
        <v>-0.56096254822954816</v>
      </c>
      <c r="BJ388" s="12">
        <f>bdrate(E390:E393,I390:I393,AU390:AU393,AY390:AY393)</f>
        <v>0.2132477141351754</v>
      </c>
      <c r="BK388" s="14">
        <f>bdrate(E390:E393,K390:K393,AU390:AU393,BA390:BA393)</f>
        <v>-0.49194974499182309</v>
      </c>
    </row>
    <row r="389" spans="1:63">
      <c r="A389" s="49"/>
      <c r="B389" s="7" t="s">
        <v>18</v>
      </c>
      <c r="C389" s="17">
        <v>1</v>
      </c>
      <c r="D389" s="7">
        <v>24</v>
      </c>
      <c r="E389" s="1">
        <v>0.93362654320987604</v>
      </c>
      <c r="F389" s="1">
        <v>39.302022013372898</v>
      </c>
      <c r="G389" s="1">
        <v>0.99005291490587699</v>
      </c>
      <c r="H389" s="1">
        <v>20.0230416679237</v>
      </c>
      <c r="I389" s="1">
        <v>42.825177448705503</v>
      </c>
      <c r="J389" s="1">
        <v>0.99457826231725899</v>
      </c>
      <c r="K389" s="8">
        <v>22.658614985028901</v>
      </c>
      <c r="L389" s="7">
        <v>21</v>
      </c>
      <c r="M389" s="1">
        <v>0.98187885802469099</v>
      </c>
      <c r="N389" s="1">
        <v>40.317807018911303</v>
      </c>
      <c r="O389" s="1">
        <v>0.99203206467485305</v>
      </c>
      <c r="P389" s="1">
        <v>20.986541996905</v>
      </c>
      <c r="Q389" s="1">
        <v>44.055072594026697</v>
      </c>
      <c r="R389" s="1">
        <v>0.99594888685156702</v>
      </c>
      <c r="S389" s="1">
        <v>23.924256267117901</v>
      </c>
      <c r="T389" s="7"/>
      <c r="U389" s="1"/>
      <c r="V389" s="1"/>
      <c r="W389" s="8"/>
      <c r="X389" s="7"/>
      <c r="Y389" s="1"/>
      <c r="Z389" s="1"/>
      <c r="AA389" s="8"/>
      <c r="AB389" s="7">
        <v>128</v>
      </c>
      <c r="AC389" s="1">
        <v>1.0790432098765399</v>
      </c>
      <c r="AD389" s="1">
        <v>40.720403827483899</v>
      </c>
      <c r="AE389" s="1">
        <v>0.99371296854908098</v>
      </c>
      <c r="AF389" s="1">
        <v>22.015543670832201</v>
      </c>
      <c r="AG389" s="1">
        <v>43.932899962284402</v>
      </c>
      <c r="AH389" s="1">
        <v>0.99641563678522704</v>
      </c>
      <c r="AI389" s="1">
        <v>24.455879883572699</v>
      </c>
      <c r="AJ389" s="1">
        <v>230.494035005569</v>
      </c>
      <c r="AK389" s="1">
        <v>66.263824701309204</v>
      </c>
      <c r="AL389" s="7"/>
      <c r="AM389" s="1"/>
      <c r="AN389" s="1"/>
      <c r="AO389" s="8"/>
      <c r="AP389" s="1"/>
      <c r="AQ389" s="1"/>
      <c r="AR389" s="1"/>
      <c r="AS389" s="8"/>
      <c r="AT389" s="7">
        <v>3.2</v>
      </c>
      <c r="AU389" s="1">
        <v>1.1304359567901201</v>
      </c>
      <c r="AV389" s="1">
        <v>39.220676673003297</v>
      </c>
      <c r="AW389" s="1">
        <v>0.99669501482920497</v>
      </c>
      <c r="AX389" s="1">
        <v>24.808304848187198</v>
      </c>
      <c r="AY389" s="1">
        <v>42.302542527670496</v>
      </c>
      <c r="AZ389" s="1">
        <v>0.99787771318125196</v>
      </c>
      <c r="BA389" s="1">
        <v>26.731959232707201</v>
      </c>
      <c r="BB389" s="1">
        <v>266.16572141647299</v>
      </c>
      <c r="BC389" s="1">
        <v>110.71548891067501</v>
      </c>
      <c r="BD389" s="7"/>
      <c r="BE389" s="1"/>
      <c r="BF389" s="1"/>
      <c r="BG389" s="8"/>
      <c r="BH389" s="1"/>
      <c r="BI389" s="1"/>
      <c r="BJ389" s="1"/>
      <c r="BK389" s="8"/>
    </row>
    <row r="390" spans="1:63">
      <c r="A390" s="49"/>
      <c r="B390" s="7" t="s">
        <v>18</v>
      </c>
      <c r="C390" s="17">
        <v>0.5</v>
      </c>
      <c r="D390" s="7">
        <v>28</v>
      </c>
      <c r="E390" s="1">
        <v>0.48744212962962902</v>
      </c>
      <c r="F390" s="1">
        <v>37.171088556970098</v>
      </c>
      <c r="G390" s="1">
        <v>0.98306762653101998</v>
      </c>
      <c r="H390" s="1">
        <v>17.712821610739901</v>
      </c>
      <c r="I390" s="1">
        <v>40.6022095350664</v>
      </c>
      <c r="J390" s="1">
        <v>0.989778708834683</v>
      </c>
      <c r="K390" s="8">
        <v>19.904942401549601</v>
      </c>
      <c r="L390" s="7">
        <v>25</v>
      </c>
      <c r="M390" s="1">
        <v>0.47121913580246899</v>
      </c>
      <c r="N390" s="1">
        <v>38.083011995593203</v>
      </c>
      <c r="O390" s="1">
        <v>0.98602775142335597</v>
      </c>
      <c r="P390" s="1">
        <v>18.547336965454001</v>
      </c>
      <c r="Q390" s="1">
        <v>41.6330259435748</v>
      </c>
      <c r="R390" s="1">
        <v>0.99176797560304697</v>
      </c>
      <c r="S390" s="1">
        <v>20.844933511409099</v>
      </c>
      <c r="T390" s="7"/>
      <c r="U390" s="1"/>
      <c r="V390" s="1"/>
      <c r="W390" s="8"/>
      <c r="X390" s="7"/>
      <c r="Y390" s="1"/>
      <c r="Z390" s="1"/>
      <c r="AA390" s="8"/>
      <c r="AB390" s="7">
        <v>32</v>
      </c>
      <c r="AC390" s="1">
        <v>0.40183256172839499</v>
      </c>
      <c r="AD390" s="1">
        <v>37.4830184670829</v>
      </c>
      <c r="AE390" s="1">
        <v>0.98475159161609405</v>
      </c>
      <c r="AF390" s="1">
        <v>18.167754852457598</v>
      </c>
      <c r="AG390" s="1">
        <v>40.678474215965601</v>
      </c>
      <c r="AH390" s="1">
        <v>0.99013052855488404</v>
      </c>
      <c r="AI390" s="1">
        <v>20.057061051435401</v>
      </c>
      <c r="AJ390" s="1">
        <v>35.676705837249699</v>
      </c>
      <c r="AK390" s="1">
        <v>18.219011306762599</v>
      </c>
      <c r="AL390" s="7"/>
      <c r="AM390" s="1"/>
      <c r="AN390" s="1"/>
      <c r="AO390" s="8"/>
      <c r="AP390" s="1"/>
      <c r="AQ390" s="1"/>
      <c r="AR390" s="1"/>
      <c r="AS390" s="8"/>
      <c r="AT390" s="7">
        <v>0.64</v>
      </c>
      <c r="AU390" s="1">
        <v>0.48227237654320898</v>
      </c>
      <c r="AV390" s="1">
        <v>36.392509124447699</v>
      </c>
      <c r="AW390" s="1">
        <v>0.99197364926627396</v>
      </c>
      <c r="AX390" s="1">
        <v>20.954818664818902</v>
      </c>
      <c r="AY390" s="1">
        <v>39.426342350009897</v>
      </c>
      <c r="AZ390" s="1">
        <v>0.99479262457427597</v>
      </c>
      <c r="BA390" s="1">
        <v>22.833811107355899</v>
      </c>
      <c r="BB390" s="1">
        <v>60.645923376083303</v>
      </c>
      <c r="BC390" s="1">
        <v>32.279368638992302</v>
      </c>
      <c r="BD390" s="7"/>
      <c r="BE390" s="1"/>
      <c r="BF390" s="1"/>
      <c r="BG390" s="8"/>
      <c r="BH390" s="1"/>
      <c r="BI390" s="1"/>
      <c r="BJ390" s="1"/>
      <c r="BK390" s="8"/>
    </row>
    <row r="391" spans="1:63">
      <c r="A391" s="49"/>
      <c r="B391" s="7" t="s">
        <v>18</v>
      </c>
      <c r="C391" s="17">
        <v>0.25</v>
      </c>
      <c r="D391" s="7">
        <v>33</v>
      </c>
      <c r="E391" s="1">
        <v>0.23973765432098701</v>
      </c>
      <c r="F391" s="1">
        <v>35.002754436820197</v>
      </c>
      <c r="G391" s="1">
        <v>0.97248336702705496</v>
      </c>
      <c r="H391" s="1">
        <v>15.604047089078801</v>
      </c>
      <c r="I391" s="1">
        <v>38.376128666648398</v>
      </c>
      <c r="J391" s="1">
        <v>0.98238625446015904</v>
      </c>
      <c r="K391" s="8">
        <v>17.541482820612401</v>
      </c>
      <c r="L391" s="7">
        <v>30</v>
      </c>
      <c r="M391" s="1">
        <v>0.21919753086419699</v>
      </c>
      <c r="N391" s="1">
        <v>36.127647047500197</v>
      </c>
      <c r="O391" s="1">
        <v>0.97741858642972002</v>
      </c>
      <c r="P391" s="1">
        <v>16.462488752296</v>
      </c>
      <c r="Q391" s="1">
        <v>39.6100616685641</v>
      </c>
      <c r="R391" s="1">
        <v>0.98551707969829905</v>
      </c>
      <c r="S391" s="1">
        <v>18.3914385919966</v>
      </c>
      <c r="T391" s="7"/>
      <c r="U391" s="1"/>
      <c r="V391" s="1"/>
      <c r="W391" s="8"/>
      <c r="X391" s="7"/>
      <c r="Y391" s="1"/>
      <c r="Z391" s="1"/>
      <c r="AA391" s="8"/>
      <c r="AB391" s="7">
        <v>16</v>
      </c>
      <c r="AC391" s="1">
        <v>0.26723379629629601</v>
      </c>
      <c r="AD391" s="1">
        <v>36.301357327346601</v>
      </c>
      <c r="AE391" s="1">
        <v>0.97949132000738903</v>
      </c>
      <c r="AF391" s="1">
        <v>16.880622913807201</v>
      </c>
      <c r="AG391" s="1">
        <v>39.473583470497999</v>
      </c>
      <c r="AH391" s="1">
        <v>0.98625539150695496</v>
      </c>
      <c r="AI391" s="1">
        <v>18.618676262629801</v>
      </c>
      <c r="AJ391" s="1">
        <v>38.700942277908297</v>
      </c>
      <c r="AK391" s="1">
        <v>23.041709899902301</v>
      </c>
      <c r="AL391" s="7"/>
      <c r="AM391" s="1"/>
      <c r="AN391" s="1"/>
      <c r="AO391" s="8"/>
      <c r="AP391" s="1"/>
      <c r="AQ391" s="1"/>
      <c r="AR391" s="1"/>
      <c r="AS391" s="8"/>
      <c r="AT391" s="7">
        <v>0.16</v>
      </c>
      <c r="AU391" s="1">
        <v>0.20340663580246901</v>
      </c>
      <c r="AV391" s="1">
        <v>34.169053726316697</v>
      </c>
      <c r="AW391" s="1">
        <v>0.98259287381263105</v>
      </c>
      <c r="AX391" s="1">
        <v>17.592729223914201</v>
      </c>
      <c r="AY391" s="1">
        <v>37.186503595936998</v>
      </c>
      <c r="AZ391" s="1">
        <v>0.98804009608465804</v>
      </c>
      <c r="BA391" s="1">
        <v>19.222723094115398</v>
      </c>
      <c r="BB391" s="1">
        <v>43.883646249771097</v>
      </c>
      <c r="BC391" s="1">
        <v>29.896145105361899</v>
      </c>
      <c r="BD391" s="7"/>
      <c r="BE391" s="1"/>
      <c r="BF391" s="1"/>
      <c r="BG391" s="8"/>
      <c r="BH391" s="1"/>
      <c r="BI391" s="1"/>
      <c r="BJ391" s="1"/>
      <c r="BK391" s="8"/>
    </row>
    <row r="392" spans="1:63">
      <c r="A392" s="49"/>
      <c r="B392" s="7" t="s">
        <v>18</v>
      </c>
      <c r="C392" s="17">
        <v>0.12</v>
      </c>
      <c r="D392" s="7">
        <v>39</v>
      </c>
      <c r="E392" s="1">
        <v>0.10711033950617201</v>
      </c>
      <c r="F392" s="1">
        <v>32.332715656731899</v>
      </c>
      <c r="G392" s="1">
        <v>0.95414445650083302</v>
      </c>
      <c r="H392" s="1">
        <v>13.386081547470599</v>
      </c>
      <c r="I392" s="1">
        <v>35.611794548797597</v>
      </c>
      <c r="J392" s="1">
        <v>0.96808504485728697</v>
      </c>
      <c r="K392" s="8">
        <v>14.9600576164577</v>
      </c>
      <c r="L392" s="7">
        <v>35</v>
      </c>
      <c r="M392" s="1">
        <v>0.113657407407407</v>
      </c>
      <c r="N392" s="1">
        <v>34.234931712729399</v>
      </c>
      <c r="O392" s="1">
        <v>0.96638972715750604</v>
      </c>
      <c r="P392" s="1">
        <v>14.7352796198728</v>
      </c>
      <c r="Q392" s="1">
        <v>37.647274354165297</v>
      </c>
      <c r="R392" s="1">
        <v>0.97679384532769697</v>
      </c>
      <c r="S392" s="1">
        <v>16.3439681744821</v>
      </c>
      <c r="T392" s="7"/>
      <c r="U392" s="1"/>
      <c r="V392" s="1"/>
      <c r="W392" s="8"/>
      <c r="X392" s="7"/>
      <c r="Y392" s="1"/>
      <c r="Z392" s="1"/>
      <c r="AA392" s="8"/>
      <c r="AB392" s="7">
        <v>4</v>
      </c>
      <c r="AC392" s="1">
        <v>0.119787808641975</v>
      </c>
      <c r="AD392" s="1">
        <v>34.053342180766798</v>
      </c>
      <c r="AE392" s="1">
        <v>0.96698201701016695</v>
      </c>
      <c r="AF392" s="1">
        <v>14.812494605444799</v>
      </c>
      <c r="AG392" s="1">
        <v>37.161194840965301</v>
      </c>
      <c r="AH392" s="1">
        <v>0.97634611051110598</v>
      </c>
      <c r="AI392" s="1">
        <v>16.260974365465898</v>
      </c>
      <c r="AJ392" s="1">
        <v>38.041646480560303</v>
      </c>
      <c r="AK392" s="1">
        <v>27.3231182098388</v>
      </c>
      <c r="AL392" s="7"/>
      <c r="AM392" s="1"/>
      <c r="AN392" s="1"/>
      <c r="AO392" s="8"/>
      <c r="AP392" s="1"/>
      <c r="AQ392" s="1"/>
      <c r="AR392" s="1"/>
      <c r="AS392" s="8"/>
      <c r="AT392" s="7">
        <v>0.08</v>
      </c>
      <c r="AU392" s="1">
        <v>0.12484182098765401</v>
      </c>
      <c r="AV392" s="1">
        <v>32.793536688230397</v>
      </c>
      <c r="AW392" s="1">
        <v>0.975393060286741</v>
      </c>
      <c r="AX392" s="1">
        <v>16.089423947607202</v>
      </c>
      <c r="AY392" s="1">
        <v>35.682039120035498</v>
      </c>
      <c r="AZ392" s="1">
        <v>0.98271618235772196</v>
      </c>
      <c r="BA392" s="1">
        <v>17.623603244812799</v>
      </c>
      <c r="BB392" s="1">
        <v>26.399027824401799</v>
      </c>
      <c r="BC392" s="1">
        <v>16.721628665924001</v>
      </c>
      <c r="BD392" s="7"/>
      <c r="BE392" s="1"/>
      <c r="BF392" s="1"/>
      <c r="BG392" s="8"/>
      <c r="BH392" s="1"/>
      <c r="BI392" s="1"/>
      <c r="BJ392" s="1"/>
      <c r="BK392" s="8"/>
    </row>
    <row r="393" spans="1:63">
      <c r="A393" s="49"/>
      <c r="B393" s="7" t="s">
        <v>18</v>
      </c>
      <c r="C393" s="17">
        <v>0.06</v>
      </c>
      <c r="D393" s="7">
        <v>44</v>
      </c>
      <c r="E393" s="1">
        <v>5.4394290123456701E-2</v>
      </c>
      <c r="F393" s="1">
        <v>29.941794002016199</v>
      </c>
      <c r="G393" s="1">
        <v>0.92850897362469598</v>
      </c>
      <c r="H393" s="1">
        <v>11.457484678530101</v>
      </c>
      <c r="I393" s="1">
        <v>33.133695083585103</v>
      </c>
      <c r="J393" s="1">
        <v>0.94618566235423696</v>
      </c>
      <c r="K393" s="8">
        <v>12.6910200071143</v>
      </c>
      <c r="L393" s="7">
        <v>41</v>
      </c>
      <c r="M393" s="1">
        <v>5.3344907407407403E-2</v>
      </c>
      <c r="N393" s="1">
        <v>31.648290356891501</v>
      </c>
      <c r="O393" s="1">
        <v>0.94513790489948002</v>
      </c>
      <c r="P393" s="1">
        <v>12.607276113647201</v>
      </c>
      <c r="Q393" s="1">
        <v>34.977288817278499</v>
      </c>
      <c r="R393" s="1">
        <v>0.95847286890987404</v>
      </c>
      <c r="S393" s="1">
        <v>13.8166807117196</v>
      </c>
      <c r="T393" s="7"/>
      <c r="U393" s="1"/>
      <c r="V393" s="1"/>
      <c r="W393" s="8"/>
      <c r="X393" s="7"/>
      <c r="Y393" s="1"/>
      <c r="Z393" s="1"/>
      <c r="AA393" s="8"/>
      <c r="AB393" s="7">
        <v>2</v>
      </c>
      <c r="AC393" s="1">
        <v>8.2179783950617202E-2</v>
      </c>
      <c r="AD393" s="1">
        <v>32.807245699732</v>
      </c>
      <c r="AE393" s="1">
        <v>0.95856078346608098</v>
      </c>
      <c r="AF393" s="1">
        <v>13.8258846412702</v>
      </c>
      <c r="AG393" s="1">
        <v>35.884599204629097</v>
      </c>
      <c r="AH393" s="1">
        <v>0.96913314837058195</v>
      </c>
      <c r="AI393" s="1">
        <v>15.105076656167199</v>
      </c>
      <c r="AJ393" s="1">
        <v>47.2099514007568</v>
      </c>
      <c r="AK393" s="1">
        <v>34.558523654937702</v>
      </c>
      <c r="AL393" s="7"/>
      <c r="AM393" s="1"/>
      <c r="AN393" s="1"/>
      <c r="AO393" s="8"/>
      <c r="AP393" s="1"/>
      <c r="AQ393" s="1"/>
      <c r="AR393" s="1"/>
      <c r="AS393" s="8"/>
      <c r="AT393" s="7">
        <v>0.04</v>
      </c>
      <c r="AU393" s="1">
        <v>7.9101080246913494E-2</v>
      </c>
      <c r="AV393" s="1">
        <v>31.370700939238102</v>
      </c>
      <c r="AW393" s="1">
        <v>0.966926249239216</v>
      </c>
      <c r="AX393" s="1">
        <v>14.805165507064199</v>
      </c>
      <c r="AY393" s="1">
        <v>34.239135229343802</v>
      </c>
      <c r="AZ393" s="1">
        <v>0.97600000867855097</v>
      </c>
      <c r="BA393" s="1">
        <v>16.1978891533203</v>
      </c>
      <c r="BB393" s="1">
        <v>31.138792753219601</v>
      </c>
      <c r="BC393" s="1">
        <v>23.334723472595201</v>
      </c>
      <c r="BD393" s="7"/>
      <c r="BE393" s="1"/>
      <c r="BF393" s="1"/>
      <c r="BG393" s="8"/>
      <c r="BH393" s="1"/>
      <c r="BI393" s="1"/>
      <c r="BJ393" s="1"/>
      <c r="BK393" s="8"/>
    </row>
    <row r="394" spans="1:63">
      <c r="A394" s="49"/>
      <c r="B394" s="7" t="s">
        <v>86</v>
      </c>
      <c r="C394" s="17">
        <v>1.5</v>
      </c>
      <c r="D394" s="7">
        <v>24</v>
      </c>
      <c r="E394" s="1">
        <v>1.45837191358024</v>
      </c>
      <c r="F394" s="1">
        <v>39.708002036005702</v>
      </c>
      <c r="G394" s="1">
        <v>0.99247680265973903</v>
      </c>
      <c r="H394" s="1">
        <v>21.235975460949401</v>
      </c>
      <c r="I394" s="1">
        <v>42.851416820416503</v>
      </c>
      <c r="J394" s="1">
        <v>0.99615202967938399</v>
      </c>
      <c r="K394" s="8">
        <v>24.147682863334001</v>
      </c>
      <c r="L394" s="7">
        <v>22</v>
      </c>
      <c r="M394" s="1">
        <v>1.34630015432098</v>
      </c>
      <c r="N394" s="1">
        <v>40.068447291472403</v>
      </c>
      <c r="O394" s="1">
        <v>0.99287373004855195</v>
      </c>
      <c r="P394" s="1">
        <v>21.471377300900301</v>
      </c>
      <c r="Q394" s="1">
        <v>43.2461167159721</v>
      </c>
      <c r="R394" s="1">
        <v>0.99627302215972902</v>
      </c>
      <c r="S394" s="1">
        <v>24.286431894508201</v>
      </c>
      <c r="T394" s="13">
        <f>bdrate(E394:E397,F394:F397,M394:M397,N394:N397)</f>
        <v>-0.14875409577814647</v>
      </c>
      <c r="U394" s="12">
        <f>bdrate(E394:E397,H394:H397,M394:M397,P394:P397)</f>
        <v>-0.12723043826097469</v>
      </c>
      <c r="V394" s="12">
        <f>bdrate(E394:E397,I394:I397,M394:M397,Q394:Q397)</f>
        <v>-0.15829530927422819</v>
      </c>
      <c r="W394" s="14">
        <f>bdrate(E394:E397,K394:K397,M394:M397,S394:S397)</f>
        <v>-9.7089410618359295E-2</v>
      </c>
      <c r="X394" s="13">
        <f>bdrate(E396:E399,F396:F399,M396:M399,N396:N399)</f>
        <v>-0.1676949334990262</v>
      </c>
      <c r="Y394" s="12">
        <f>bdrate(E396:E399,H396:H399,M396:M399,P396:P399)</f>
        <v>-0.13470496533463272</v>
      </c>
      <c r="Z394" s="12">
        <f>bdrate(E396:E399,I396:I399,M396:M399,Q396:Q399)</f>
        <v>-0.19901456102155579</v>
      </c>
      <c r="AA394" s="14">
        <f>bdrate(E396:E399,K396:K399,M396:M399,S396:S399)</f>
        <v>-0.11634601236903752</v>
      </c>
      <c r="AB394" s="7">
        <v>128</v>
      </c>
      <c r="AC394" s="1">
        <v>1.5983757716049301</v>
      </c>
      <c r="AD394" s="1">
        <v>41.0440712691587</v>
      </c>
      <c r="AE394" s="1">
        <v>0.99467712324149404</v>
      </c>
      <c r="AF394" s="1">
        <v>22.7385358900673</v>
      </c>
      <c r="AG394" s="1">
        <v>43.789953044961401</v>
      </c>
      <c r="AH394" s="1">
        <v>0.99679872869153796</v>
      </c>
      <c r="AI394" s="1">
        <v>24.946775177412601</v>
      </c>
      <c r="AJ394" s="1">
        <v>253.52226591110201</v>
      </c>
      <c r="AK394" s="1">
        <v>68.324657917022705</v>
      </c>
      <c r="AL394" s="13">
        <f>bdrate(E394:E397,F394:F397,AC394:AC397,AD394:AD397)</f>
        <v>-0.1108224197114005</v>
      </c>
      <c r="AM394" s="12">
        <f>bdrate(E394:E397,H394:H397,AC394:AC397,AF394:AF397)</f>
        <v>-0.14094384030988794</v>
      </c>
      <c r="AN394" s="12">
        <f>bdrate(E394:E397,I394:I397,AC394:AC397,AG394:AG397)</f>
        <v>-7.6048461955536828E-2</v>
      </c>
      <c r="AO394" s="14">
        <f>bdrate(E394:E397,K394:K397,AC394:AC397,AI394:AI397)</f>
        <v>-3.8888890085647998E-2</v>
      </c>
      <c r="AP394" s="12">
        <f>bdrate(E396:E399,F396:F399,AC396:AC399,AD396:AD399)</f>
        <v>-4.0448422717684007E-2</v>
      </c>
      <c r="AQ394" s="12">
        <f>bdrate(E396:E399,H396:H399,AC396:AC399,AF396:AF399)</f>
        <v>-4.1011509757864162E-2</v>
      </c>
      <c r="AR394" s="12">
        <f>bdrate(E396:E399,I396:I399,AC396:AC399,AG396:AG399)</f>
        <v>-3.9888784004302291E-2</v>
      </c>
      <c r="AS394" s="14">
        <f>bdrate(E396:E399,K396:K399,AC396:AC399,AI396:AI399)</f>
        <v>1.1867951529142662E-2</v>
      </c>
      <c r="AT394" s="7">
        <v>3.2</v>
      </c>
      <c r="AU394" s="1">
        <v>1.4643634259259199</v>
      </c>
      <c r="AV394" s="1">
        <v>38.617180311669401</v>
      </c>
      <c r="AW394" s="1">
        <v>0.99668639137415005</v>
      </c>
      <c r="AX394" s="1">
        <v>24.796987879116202</v>
      </c>
      <c r="AY394" s="1">
        <v>41.508540541151099</v>
      </c>
      <c r="AZ394" s="1">
        <v>0.99766803439339202</v>
      </c>
      <c r="BA394" s="1">
        <v>26.322778591319398</v>
      </c>
      <c r="BB394" s="1">
        <v>313.01817131042401</v>
      </c>
      <c r="BC394" s="1">
        <v>108.36929345130901</v>
      </c>
      <c r="BD394" s="13">
        <f>bdrate(E394:E397,F394:F397,AU394:AU397,AV394:AV397)</f>
        <v>0.29106587989267929</v>
      </c>
      <c r="BE394" s="12">
        <f>bdrate(E394:E397,H394:H397,AU394:AU397,AX394:AX397)</f>
        <v>-0.42853037525984505</v>
      </c>
      <c r="BF394" s="12">
        <f>bdrate(E394:E397,I394:I397,AU394:AU397,AY394:AY397)</f>
        <v>0.28285126148302564</v>
      </c>
      <c r="BG394" s="14">
        <f>bdrate(E394:E397,K394:K397,AU394:AU397,BA394:BA397)</f>
        <v>-0.300556108538378</v>
      </c>
      <c r="BH394" s="12">
        <f>bdrate(E396:E399,F396:F399,AU396:AU399,AV396:AV399)</f>
        <v>0.22194712845363074</v>
      </c>
      <c r="BI394" s="12">
        <f>bdrate(E396:E399,H396:H399,AU396:AU399,AX396:AX399)</f>
        <v>-0.3495830124756768</v>
      </c>
      <c r="BJ394" s="12">
        <f>bdrate(E396:E399,I396:I399,AU396:AU399,AY396:AY399)</f>
        <v>0.23279073575379594</v>
      </c>
      <c r="BK394" s="14">
        <f>bdrate(E396:E399,K396:K399,AU396:AU399,BA396:BA399)</f>
        <v>-0.28086906854230254</v>
      </c>
    </row>
    <row r="395" spans="1:63">
      <c r="A395" s="49"/>
      <c r="B395" s="7" t="s">
        <v>18</v>
      </c>
      <c r="C395" s="17">
        <v>1</v>
      </c>
      <c r="D395" s="7">
        <v>27</v>
      </c>
      <c r="E395" s="1">
        <v>0.99448688271604901</v>
      </c>
      <c r="F395" s="1">
        <v>37.662175390572202</v>
      </c>
      <c r="G395" s="1">
        <v>0.98766710401916002</v>
      </c>
      <c r="H395" s="1">
        <v>19.08934931448</v>
      </c>
      <c r="I395" s="1">
        <v>40.706030794961897</v>
      </c>
      <c r="J395" s="1">
        <v>0.99280032122707695</v>
      </c>
      <c r="K395" s="8">
        <v>21.426868799936301</v>
      </c>
      <c r="L395" s="7">
        <v>25</v>
      </c>
      <c r="M395" s="1">
        <v>0.93192129629629605</v>
      </c>
      <c r="N395" s="1">
        <v>38.110932268089499</v>
      </c>
      <c r="O395" s="1">
        <v>0.98861879698240596</v>
      </c>
      <c r="P395" s="1">
        <v>19.438118296554698</v>
      </c>
      <c r="Q395" s="1">
        <v>41.183368853057502</v>
      </c>
      <c r="R395" s="1">
        <v>0.99310996928126305</v>
      </c>
      <c r="S395" s="1">
        <v>21.617788418154401</v>
      </c>
      <c r="T395" s="7"/>
      <c r="U395" s="1"/>
      <c r="V395" s="1"/>
      <c r="W395" s="8"/>
      <c r="X395" s="7"/>
      <c r="Y395" s="1"/>
      <c r="Z395" s="1"/>
      <c r="AA395" s="8"/>
      <c r="AB395" s="7">
        <v>64</v>
      </c>
      <c r="AC395" s="1">
        <v>1.10620756172839</v>
      </c>
      <c r="AD395" s="1">
        <v>38.833747741605102</v>
      </c>
      <c r="AE395" s="1">
        <v>0.99122793833123202</v>
      </c>
      <c r="AF395" s="1">
        <v>20.5689832383542</v>
      </c>
      <c r="AG395" s="1">
        <v>41.593429398289501</v>
      </c>
      <c r="AH395" s="1">
        <v>0.99417929773795199</v>
      </c>
      <c r="AI395" s="1">
        <v>22.350246149836099</v>
      </c>
      <c r="AJ395" s="1">
        <v>47.7684197425842</v>
      </c>
      <c r="AK395" s="1">
        <v>24.2792935371398</v>
      </c>
      <c r="AL395" s="7"/>
      <c r="AM395" s="1"/>
      <c r="AN395" s="1"/>
      <c r="AO395" s="8"/>
      <c r="AP395" s="1"/>
      <c r="AQ395" s="1"/>
      <c r="AR395" s="1"/>
      <c r="AS395" s="8"/>
      <c r="AT395" s="7">
        <v>1.28</v>
      </c>
      <c r="AU395" s="1">
        <v>0.96428626543209806</v>
      </c>
      <c r="AV395" s="1">
        <v>36.266483055061698</v>
      </c>
      <c r="AW395" s="1">
        <v>0.99389287404655802</v>
      </c>
      <c r="AX395" s="1">
        <v>22.1416312301697</v>
      </c>
      <c r="AY395" s="1">
        <v>39.325740980456899</v>
      </c>
      <c r="AZ395" s="1">
        <v>0.99551675745212997</v>
      </c>
      <c r="BA395" s="1">
        <v>23.484077647363002</v>
      </c>
      <c r="BB395" s="1">
        <v>81.537403106689396</v>
      </c>
      <c r="BC395" s="1">
        <v>32.046545028686502</v>
      </c>
      <c r="BD395" s="7"/>
      <c r="BE395" s="1"/>
      <c r="BF395" s="1"/>
      <c r="BG395" s="8"/>
      <c r="BH395" s="1"/>
      <c r="BI395" s="1"/>
      <c r="BJ395" s="1"/>
      <c r="BK395" s="8"/>
    </row>
    <row r="396" spans="1:63">
      <c r="A396" s="49"/>
      <c r="B396" s="7" t="s">
        <v>18</v>
      </c>
      <c r="C396" s="17">
        <v>0.5</v>
      </c>
      <c r="D396" s="7">
        <v>32</v>
      </c>
      <c r="E396" s="1">
        <v>0.48162422839506103</v>
      </c>
      <c r="F396" s="1">
        <v>34.492235951602296</v>
      </c>
      <c r="G396" s="1">
        <v>0.97316064600508501</v>
      </c>
      <c r="H396" s="1">
        <v>15.712279415514899</v>
      </c>
      <c r="I396" s="1">
        <v>37.579769113817498</v>
      </c>
      <c r="J396" s="1">
        <v>0.98065702127772403</v>
      </c>
      <c r="K396" s="8">
        <v>17.134766459182099</v>
      </c>
      <c r="L396" s="7">
        <v>30</v>
      </c>
      <c r="M396" s="1">
        <v>0.46485339506172801</v>
      </c>
      <c r="N396" s="1">
        <v>34.998661304691502</v>
      </c>
      <c r="O396" s="1">
        <v>0.97573862543510204</v>
      </c>
      <c r="P396" s="1">
        <v>16.150845971611599</v>
      </c>
      <c r="Q396" s="1">
        <v>38.128740479292901</v>
      </c>
      <c r="R396" s="1">
        <v>0.98223414553842203</v>
      </c>
      <c r="S396" s="1">
        <v>17.5041389996615</v>
      </c>
      <c r="T396" s="7"/>
      <c r="U396" s="1"/>
      <c r="V396" s="1"/>
      <c r="W396" s="8"/>
      <c r="X396" s="7"/>
      <c r="Y396" s="1"/>
      <c r="Z396" s="1"/>
      <c r="AA396" s="8"/>
      <c r="AB396" s="7">
        <v>16</v>
      </c>
      <c r="AC396" s="1">
        <v>0.48743441358024597</v>
      </c>
      <c r="AD396" s="1">
        <v>35.015815451612397</v>
      </c>
      <c r="AE396" s="1">
        <v>0.97716942291953102</v>
      </c>
      <c r="AF396" s="1">
        <v>16.4148311086213</v>
      </c>
      <c r="AG396" s="1">
        <v>37.993636036919</v>
      </c>
      <c r="AH396" s="1">
        <v>0.98216922262815898</v>
      </c>
      <c r="AI396" s="1">
        <v>17.488297223916</v>
      </c>
      <c r="AJ396" s="1">
        <v>40.758620023727403</v>
      </c>
      <c r="AK396" s="1">
        <v>22.744283914566001</v>
      </c>
      <c r="AL396" s="7"/>
      <c r="AM396" s="1"/>
      <c r="AN396" s="1"/>
      <c r="AO396" s="8"/>
      <c r="AP396" s="1"/>
      <c r="AQ396" s="1"/>
      <c r="AR396" s="1"/>
      <c r="AS396" s="8"/>
      <c r="AT396" s="7">
        <v>0.32</v>
      </c>
      <c r="AU396" s="1">
        <v>0.51167824074073998</v>
      </c>
      <c r="AV396" s="1">
        <v>33.734090487112802</v>
      </c>
      <c r="AW396" s="1">
        <v>0.98609276669501</v>
      </c>
      <c r="AX396" s="1">
        <v>18.567592596475698</v>
      </c>
      <c r="AY396" s="1">
        <v>36.947278420860599</v>
      </c>
      <c r="AZ396" s="1">
        <v>0.989016016563116</v>
      </c>
      <c r="BA396" s="1">
        <v>19.592401306580001</v>
      </c>
      <c r="BB396" s="1">
        <v>57.831612348556497</v>
      </c>
      <c r="BC396" s="1">
        <v>34.783340215682898</v>
      </c>
      <c r="BD396" s="7"/>
      <c r="BE396" s="1"/>
      <c r="BF396" s="1"/>
      <c r="BG396" s="8"/>
      <c r="BH396" s="1"/>
      <c r="BI396" s="1"/>
      <c r="BJ396" s="1"/>
      <c r="BK396" s="8"/>
    </row>
    <row r="397" spans="1:63">
      <c r="A397" s="49"/>
      <c r="B397" s="7" t="s">
        <v>18</v>
      </c>
      <c r="C397" s="17">
        <v>0.25</v>
      </c>
      <c r="D397" s="7">
        <v>36</v>
      </c>
      <c r="E397" s="1">
        <v>0.24840663580246899</v>
      </c>
      <c r="F397" s="1">
        <v>32.251467100120998</v>
      </c>
      <c r="G397" s="1">
        <v>0.95161098742327499</v>
      </c>
      <c r="H397" s="1">
        <v>13.152532399879799</v>
      </c>
      <c r="I397" s="1">
        <v>35.478190855420699</v>
      </c>
      <c r="J397" s="1">
        <v>0.96063846216579796</v>
      </c>
      <c r="K397" s="8">
        <v>14.049279422564201</v>
      </c>
      <c r="L397" s="7">
        <v>34</v>
      </c>
      <c r="M397" s="1">
        <v>0.24228780864197499</v>
      </c>
      <c r="N397" s="1">
        <v>32.722131872067898</v>
      </c>
      <c r="O397" s="1">
        <v>0.95643877131949495</v>
      </c>
      <c r="P397" s="1">
        <v>13.608998791082399</v>
      </c>
      <c r="Q397" s="1">
        <v>36.007425800085997</v>
      </c>
      <c r="R397" s="1">
        <v>0.96426685566305603</v>
      </c>
      <c r="S397" s="1">
        <v>14.469287663864</v>
      </c>
      <c r="T397" s="7"/>
      <c r="U397" s="1"/>
      <c r="V397" s="1"/>
      <c r="W397" s="8"/>
      <c r="X397" s="7"/>
      <c r="Y397" s="1"/>
      <c r="Z397" s="1"/>
      <c r="AA397" s="8"/>
      <c r="AB397" s="7">
        <v>8</v>
      </c>
      <c r="AC397" s="1">
        <v>0.31931712962962899</v>
      </c>
      <c r="AD397" s="1">
        <v>33.242214995673002</v>
      </c>
      <c r="AE397" s="1">
        <v>0.96310089826192502</v>
      </c>
      <c r="AF397" s="1">
        <v>14.329842060616899</v>
      </c>
      <c r="AG397" s="1">
        <v>36.371641575696302</v>
      </c>
      <c r="AH397" s="1">
        <v>0.96937173087907502</v>
      </c>
      <c r="AI397" s="1">
        <v>15.138775455529199</v>
      </c>
      <c r="AJ397" s="1">
        <v>29.107803583145099</v>
      </c>
      <c r="AK397" s="1">
        <v>16.8050360679626</v>
      </c>
      <c r="AL397" s="7"/>
      <c r="AM397" s="1"/>
      <c r="AN397" s="1"/>
      <c r="AO397" s="8"/>
      <c r="AP397" s="1"/>
      <c r="AQ397" s="1"/>
      <c r="AR397" s="1"/>
      <c r="AS397" s="8"/>
      <c r="AT397" s="7">
        <v>0.16</v>
      </c>
      <c r="AU397" s="1">
        <v>0.36372299382716</v>
      </c>
      <c r="AV397" s="1">
        <v>32.804773171142401</v>
      </c>
      <c r="AW397" s="1">
        <v>0.97890035051120405</v>
      </c>
      <c r="AX397" s="1">
        <v>16.757247592210899</v>
      </c>
      <c r="AY397" s="1">
        <v>36.029330668209298</v>
      </c>
      <c r="AZ397" s="1">
        <v>0.98271663387097596</v>
      </c>
      <c r="BA397" s="1">
        <v>17.623716699073899</v>
      </c>
      <c r="BB397" s="1">
        <v>43.6685981750488</v>
      </c>
      <c r="BC397" s="1">
        <v>30.234140634536701</v>
      </c>
      <c r="BD397" s="7"/>
      <c r="BE397" s="1"/>
      <c r="BF397" s="1"/>
      <c r="BG397" s="8"/>
      <c r="BH397" s="1"/>
      <c r="BI397" s="1"/>
      <c r="BJ397" s="1"/>
      <c r="BK397" s="8"/>
    </row>
    <row r="398" spans="1:63">
      <c r="A398" s="49"/>
      <c r="B398" s="7" t="s">
        <v>18</v>
      </c>
      <c r="C398" s="17">
        <v>0.12</v>
      </c>
      <c r="D398" s="7">
        <v>40</v>
      </c>
      <c r="E398" s="1">
        <v>0.118545524691358</v>
      </c>
      <c r="F398" s="1">
        <v>30.278232910441801</v>
      </c>
      <c r="G398" s="1">
        <v>0.91535774028055095</v>
      </c>
      <c r="H398" s="1">
        <v>10.724127506658499</v>
      </c>
      <c r="I398" s="1">
        <v>33.6481386356025</v>
      </c>
      <c r="J398" s="1">
        <v>0.92560551175780004</v>
      </c>
      <c r="K398" s="8">
        <v>11.284592393824701</v>
      </c>
      <c r="L398" s="7">
        <v>38</v>
      </c>
      <c r="M398" s="1">
        <v>0.117592592592592</v>
      </c>
      <c r="N398" s="1">
        <v>30.710315044935601</v>
      </c>
      <c r="O398" s="1">
        <v>0.92280406309666696</v>
      </c>
      <c r="P398" s="1">
        <v>11.1240555752565</v>
      </c>
      <c r="Q398" s="1">
        <v>34.147740240659303</v>
      </c>
      <c r="R398" s="1">
        <v>0.93204554497055203</v>
      </c>
      <c r="S398" s="1">
        <v>11.6778206606492</v>
      </c>
      <c r="T398" s="7"/>
      <c r="U398" s="1"/>
      <c r="V398" s="1"/>
      <c r="W398" s="8"/>
      <c r="X398" s="7"/>
      <c r="Y398" s="1"/>
      <c r="Z398" s="1"/>
      <c r="AA398" s="8"/>
      <c r="AB398" s="7">
        <v>4</v>
      </c>
      <c r="AC398" s="1">
        <v>0.21044367283950599</v>
      </c>
      <c r="AD398" s="1">
        <v>31.746938696782902</v>
      </c>
      <c r="AE398" s="1">
        <v>0.94459747505059799</v>
      </c>
      <c r="AF398" s="1">
        <v>12.564704420115699</v>
      </c>
      <c r="AG398" s="1">
        <v>35.025400964464197</v>
      </c>
      <c r="AH398" s="1">
        <v>0.95165674513529397</v>
      </c>
      <c r="AI398" s="1">
        <v>13.1566411267488</v>
      </c>
      <c r="AJ398" s="1">
        <v>39.098553895950303</v>
      </c>
      <c r="AK398" s="1">
        <v>27.9644727706909</v>
      </c>
      <c r="AL398" s="7"/>
      <c r="AM398" s="1"/>
      <c r="AN398" s="1"/>
      <c r="AO398" s="8"/>
      <c r="AP398" s="1"/>
      <c r="AQ398" s="1"/>
      <c r="AR398" s="1"/>
      <c r="AS398" s="8"/>
      <c r="AT398" s="7">
        <v>0.08</v>
      </c>
      <c r="AU398" s="1">
        <v>0.25121527777777702</v>
      </c>
      <c r="AV398" s="1">
        <v>31.7264589033636</v>
      </c>
      <c r="AW398" s="1">
        <v>0.96717570550687304</v>
      </c>
      <c r="AX398" s="1">
        <v>14.838045996188299</v>
      </c>
      <c r="AY398" s="1">
        <v>34.930780524577202</v>
      </c>
      <c r="AZ398" s="1">
        <v>0.97189506497622202</v>
      </c>
      <c r="BA398" s="1">
        <v>15.5121741442182</v>
      </c>
      <c r="BB398" s="1">
        <v>26.2814860343933</v>
      </c>
      <c r="BC398" s="1">
        <v>16.7837793827056</v>
      </c>
      <c r="BD398" s="7"/>
      <c r="BE398" s="1"/>
      <c r="BF398" s="1"/>
      <c r="BG398" s="8"/>
      <c r="BH398" s="1"/>
      <c r="BI398" s="1"/>
      <c r="BJ398" s="1"/>
      <c r="BK398" s="8"/>
    </row>
    <row r="399" spans="1:63">
      <c r="A399" s="49"/>
      <c r="B399" s="7" t="s">
        <v>18</v>
      </c>
      <c r="C399" s="17">
        <v>0.06</v>
      </c>
      <c r="D399" s="7">
        <v>44</v>
      </c>
      <c r="E399" s="1">
        <v>5.2291666666666597E-2</v>
      </c>
      <c r="F399" s="1">
        <v>28.6030503556794</v>
      </c>
      <c r="G399" s="1">
        <v>0.85867116914121899</v>
      </c>
      <c r="H399" s="1">
        <v>8.4976923372363196</v>
      </c>
      <c r="I399" s="1">
        <v>32.0849505981761</v>
      </c>
      <c r="J399" s="1">
        <v>0.86971207294463404</v>
      </c>
      <c r="K399" s="8">
        <v>8.8509582570072993</v>
      </c>
      <c r="L399" s="7">
        <v>42</v>
      </c>
      <c r="M399" s="1">
        <v>5.3460648148148097E-2</v>
      </c>
      <c r="N399" s="1">
        <v>29.028801403733802</v>
      </c>
      <c r="O399" s="1">
        <v>0.87158917757137</v>
      </c>
      <c r="P399" s="1">
        <v>8.9139837250574399</v>
      </c>
      <c r="Q399" s="1">
        <v>32.605709172576901</v>
      </c>
      <c r="R399" s="1">
        <v>0.882066707443243</v>
      </c>
      <c r="S399" s="1">
        <v>9.2836357630745194</v>
      </c>
      <c r="T399" s="7"/>
      <c r="U399" s="1"/>
      <c r="V399" s="1"/>
      <c r="W399" s="8"/>
      <c r="X399" s="7"/>
      <c r="Y399" s="1"/>
      <c r="Z399" s="1"/>
      <c r="AA399" s="8"/>
      <c r="AB399" s="7">
        <v>2</v>
      </c>
      <c r="AC399" s="1">
        <v>0.105991512345679</v>
      </c>
      <c r="AD399" s="1">
        <v>30.1967373877666</v>
      </c>
      <c r="AE399" s="1">
        <v>0.91227795157867198</v>
      </c>
      <c r="AF399" s="1">
        <v>10.568912355479499</v>
      </c>
      <c r="AG399" s="1">
        <v>33.599908367974997</v>
      </c>
      <c r="AH399" s="1">
        <v>0.92046802537455596</v>
      </c>
      <c r="AI399" s="1">
        <v>10.994582347195299</v>
      </c>
      <c r="AJ399" s="1">
        <v>50.993487596511798</v>
      </c>
      <c r="AK399" s="1">
        <v>36.415471553802398</v>
      </c>
      <c r="AL399" s="7"/>
      <c r="AM399" s="1"/>
      <c r="AN399" s="1"/>
      <c r="AO399" s="8"/>
      <c r="AP399" s="1"/>
      <c r="AQ399" s="1"/>
      <c r="AR399" s="1"/>
      <c r="AS399" s="8"/>
      <c r="AT399" s="7">
        <v>0.04</v>
      </c>
      <c r="AU399" s="1">
        <v>0.15812114197530799</v>
      </c>
      <c r="AV399" s="1">
        <v>30.5391641698433</v>
      </c>
      <c r="AW399" s="1">
        <v>0.949844087973712</v>
      </c>
      <c r="AX399" s="1">
        <v>12.996778680460601</v>
      </c>
      <c r="AY399" s="1">
        <v>33.791386479625203</v>
      </c>
      <c r="AZ399" s="1">
        <v>0.95565009833338499</v>
      </c>
      <c r="BA399" s="1">
        <v>13.531073387565799</v>
      </c>
      <c r="BB399" s="1">
        <v>31.7278087139129</v>
      </c>
      <c r="BC399" s="1">
        <v>22.241198778152398</v>
      </c>
      <c r="BD399" s="7"/>
      <c r="BE399" s="1"/>
      <c r="BF399" s="1"/>
      <c r="BG399" s="8"/>
      <c r="BH399" s="1"/>
      <c r="BI399" s="1"/>
      <c r="BJ399" s="1"/>
      <c r="BK399" s="8"/>
    </row>
    <row r="400" spans="1:63">
      <c r="A400" s="49"/>
      <c r="B400" s="7" t="s">
        <v>87</v>
      </c>
      <c r="C400" s="17">
        <v>1.5</v>
      </c>
      <c r="D400" s="7">
        <v>17</v>
      </c>
      <c r="E400" s="1">
        <v>1.3062255668491001</v>
      </c>
      <c r="F400" s="1">
        <v>45.3090502177022</v>
      </c>
      <c r="G400" s="1">
        <v>0.99762374573789803</v>
      </c>
      <c r="H400" s="1">
        <v>26.241070911658099</v>
      </c>
      <c r="I400" s="1">
        <v>48.705638058609402</v>
      </c>
      <c r="J400" s="1">
        <v>0.998794984327946</v>
      </c>
      <c r="K400" s="8">
        <v>29.190073047554002</v>
      </c>
      <c r="L400" s="7">
        <v>14</v>
      </c>
      <c r="M400" s="1">
        <v>1.3982896794370601</v>
      </c>
      <c r="N400" s="1">
        <v>45.9511539866268</v>
      </c>
      <c r="O400" s="1">
        <v>0.99796418041367796</v>
      </c>
      <c r="P400" s="1">
        <v>26.912607116676099</v>
      </c>
      <c r="Q400" s="1">
        <v>49.493595821316497</v>
      </c>
      <c r="R400" s="1">
        <v>0.99900014275807902</v>
      </c>
      <c r="S400" s="1">
        <v>30.000620034719098</v>
      </c>
      <c r="T400" s="13">
        <f>bdrate(E400:E403,F400:F403,M400:M403,N400:N403)</f>
        <v>-0.25880573818966313</v>
      </c>
      <c r="U400" s="12">
        <f>bdrate(E400:E403,H400:H403,M400:M403,P400:P403)</f>
        <v>-0.24546572235342767</v>
      </c>
      <c r="V400" s="12">
        <f>bdrate(E400:E403,I400:I403,M400:M403,Q400:Q403)</f>
        <v>-0.26171068279715815</v>
      </c>
      <c r="W400" s="14">
        <f>bdrate(E400:E403,K400:K403,M400:M403,S400:S403)</f>
        <v>-0.21708367608741697</v>
      </c>
      <c r="X400" s="13">
        <f>bdrate(E402:E405,F402:F405,M402:M405,N402:N405)</f>
        <v>-0.32830457710550343</v>
      </c>
      <c r="Y400" s="12">
        <f>bdrate(E402:E405,H402:H405,M402:M405,P402:P405)</f>
        <v>-0.29923787278932024</v>
      </c>
      <c r="Z400" s="12">
        <f>bdrate(E402:E405,I402:I405,M402:M405,Q402:Q405)</f>
        <v>-0.3261806616207843</v>
      </c>
      <c r="AA400" s="14">
        <f>bdrate(E402:E405,K402:K405,M402:M405,S402:S405)</f>
        <v>-0.2605418050468411</v>
      </c>
      <c r="AB400" s="7">
        <v>256</v>
      </c>
      <c r="AC400" s="1">
        <v>0.92671032056293901</v>
      </c>
      <c r="AD400" s="1">
        <v>44.649208513069901</v>
      </c>
      <c r="AE400" s="1">
        <v>0.99751369781375798</v>
      </c>
      <c r="AF400" s="1">
        <v>26.044460881474901</v>
      </c>
      <c r="AG400" s="1">
        <v>47.583498590655701</v>
      </c>
      <c r="AH400" s="1">
        <v>0.99849394835920902</v>
      </c>
      <c r="AI400" s="1">
        <v>28.2216013641834</v>
      </c>
      <c r="AJ400" s="1">
        <v>213.74377727508499</v>
      </c>
      <c r="AK400" s="1">
        <v>84.438504695892306</v>
      </c>
      <c r="AL400" s="13">
        <f>bdrate(E400:E403,F400:F403,AC400:AC403,AD400:AD403)</f>
        <v>-0.10904188032004025</v>
      </c>
      <c r="AM400" s="12">
        <f>bdrate(E400:E403,H400:H403,AC400:AC403,AF400:AF403)</f>
        <v>-0.18925819430878654</v>
      </c>
      <c r="AN400" s="12">
        <f>bdrate(E400:E403,I400:I403,AC400:AC403,AG400:AG403)</f>
        <v>-2.8402994904721535E-2</v>
      </c>
      <c r="AO400" s="14">
        <f>bdrate(E400:E403,K400:K403,AC400:AC403,AI400:AI403)</f>
        <v>-5.5229273172802462E-2</v>
      </c>
      <c r="AP400" s="12">
        <f>bdrate(E402:E405,F402:F405,AC402:AC405,AD402:AD405)</f>
        <v>-0.12087854741054882</v>
      </c>
      <c r="AQ400" s="12">
        <f>bdrate(E402:E405,H402:H405,AC402:AC405,AF402:AF405)</f>
        <v>-0.1676752046654103</v>
      </c>
      <c r="AR400" s="12">
        <f>bdrate(E402:E405,I402:I405,AC402:AC405,AG402:AG405)</f>
        <v>-7.1518612654935865E-2</v>
      </c>
      <c r="AS400" s="14">
        <f>bdrate(E402:E405,K402:K405,AC402:AC405,AI402:AI405)</f>
        <v>-7.7544041643794026E-2</v>
      </c>
      <c r="AT400" s="7">
        <v>6.4</v>
      </c>
      <c r="AU400" s="1">
        <v>0.97571344800625404</v>
      </c>
      <c r="AV400" s="1">
        <v>42.916885839550901</v>
      </c>
      <c r="AW400" s="1">
        <v>0.99861821656386496</v>
      </c>
      <c r="AX400" s="1">
        <v>28.595600176431901</v>
      </c>
      <c r="AY400" s="1">
        <v>45.705528373346397</v>
      </c>
      <c r="AZ400" s="1">
        <v>0.99916017427082804</v>
      </c>
      <c r="BA400" s="1">
        <v>30.758108243088699</v>
      </c>
      <c r="BB400" s="1">
        <v>608.14255714416504</v>
      </c>
      <c r="BC400" s="1">
        <v>106.712057352066</v>
      </c>
      <c r="BD400" s="13">
        <f>bdrate(E400:E403,F400:F403,AU400:AU403,AV400:AV403)</f>
        <v>0.51260071764835602</v>
      </c>
      <c r="BE400" s="12">
        <f>bdrate(E400:E403,H400:H403,AU400:AU403,AX400:AX403)</f>
        <v>-0.4745329256087627</v>
      </c>
      <c r="BF400" s="12">
        <f>bdrate(E400:E403,I400:I403,AU400:AU403,AY400:AY403)</f>
        <v>0.64588428889370397</v>
      </c>
      <c r="BG400" s="14">
        <f>bdrate(E400:E403,K400:K403,AU400:AU403,BA400:BA403)</f>
        <v>-0.37379418262364383</v>
      </c>
      <c r="BH400" s="12">
        <f>bdrate(E402:E405,F402:F405,AU402:AU405,AV402:AV405)</f>
        <v>0.24283860899091936</v>
      </c>
      <c r="BI400" s="12">
        <f>bdrate(E402:E405,H402:H405,AU402:AU405,AX402:AX405)</f>
        <v>-0.43097869028716351</v>
      </c>
      <c r="BJ400" s="12">
        <f>bdrate(E402:E405,I402:I405,AU402:AU405,AY402:AY405)</f>
        <v>0.29278422246890234</v>
      </c>
      <c r="BK400" s="14">
        <f>bdrate(E402:E405,K402:K405,AU402:AU405,BA402:BA405)</f>
        <v>-0.37260995115286644</v>
      </c>
    </row>
    <row r="401" spans="1:63">
      <c r="A401" s="49"/>
      <c r="B401" s="7" t="s">
        <v>18</v>
      </c>
      <c r="C401" s="17">
        <v>1</v>
      </c>
      <c r="D401" s="7">
        <v>19</v>
      </c>
      <c r="E401" s="1">
        <v>0.99403505342715603</v>
      </c>
      <c r="F401" s="1">
        <v>44.372312359126902</v>
      </c>
      <c r="G401" s="1">
        <v>0.997070494942638</v>
      </c>
      <c r="H401" s="1">
        <v>25.332057479099099</v>
      </c>
      <c r="I401" s="1">
        <v>47.722292794630299</v>
      </c>
      <c r="J401" s="1">
        <v>0.99846692423934202</v>
      </c>
      <c r="K401" s="8">
        <v>28.144363829000099</v>
      </c>
      <c r="L401" s="7">
        <v>17</v>
      </c>
      <c r="M401" s="1">
        <v>0.88176309616888104</v>
      </c>
      <c r="N401" s="1">
        <v>44.6468147901669</v>
      </c>
      <c r="O401" s="1">
        <v>0.99725841919323799</v>
      </c>
      <c r="P401" s="1">
        <v>25.6199894897311</v>
      </c>
      <c r="Q401" s="1">
        <v>48.035017271005302</v>
      </c>
      <c r="R401" s="1">
        <v>0.99852597227912199</v>
      </c>
      <c r="S401" s="1">
        <v>28.314943489661001</v>
      </c>
      <c r="T401" s="7"/>
      <c r="U401" s="1"/>
      <c r="V401" s="1"/>
      <c r="W401" s="8"/>
      <c r="X401" s="7"/>
      <c r="Y401" s="1"/>
      <c r="Z401" s="1"/>
      <c r="AA401" s="8"/>
      <c r="AB401" s="7">
        <v>128</v>
      </c>
      <c r="AC401" s="1">
        <v>0.59704521761792995</v>
      </c>
      <c r="AD401" s="1">
        <v>43.247174866762897</v>
      </c>
      <c r="AE401" s="1">
        <v>0.99658187411724697</v>
      </c>
      <c r="AF401" s="1">
        <v>24.662119471219299</v>
      </c>
      <c r="AG401" s="1">
        <v>46.133544977793797</v>
      </c>
      <c r="AH401" s="1">
        <v>0.99782849815527297</v>
      </c>
      <c r="AI401" s="1">
        <v>26.632397973613202</v>
      </c>
      <c r="AJ401" s="1">
        <v>252.20950484275801</v>
      </c>
      <c r="AK401" s="1">
        <v>81.916540622711096</v>
      </c>
      <c r="AL401" s="7"/>
      <c r="AM401" s="1"/>
      <c r="AN401" s="1"/>
      <c r="AO401" s="8"/>
      <c r="AP401" s="1"/>
      <c r="AQ401" s="1"/>
      <c r="AR401" s="1"/>
      <c r="AS401" s="8"/>
      <c r="AT401" s="7">
        <v>3.2</v>
      </c>
      <c r="AU401" s="1">
        <v>0.69064698983580897</v>
      </c>
      <c r="AV401" s="1">
        <v>41.753696514766297</v>
      </c>
      <c r="AW401" s="1">
        <v>0.99800571054806997</v>
      </c>
      <c r="AX401" s="1">
        <v>27.002118077833099</v>
      </c>
      <c r="AY401" s="1">
        <v>44.528958247581599</v>
      </c>
      <c r="AZ401" s="1">
        <v>0.99876151553953196</v>
      </c>
      <c r="BA401" s="1">
        <v>29.071094382306001</v>
      </c>
      <c r="BB401" s="1">
        <v>288.56402778625397</v>
      </c>
      <c r="BC401" s="1">
        <v>130.15429091453501</v>
      </c>
      <c r="BD401" s="7"/>
      <c r="BE401" s="1"/>
      <c r="BF401" s="1"/>
      <c r="BG401" s="8"/>
      <c r="BH401" s="1"/>
      <c r="BI401" s="1"/>
      <c r="BJ401" s="1"/>
      <c r="BK401" s="8"/>
    </row>
    <row r="402" spans="1:63">
      <c r="A402" s="49"/>
      <c r="B402" s="7" t="s">
        <v>18</v>
      </c>
      <c r="C402" s="17">
        <v>0.5</v>
      </c>
      <c r="D402" s="7">
        <v>25</v>
      </c>
      <c r="E402" s="1">
        <v>0.47409434454000499</v>
      </c>
      <c r="F402" s="1">
        <v>41.730807169673703</v>
      </c>
      <c r="G402" s="1">
        <v>0.99483848874806402</v>
      </c>
      <c r="H402" s="1">
        <v>22.872231215737798</v>
      </c>
      <c r="I402" s="1">
        <v>44.928496744840501</v>
      </c>
      <c r="J402" s="1">
        <v>0.99697738735665498</v>
      </c>
      <c r="K402" s="8">
        <v>25.196175053649299</v>
      </c>
      <c r="L402" s="7">
        <v>22</v>
      </c>
      <c r="M402" s="1">
        <v>0.45024107375553801</v>
      </c>
      <c r="N402" s="1">
        <v>42.734532807084598</v>
      </c>
      <c r="O402" s="1">
        <v>0.99576586186063998</v>
      </c>
      <c r="P402" s="1">
        <v>23.732349771661401</v>
      </c>
      <c r="Q402" s="1">
        <v>46.007007076599599</v>
      </c>
      <c r="R402" s="1">
        <v>0.99755545766096299</v>
      </c>
      <c r="S402" s="1">
        <v>26.118024364321499</v>
      </c>
      <c r="T402" s="7"/>
      <c r="U402" s="1"/>
      <c r="V402" s="1"/>
      <c r="W402" s="8"/>
      <c r="X402" s="7"/>
      <c r="Y402" s="1"/>
      <c r="Z402" s="1"/>
      <c r="AA402" s="8"/>
      <c r="AB402" s="7">
        <v>64</v>
      </c>
      <c r="AC402" s="1">
        <v>0.45168425853531402</v>
      </c>
      <c r="AD402" s="1">
        <v>41.869562880764697</v>
      </c>
      <c r="AE402" s="1">
        <v>0.995362341500167</v>
      </c>
      <c r="AF402" s="1">
        <v>23.337012343739001</v>
      </c>
      <c r="AG402" s="1">
        <v>44.727179226840299</v>
      </c>
      <c r="AH402" s="1">
        <v>0.99691028119164604</v>
      </c>
      <c r="AI402" s="1">
        <v>25.100810434027998</v>
      </c>
      <c r="AJ402" s="1">
        <v>49.706825256347599</v>
      </c>
      <c r="AK402" s="1">
        <v>28.931509256362901</v>
      </c>
      <c r="AL402" s="7"/>
      <c r="AM402" s="1"/>
      <c r="AN402" s="1"/>
      <c r="AO402" s="8"/>
      <c r="AP402" s="1"/>
      <c r="AQ402" s="1"/>
      <c r="AR402" s="1"/>
      <c r="AS402" s="8"/>
      <c r="AT402" s="7">
        <v>1.28</v>
      </c>
      <c r="AU402" s="1">
        <v>0.44193054469637699</v>
      </c>
      <c r="AV402" s="1">
        <v>39.479987952247001</v>
      </c>
      <c r="AW402" s="1">
        <v>0.99675272880764698</v>
      </c>
      <c r="AX402" s="1">
        <v>24.884814402240401</v>
      </c>
      <c r="AY402" s="1">
        <v>42.275170335901301</v>
      </c>
      <c r="AZ402" s="1">
        <v>0.99788871258075096</v>
      </c>
      <c r="BA402" s="1">
        <v>26.754526401661199</v>
      </c>
      <c r="BB402" s="1">
        <v>88.990996837615896</v>
      </c>
      <c r="BC402" s="1">
        <v>35.941166400909403</v>
      </c>
      <c r="BD402" s="7"/>
      <c r="BE402" s="1"/>
      <c r="BF402" s="1"/>
      <c r="BG402" s="8"/>
      <c r="BH402" s="1"/>
      <c r="BI402" s="1"/>
      <c r="BJ402" s="1"/>
      <c r="BK402" s="8"/>
    </row>
    <row r="403" spans="1:63">
      <c r="A403" s="49"/>
      <c r="B403" s="7" t="s">
        <v>18</v>
      </c>
      <c r="C403" s="17">
        <v>0.25</v>
      </c>
      <c r="D403" s="7">
        <v>31</v>
      </c>
      <c r="E403" s="1">
        <v>0.24056228824602499</v>
      </c>
      <c r="F403" s="1">
        <v>38.7701226009927</v>
      </c>
      <c r="G403" s="1">
        <v>0.99016358360971701</v>
      </c>
      <c r="H403" s="1">
        <v>20.071630952063501</v>
      </c>
      <c r="I403" s="1">
        <v>41.805936184526601</v>
      </c>
      <c r="J403" s="1">
        <v>0.99338869711915301</v>
      </c>
      <c r="K403" s="8">
        <v>21.797129462323099</v>
      </c>
      <c r="L403" s="7">
        <v>28</v>
      </c>
      <c r="M403" s="1">
        <v>0.22526713578316299</v>
      </c>
      <c r="N403" s="1">
        <v>40.239644435590897</v>
      </c>
      <c r="O403" s="1">
        <v>0.99255694093521996</v>
      </c>
      <c r="P403" s="1">
        <v>21.282485346281899</v>
      </c>
      <c r="Q403" s="1">
        <v>43.3195321502361</v>
      </c>
      <c r="R403" s="1">
        <v>0.99499664192952397</v>
      </c>
      <c r="S403" s="1">
        <v>23.0073841527228</v>
      </c>
      <c r="T403" s="7"/>
      <c r="U403" s="1"/>
      <c r="V403" s="1"/>
      <c r="W403" s="8"/>
      <c r="X403" s="7"/>
      <c r="Y403" s="1"/>
      <c r="Z403" s="1"/>
      <c r="AA403" s="8"/>
      <c r="AB403" s="7">
        <v>16</v>
      </c>
      <c r="AC403" s="1">
        <v>0.23044370602032799</v>
      </c>
      <c r="AD403" s="1">
        <v>39.080459855413402</v>
      </c>
      <c r="AE403" s="1">
        <v>0.991278878799976</v>
      </c>
      <c r="AF403" s="1">
        <v>20.5942767794796</v>
      </c>
      <c r="AG403" s="1">
        <v>41.851222003524299</v>
      </c>
      <c r="AH403" s="1">
        <v>0.99351165136149699</v>
      </c>
      <c r="AI403" s="1">
        <v>21.878658222201899</v>
      </c>
      <c r="AJ403" s="1">
        <v>54.538983821868896</v>
      </c>
      <c r="AK403" s="1">
        <v>26.593019247055</v>
      </c>
      <c r="AL403" s="7"/>
      <c r="AM403" s="1"/>
      <c r="AN403" s="1"/>
      <c r="AO403" s="8"/>
      <c r="AP403" s="1"/>
      <c r="AQ403" s="1"/>
      <c r="AR403" s="1"/>
      <c r="AS403" s="8"/>
      <c r="AT403" s="7">
        <v>0.32</v>
      </c>
      <c r="AU403" s="1">
        <v>0.20796520719311901</v>
      </c>
      <c r="AV403" s="1">
        <v>37.047458992451404</v>
      </c>
      <c r="AW403" s="1">
        <v>0.99366317658362002</v>
      </c>
      <c r="AX403" s="1">
        <v>21.981283948726102</v>
      </c>
      <c r="AY403" s="1">
        <v>39.836965554233799</v>
      </c>
      <c r="AZ403" s="1">
        <v>0.99547186522639397</v>
      </c>
      <c r="BA403" s="1">
        <v>23.440806554588601</v>
      </c>
      <c r="BB403" s="1">
        <v>68.496476411819401</v>
      </c>
      <c r="BC403" s="1">
        <v>42.613922595977698</v>
      </c>
      <c r="BD403" s="7"/>
      <c r="BE403" s="1"/>
      <c r="BF403" s="1"/>
      <c r="BG403" s="8"/>
      <c r="BH403" s="1"/>
      <c r="BI403" s="1"/>
      <c r="BJ403" s="1"/>
      <c r="BK403" s="8"/>
    </row>
    <row r="404" spans="1:63">
      <c r="A404" s="49"/>
      <c r="B404" s="7" t="s">
        <v>18</v>
      </c>
      <c r="C404" s="17">
        <v>0.12</v>
      </c>
      <c r="D404" s="7">
        <v>38</v>
      </c>
      <c r="E404" s="1">
        <v>0.10946377378159999</v>
      </c>
      <c r="F404" s="1">
        <v>34.956251504646097</v>
      </c>
      <c r="G404" s="1">
        <v>0.97732963123746797</v>
      </c>
      <c r="H404" s="1">
        <v>16.4454141546104</v>
      </c>
      <c r="I404" s="1">
        <v>37.900003554561998</v>
      </c>
      <c r="J404" s="1">
        <v>0.98279236940716597</v>
      </c>
      <c r="K404" s="8">
        <v>17.642789257967799</v>
      </c>
      <c r="L404" s="7">
        <v>34</v>
      </c>
      <c r="M404" s="1">
        <v>0.11826948136565001</v>
      </c>
      <c r="N404" s="1">
        <v>37.337612162763698</v>
      </c>
      <c r="O404" s="1">
        <v>0.985849770979358</v>
      </c>
      <c r="P404" s="1">
        <v>18.492365310516298</v>
      </c>
      <c r="Q404" s="1">
        <v>40.300427720822199</v>
      </c>
      <c r="R404" s="1">
        <v>0.98917578773663195</v>
      </c>
      <c r="S404" s="1">
        <v>19.6560369978945</v>
      </c>
      <c r="T404" s="7"/>
      <c r="U404" s="1"/>
      <c r="V404" s="1"/>
      <c r="W404" s="8"/>
      <c r="X404" s="7"/>
      <c r="Y404" s="1"/>
      <c r="Z404" s="1"/>
      <c r="AA404" s="8"/>
      <c r="AB404" s="7">
        <v>4</v>
      </c>
      <c r="AC404" s="1">
        <v>0.115471071149335</v>
      </c>
      <c r="AD404" s="1">
        <v>36.0188320033661</v>
      </c>
      <c r="AE404" s="1">
        <v>0.98286137890025105</v>
      </c>
      <c r="AF404" s="1">
        <v>17.660241224863402</v>
      </c>
      <c r="AG404" s="1">
        <v>38.776354135756399</v>
      </c>
      <c r="AH404" s="1">
        <v>0.98610908651483198</v>
      </c>
      <c r="AI404" s="1">
        <v>18.5726919353359</v>
      </c>
      <c r="AJ404" s="1">
        <v>45.317506551742497</v>
      </c>
      <c r="AK404" s="1">
        <v>33.456139802932697</v>
      </c>
      <c r="AL404" s="7"/>
      <c r="AM404" s="1"/>
      <c r="AN404" s="1"/>
      <c r="AO404" s="8"/>
      <c r="AP404" s="1"/>
      <c r="AQ404" s="1"/>
      <c r="AR404" s="1"/>
      <c r="AS404" s="8"/>
      <c r="AT404" s="7">
        <v>0.08</v>
      </c>
      <c r="AU404" s="1">
        <v>0.10628420641125801</v>
      </c>
      <c r="AV404" s="1">
        <v>34.049692879741698</v>
      </c>
      <c r="AW404" s="1">
        <v>0.98682071077078104</v>
      </c>
      <c r="AX404" s="1">
        <v>18.8010801099784</v>
      </c>
      <c r="AY404" s="1">
        <v>36.812969564968597</v>
      </c>
      <c r="AZ404" s="1">
        <v>0.98984913377373596</v>
      </c>
      <c r="BA404" s="1">
        <v>19.934968955601601</v>
      </c>
      <c r="BB404" s="1">
        <v>30.039300680160501</v>
      </c>
      <c r="BC404" s="1">
        <v>19.277001857757501</v>
      </c>
      <c r="BD404" s="7"/>
      <c r="BE404" s="1"/>
      <c r="BF404" s="1"/>
      <c r="BG404" s="8"/>
      <c r="BH404" s="1"/>
      <c r="BI404" s="1"/>
      <c r="BJ404" s="1"/>
      <c r="BK404" s="8"/>
    </row>
    <row r="405" spans="1:63">
      <c r="A405" s="49"/>
      <c r="B405" s="7" t="s">
        <v>18</v>
      </c>
      <c r="C405" s="17">
        <v>0.06</v>
      </c>
      <c r="D405" s="7">
        <v>44</v>
      </c>
      <c r="E405" s="1">
        <v>5.3847406828251197E-2</v>
      </c>
      <c r="F405" s="1">
        <v>31.490550227736598</v>
      </c>
      <c r="G405" s="1">
        <v>0.95239469487767403</v>
      </c>
      <c r="H405" s="1">
        <v>13.22344646923</v>
      </c>
      <c r="I405" s="1">
        <v>34.443768691312798</v>
      </c>
      <c r="J405" s="1">
        <v>0.96028067437076803</v>
      </c>
      <c r="K405" s="8">
        <v>14.0099813374135</v>
      </c>
      <c r="L405" s="7">
        <v>41</v>
      </c>
      <c r="M405" s="1">
        <v>5.4264399270263199E-2</v>
      </c>
      <c r="N405" s="1">
        <v>33.377602471020097</v>
      </c>
      <c r="O405" s="1">
        <v>0.96722184807424905</v>
      </c>
      <c r="P405" s="1">
        <v>14.844155361552099</v>
      </c>
      <c r="Q405" s="1">
        <v>36.355601361167302</v>
      </c>
      <c r="R405" s="1">
        <v>0.97245776189330602</v>
      </c>
      <c r="S405" s="1">
        <v>15.6000077149038</v>
      </c>
      <c r="T405" s="7"/>
      <c r="U405" s="1"/>
      <c r="V405" s="1"/>
      <c r="W405" s="8"/>
      <c r="X405" s="7"/>
      <c r="Y405" s="1"/>
      <c r="Z405" s="1"/>
      <c r="AA405" s="8"/>
      <c r="AB405" s="7">
        <v>2</v>
      </c>
      <c r="AC405" s="1">
        <v>8.1160411780036398E-2</v>
      </c>
      <c r="AD405" s="1">
        <v>34.2437958559454</v>
      </c>
      <c r="AE405" s="1">
        <v>0.97517326858646403</v>
      </c>
      <c r="AF405" s="1">
        <v>16.050804541266899</v>
      </c>
      <c r="AG405" s="1">
        <v>37.003994690126099</v>
      </c>
      <c r="AH405" s="1">
        <v>0.97933939185947305</v>
      </c>
      <c r="AI405" s="1">
        <v>16.848568992642299</v>
      </c>
      <c r="AJ405" s="1">
        <v>60.610593557357703</v>
      </c>
      <c r="AK405" s="1">
        <v>41.399580001830998</v>
      </c>
      <c r="AL405" s="7"/>
      <c r="AM405" s="1"/>
      <c r="AN405" s="1"/>
      <c r="AO405" s="8"/>
      <c r="AP405" s="1"/>
      <c r="AQ405" s="1"/>
      <c r="AR405" s="1"/>
      <c r="AS405" s="8"/>
      <c r="AT405" s="7">
        <v>0.04</v>
      </c>
      <c r="AU405" s="1">
        <v>7.3283163930153702E-2</v>
      </c>
      <c r="AV405" s="1">
        <v>32.440226525678803</v>
      </c>
      <c r="AW405" s="1">
        <v>0.98071963618548996</v>
      </c>
      <c r="AX405" s="1">
        <v>17.148847753531498</v>
      </c>
      <c r="AY405" s="1">
        <v>35.208580944095303</v>
      </c>
      <c r="AZ405" s="1">
        <v>0.98468043956032203</v>
      </c>
      <c r="BA405" s="1">
        <v>18.147536956277602</v>
      </c>
      <c r="BB405" s="1">
        <v>36.501986742019596</v>
      </c>
      <c r="BC405" s="1">
        <v>26.043246030807399</v>
      </c>
      <c r="BD405" s="7"/>
      <c r="BE405" s="1"/>
      <c r="BF405" s="1"/>
      <c r="BG405" s="8"/>
      <c r="BH405" s="1"/>
      <c r="BI405" s="1"/>
      <c r="BJ405" s="1"/>
      <c r="BK405" s="8"/>
    </row>
    <row r="406" spans="1:63">
      <c r="A406" s="49"/>
      <c r="B406" s="7" t="s">
        <v>88</v>
      </c>
      <c r="C406" s="17">
        <v>1.5</v>
      </c>
      <c r="D406" s="7">
        <v>21</v>
      </c>
      <c r="E406" s="1">
        <v>1.4435351562500001</v>
      </c>
      <c r="F406" s="1">
        <v>43.4661783611121</v>
      </c>
      <c r="G406" s="1">
        <v>0.99557548494164205</v>
      </c>
      <c r="H406" s="1">
        <v>23.541343224848902</v>
      </c>
      <c r="I406" s="1">
        <v>47.173162331557798</v>
      </c>
      <c r="J406" s="1">
        <v>0.99802661871901799</v>
      </c>
      <c r="K406" s="8">
        <v>27.047889957267401</v>
      </c>
      <c r="L406" s="7">
        <v>17</v>
      </c>
      <c r="M406" s="1">
        <v>1.4552669270833301</v>
      </c>
      <c r="N406" s="1">
        <v>44.941338351025401</v>
      </c>
      <c r="O406" s="1">
        <v>0.99672053942201699</v>
      </c>
      <c r="P406" s="1">
        <v>24.841975853344199</v>
      </c>
      <c r="Q406" s="1">
        <v>48.661782367408001</v>
      </c>
      <c r="R406" s="1">
        <v>0.99847171080944497</v>
      </c>
      <c r="S406" s="1">
        <v>28.157944586016601</v>
      </c>
      <c r="T406" s="13">
        <f>bdrate(E406:E409,F406:F409,M406:M409,N406:N409)</f>
        <v>-0.27345885542144477</v>
      </c>
      <c r="U406" s="12">
        <f>bdrate(E406:E409,H406:H409,M406:M409,P406:P409)</f>
        <v>-0.31032475398353898</v>
      </c>
      <c r="V406" s="12">
        <f>bdrate(E406:E409,I406:I409,M406:M409,Q406:Q409)</f>
        <v>-0.24621183300916238</v>
      </c>
      <c r="W406" s="14">
        <f>bdrate(E406:E409,K406:K409,M406:M409,S406:S409)</f>
        <v>-0.20698672153238939</v>
      </c>
      <c r="X406" s="13">
        <f>bdrate(E408:E411,F408:F411,M408:M411,N408:N411)</f>
        <v>-0.25476059869437684</v>
      </c>
      <c r="Y406" s="12">
        <f>bdrate(E408:E411,H408:H411,M408:M411,P408:P411)</f>
        <v>-0.27379326081370448</v>
      </c>
      <c r="Z406" s="12">
        <f>bdrate(E408:E411,I408:I411,M408:M411,Q408:Q411)</f>
        <v>-0.26485876442184964</v>
      </c>
      <c r="AA406" s="14">
        <f>bdrate(E408:E411,K408:K411,M408:M411,S408:S411)</f>
        <v>-0.18665238411770657</v>
      </c>
      <c r="AB406" s="7">
        <v>256</v>
      </c>
      <c r="AC406" s="1">
        <v>1.19730794270833</v>
      </c>
      <c r="AD406" s="1">
        <v>43.670938504345202</v>
      </c>
      <c r="AE406" s="1">
        <v>0.99728218912464806</v>
      </c>
      <c r="AF406" s="1">
        <v>25.6578076785697</v>
      </c>
      <c r="AG406" s="1">
        <v>46.587754350598701</v>
      </c>
      <c r="AH406" s="1">
        <v>0.99842301992615901</v>
      </c>
      <c r="AI406" s="1">
        <v>28.021737942270299</v>
      </c>
      <c r="AJ406" s="1">
        <v>220.90061402320799</v>
      </c>
      <c r="AK406" s="1">
        <v>81.014319658279405</v>
      </c>
      <c r="AL406" s="13">
        <f>bdrate(E406:E409,F406:F409,AC406:AC409,AD406:AD409)</f>
        <v>-0.23546145976678701</v>
      </c>
      <c r="AM406" s="12">
        <f>bdrate(E406:E409,H406:H409,AC406:AC409,AF406:AF409)</f>
        <v>-0.44360166763308828</v>
      </c>
      <c r="AN406" s="12">
        <f>bdrate(E406:E409,I406:I409,AC406:AC409,AG406:AG409)</f>
        <v>-0.15763876176734504</v>
      </c>
      <c r="AO406" s="14">
        <f>bdrate(E406:E409,K406:K409,AC406:AC409,AI406:AI409)</f>
        <v>-0.28349238160435308</v>
      </c>
      <c r="AP406" s="12">
        <f>bdrate(E408:E411,F408:F411,AC408:AC411,AD408:AD411)</f>
        <v>-0.21248973268666993</v>
      </c>
      <c r="AQ406" s="12">
        <f>bdrate(E408:E411,H408:H411,AC408:AC411,AF408:AF411)</f>
        <v>-0.44811285987566152</v>
      </c>
      <c r="AR406" s="12">
        <f>bdrate(E408:E411,I408:I411,AC408:AC411,AG408:AG411)</f>
        <v>-0.18418944609685284</v>
      </c>
      <c r="AS406" s="14">
        <f>bdrate(E408:E411,K408:K411,AC408:AC411,AI408:AI411)</f>
        <v>-0.32340797679563527</v>
      </c>
      <c r="AT406" s="7">
        <v>6.4</v>
      </c>
      <c r="AU406" s="1">
        <v>1.16191731770833</v>
      </c>
      <c r="AV406" s="1">
        <v>40.3028164879358</v>
      </c>
      <c r="AW406" s="1">
        <v>0.99835470815162197</v>
      </c>
      <c r="AX406" s="1">
        <v>27.8375705400721</v>
      </c>
      <c r="AY406" s="1">
        <v>42.749686335693703</v>
      </c>
      <c r="AZ406" s="1">
        <v>0.99896392083241103</v>
      </c>
      <c r="BA406" s="1">
        <v>29.846070585549899</v>
      </c>
      <c r="BB406" s="1">
        <v>539.59557414054802</v>
      </c>
      <c r="BC406" s="1">
        <v>102.698278903961</v>
      </c>
      <c r="BD406" s="13">
        <f>bdrate(E406:E409,F406:F409,AU406:AU409,AV406:AV409)</f>
        <v>0.38314006803505585</v>
      </c>
      <c r="BE406" s="12">
        <f>bdrate(E406:E409,H406:H409,AU406:AU409,AX406:AX409)</f>
        <v>-0.65670058212596727</v>
      </c>
      <c r="BF406" s="12">
        <f>bdrate(E406:E409,I406:I409,AU406:AU409,AY406:AY409)</f>
        <v>0.47475391304502867</v>
      </c>
      <c r="BG406" s="14">
        <f>bdrate(E406:E409,K406:K409,AU406:AU409,BA406:BA409)</f>
        <v>-0.52068817600541217</v>
      </c>
      <c r="BH406" s="12">
        <f>bdrate(E408:E411,F408:F411,AU408:AU411,AV408:AV411)</f>
        <v>0.31363009192844915</v>
      </c>
      <c r="BI406" s="12">
        <f>bdrate(E408:E411,H408:H411,AU408:AU411,AX408:AX411)</f>
        <v>-0.64211030595166418</v>
      </c>
      <c r="BJ406" s="12">
        <f>bdrate(E408:E411,I408:I411,AU408:AU411,AY408:AY411)</f>
        <v>0.32715898945158406</v>
      </c>
      <c r="BK406" s="14">
        <f>bdrate(E408:E411,K408:K411,AU408:AU411,BA408:BA411)</f>
        <v>-0.55774112687650412</v>
      </c>
    </row>
    <row r="407" spans="1:63">
      <c r="A407" s="49"/>
      <c r="B407" s="7" t="s">
        <v>18</v>
      </c>
      <c r="C407" s="17">
        <v>1</v>
      </c>
      <c r="D407" s="7">
        <v>25</v>
      </c>
      <c r="E407" s="1">
        <v>0.94330078125000005</v>
      </c>
      <c r="F407" s="1">
        <v>40.9511231838651</v>
      </c>
      <c r="G407" s="1">
        <v>0.99290790157962405</v>
      </c>
      <c r="H407" s="1">
        <v>21.492252461211098</v>
      </c>
      <c r="I407" s="1">
        <v>44.317843673163601</v>
      </c>
      <c r="J407" s="1">
        <v>0.99644926355233598</v>
      </c>
      <c r="K407" s="8">
        <v>24.4968156187836</v>
      </c>
      <c r="L407" s="7">
        <v>21</v>
      </c>
      <c r="M407" s="1">
        <v>0.963619791666666</v>
      </c>
      <c r="N407" s="1">
        <v>42.8265645368351</v>
      </c>
      <c r="O407" s="1">
        <v>0.99527772119299296</v>
      </c>
      <c r="P407" s="1">
        <v>23.258483754169799</v>
      </c>
      <c r="Q407" s="1">
        <v>46.210892474512598</v>
      </c>
      <c r="R407" s="1">
        <v>0.99754948876493399</v>
      </c>
      <c r="S407" s="1">
        <v>26.107433020001999</v>
      </c>
      <c r="T407" s="7"/>
      <c r="U407" s="1"/>
      <c r="V407" s="1"/>
      <c r="W407" s="8"/>
      <c r="X407" s="7"/>
      <c r="Y407" s="1"/>
      <c r="Z407" s="1"/>
      <c r="AA407" s="8"/>
      <c r="AB407" s="7">
        <v>128</v>
      </c>
      <c r="AC407" s="1">
        <v>0.90746419270833301</v>
      </c>
      <c r="AD407" s="1">
        <v>42.409753815960599</v>
      </c>
      <c r="AE407" s="1">
        <v>0.99625556613772404</v>
      </c>
      <c r="AF407" s="1">
        <v>24.266138359287599</v>
      </c>
      <c r="AG407" s="1">
        <v>45.123216374672403</v>
      </c>
      <c r="AH407" s="1">
        <v>0.99766465061162102</v>
      </c>
      <c r="AI407" s="1">
        <v>26.316481360427201</v>
      </c>
      <c r="AJ407" s="1">
        <v>253.57846975326501</v>
      </c>
      <c r="AK407" s="1">
        <v>81.912531137466402</v>
      </c>
      <c r="AL407" s="7"/>
      <c r="AM407" s="1"/>
      <c r="AN407" s="1"/>
      <c r="AO407" s="8"/>
      <c r="AP407" s="1"/>
      <c r="AQ407" s="1"/>
      <c r="AR407" s="1"/>
      <c r="AS407" s="8"/>
      <c r="AT407" s="7">
        <v>3.2</v>
      </c>
      <c r="AU407" s="1">
        <v>0.84244466145833297</v>
      </c>
      <c r="AV407" s="1">
        <v>38.729405836863599</v>
      </c>
      <c r="AW407" s="1">
        <v>0.99762185705517603</v>
      </c>
      <c r="AX407" s="1">
        <v>26.2376204446823</v>
      </c>
      <c r="AY407" s="1">
        <v>41.206060839924803</v>
      </c>
      <c r="AZ407" s="1">
        <v>0.99842598012136197</v>
      </c>
      <c r="BA407" s="1">
        <v>28.029897871434699</v>
      </c>
      <c r="BB407" s="1">
        <v>258.92207765579201</v>
      </c>
      <c r="BC407" s="1">
        <v>130.15332221984801</v>
      </c>
      <c r="BD407" s="7"/>
      <c r="BE407" s="1"/>
      <c r="BF407" s="1"/>
      <c r="BG407" s="8"/>
      <c r="BH407" s="1"/>
      <c r="BI407" s="1"/>
      <c r="BJ407" s="1"/>
      <c r="BK407" s="8"/>
    </row>
    <row r="408" spans="1:63">
      <c r="A408" s="49"/>
      <c r="B408" s="7" t="s">
        <v>18</v>
      </c>
      <c r="C408" s="17">
        <v>0.5</v>
      </c>
      <c r="D408" s="7">
        <v>31</v>
      </c>
      <c r="E408" s="1">
        <v>0.46175781249999998</v>
      </c>
      <c r="F408" s="1">
        <v>37.177262233556597</v>
      </c>
      <c r="G408" s="1">
        <v>0.98456846128917597</v>
      </c>
      <c r="H408" s="1">
        <v>18.1159076737157</v>
      </c>
      <c r="I408" s="1">
        <v>40.024963787160097</v>
      </c>
      <c r="J408" s="1">
        <v>0.99042892961220697</v>
      </c>
      <c r="K408" s="8">
        <v>20.190394898598399</v>
      </c>
      <c r="L408" s="7">
        <v>28</v>
      </c>
      <c r="M408" s="1">
        <v>0.459166666666666</v>
      </c>
      <c r="N408" s="1">
        <v>38.799311621306501</v>
      </c>
      <c r="O408" s="1">
        <v>0.98960033144145199</v>
      </c>
      <c r="P408" s="1">
        <v>19.829805016134799</v>
      </c>
      <c r="Q408" s="1">
        <v>41.602646501306999</v>
      </c>
      <c r="R408" s="1">
        <v>0.99285480235358603</v>
      </c>
      <c r="S408" s="1">
        <v>21.459857534986501</v>
      </c>
      <c r="T408" s="7"/>
      <c r="U408" s="1"/>
      <c r="V408" s="1"/>
      <c r="W408" s="8"/>
      <c r="X408" s="7"/>
      <c r="Y408" s="1"/>
      <c r="Z408" s="1"/>
      <c r="AA408" s="8"/>
      <c r="AB408" s="7">
        <v>32</v>
      </c>
      <c r="AC408" s="1">
        <v>0.46540039062499999</v>
      </c>
      <c r="AD408" s="1">
        <v>38.509466732220801</v>
      </c>
      <c r="AE408" s="1">
        <v>0.991789793621074</v>
      </c>
      <c r="AF408" s="1">
        <v>20.856459259375299</v>
      </c>
      <c r="AG408" s="1">
        <v>40.998507182800203</v>
      </c>
      <c r="AH408" s="1">
        <v>0.99384889440597801</v>
      </c>
      <c r="AI408" s="1">
        <v>22.110468175207</v>
      </c>
      <c r="AJ408" s="1">
        <v>39.261462211608801</v>
      </c>
      <c r="AK408" s="1">
        <v>20.904648065566999</v>
      </c>
      <c r="AL408" s="7"/>
      <c r="AM408" s="1"/>
      <c r="AN408" s="1"/>
      <c r="AO408" s="8"/>
      <c r="AP408" s="1"/>
      <c r="AQ408" s="1"/>
      <c r="AR408" s="1"/>
      <c r="AS408" s="8"/>
      <c r="AT408" s="7">
        <v>1.28</v>
      </c>
      <c r="AU408" s="1">
        <v>0.54591471354166599</v>
      </c>
      <c r="AV408" s="1">
        <v>36.305062099522303</v>
      </c>
      <c r="AW408" s="1">
        <v>0.99601536496343301</v>
      </c>
      <c r="AX408" s="1">
        <v>23.996114506452301</v>
      </c>
      <c r="AY408" s="1">
        <v>38.861182135843499</v>
      </c>
      <c r="AZ408" s="1">
        <v>0.99718569081861497</v>
      </c>
      <c r="BA408" s="1">
        <v>25.506281924758401</v>
      </c>
      <c r="BB408" s="1">
        <v>77.787521839141803</v>
      </c>
      <c r="BC408" s="1">
        <v>36.910716772079397</v>
      </c>
      <c r="BD408" s="7"/>
      <c r="BE408" s="1"/>
      <c r="BF408" s="1"/>
      <c r="BG408" s="8"/>
      <c r="BH408" s="1"/>
      <c r="BI408" s="1"/>
      <c r="BJ408" s="1"/>
      <c r="BK408" s="8"/>
    </row>
    <row r="409" spans="1:63">
      <c r="A409" s="49"/>
      <c r="B409" s="7" t="s">
        <v>18</v>
      </c>
      <c r="C409" s="17">
        <v>0.25</v>
      </c>
      <c r="D409" s="7">
        <v>36</v>
      </c>
      <c r="E409" s="1">
        <v>0.22643229166666601</v>
      </c>
      <c r="F409" s="1">
        <v>34.108615626625202</v>
      </c>
      <c r="G409" s="1">
        <v>0.97032839408196003</v>
      </c>
      <c r="H409" s="1">
        <v>15.2765894770173</v>
      </c>
      <c r="I409" s="1">
        <v>36.757682682788499</v>
      </c>
      <c r="J409" s="1">
        <v>0.97763029843802496</v>
      </c>
      <c r="K409" s="8">
        <v>16.503398098618899</v>
      </c>
      <c r="L409" s="7">
        <v>33</v>
      </c>
      <c r="M409" s="1">
        <v>0.24418294270833299</v>
      </c>
      <c r="N409" s="1">
        <v>35.684803928897402</v>
      </c>
      <c r="O409" s="1">
        <v>0.979975316680053</v>
      </c>
      <c r="P409" s="1">
        <v>16.984343433329698</v>
      </c>
      <c r="Q409" s="1">
        <v>38.3687123003577</v>
      </c>
      <c r="R409" s="1">
        <v>0.98390630001899704</v>
      </c>
      <c r="S409" s="1">
        <v>17.933440990578799</v>
      </c>
      <c r="T409" s="7"/>
      <c r="U409" s="1"/>
      <c r="V409" s="1"/>
      <c r="W409" s="8"/>
      <c r="X409" s="7"/>
      <c r="Y409" s="1"/>
      <c r="Z409" s="1"/>
      <c r="AA409" s="8"/>
      <c r="AB409" s="7">
        <v>8</v>
      </c>
      <c r="AC409" s="1">
        <v>0.20882486979166601</v>
      </c>
      <c r="AD409" s="1">
        <v>34.750267694663002</v>
      </c>
      <c r="AE409" s="1">
        <v>0.98116682538282096</v>
      </c>
      <c r="AF409" s="1">
        <v>17.250764668917601</v>
      </c>
      <c r="AG409" s="1">
        <v>37.252335657627199</v>
      </c>
      <c r="AH409" s="1">
        <v>0.98379132203472197</v>
      </c>
      <c r="AI409" s="1">
        <v>17.902524062371601</v>
      </c>
      <c r="AJ409" s="1">
        <v>33.201596260070801</v>
      </c>
      <c r="AK409" s="1">
        <v>19.274730920791601</v>
      </c>
      <c r="AL409" s="7"/>
      <c r="AM409" s="1"/>
      <c r="AN409" s="1"/>
      <c r="AO409" s="8"/>
      <c r="AP409" s="1"/>
      <c r="AQ409" s="1"/>
      <c r="AR409" s="1"/>
      <c r="AS409" s="8"/>
      <c r="AT409" s="7">
        <v>0.32</v>
      </c>
      <c r="AU409" s="1">
        <v>0.285029296875</v>
      </c>
      <c r="AV409" s="1">
        <v>33.867130020132699</v>
      </c>
      <c r="AW409" s="1">
        <v>0.99193102430998803</v>
      </c>
      <c r="AX409" s="1">
        <v>20.931815929619798</v>
      </c>
      <c r="AY409" s="1">
        <v>36.533337510896601</v>
      </c>
      <c r="AZ409" s="1">
        <v>0.993693345035771</v>
      </c>
      <c r="BA409" s="1">
        <v>22.0020092851687</v>
      </c>
      <c r="BB409" s="1">
        <v>64.282031774520803</v>
      </c>
      <c r="BC409" s="1">
        <v>41.843055248260498</v>
      </c>
      <c r="BD409" s="7"/>
      <c r="BE409" s="1"/>
      <c r="BF409" s="1"/>
      <c r="BG409" s="8"/>
      <c r="BH409" s="1"/>
      <c r="BI409" s="1"/>
      <c r="BJ409" s="1"/>
      <c r="BK409" s="8"/>
    </row>
    <row r="410" spans="1:63">
      <c r="A410" s="49"/>
      <c r="B410" s="7" t="s">
        <v>18</v>
      </c>
      <c r="C410" s="17">
        <v>0.12</v>
      </c>
      <c r="D410" s="7">
        <v>40</v>
      </c>
      <c r="E410" s="1">
        <v>0.116956380208333</v>
      </c>
      <c r="F410" s="1">
        <v>31.864465939640201</v>
      </c>
      <c r="G410" s="1">
        <v>0.95193235722875502</v>
      </c>
      <c r="H410" s="1">
        <v>13.1814717507423</v>
      </c>
      <c r="I410" s="1">
        <v>34.521480185188203</v>
      </c>
      <c r="J410" s="1">
        <v>0.95902281085738095</v>
      </c>
      <c r="K410" s="8">
        <v>13.874578356302299</v>
      </c>
      <c r="L410" s="7">
        <v>38</v>
      </c>
      <c r="M410" s="1">
        <v>0.111012369791666</v>
      </c>
      <c r="N410" s="1">
        <v>32.5576325777851</v>
      </c>
      <c r="O410" s="1">
        <v>0.95861450276270299</v>
      </c>
      <c r="P410" s="1">
        <v>13.8315182248478</v>
      </c>
      <c r="Q410" s="1">
        <v>35.293506369748201</v>
      </c>
      <c r="R410" s="1">
        <v>0.96307694674630695</v>
      </c>
      <c r="S410" s="1">
        <v>14.32702393334</v>
      </c>
      <c r="T410" s="7"/>
      <c r="U410" s="1"/>
      <c r="V410" s="1"/>
      <c r="W410" s="8"/>
      <c r="X410" s="7"/>
      <c r="Y410" s="1"/>
      <c r="Z410" s="1"/>
      <c r="AA410" s="8"/>
      <c r="AB410" s="7">
        <v>4</v>
      </c>
      <c r="AC410" s="1">
        <v>0.13273763020833301</v>
      </c>
      <c r="AD410" s="1">
        <v>32.996738768729699</v>
      </c>
      <c r="AE410" s="1">
        <v>0.97195288250351097</v>
      </c>
      <c r="AF410" s="1">
        <v>15.521117661260201</v>
      </c>
      <c r="AG410" s="1">
        <v>35.581016313287201</v>
      </c>
      <c r="AH410" s="1">
        <v>0.97479851732901801</v>
      </c>
      <c r="AI410" s="1">
        <v>15.9857390775482</v>
      </c>
      <c r="AJ410" s="1">
        <v>45.412592172622603</v>
      </c>
      <c r="AK410" s="1">
        <v>32.387596607208202</v>
      </c>
      <c r="AL410" s="7"/>
      <c r="AM410" s="1"/>
      <c r="AN410" s="1"/>
      <c r="AO410" s="8"/>
      <c r="AP410" s="1"/>
      <c r="AQ410" s="1"/>
      <c r="AR410" s="1"/>
      <c r="AS410" s="8"/>
      <c r="AT410" s="7">
        <v>0.08</v>
      </c>
      <c r="AU410" s="1">
        <v>0.13939778645833301</v>
      </c>
      <c r="AV410" s="1">
        <v>31.777215672972801</v>
      </c>
      <c r="AW410" s="1">
        <v>0.981720490431645</v>
      </c>
      <c r="AX410" s="1">
        <v>17.380354603863399</v>
      </c>
      <c r="AY410" s="1">
        <v>34.401997063493397</v>
      </c>
      <c r="AZ410" s="1">
        <v>0.98437199353559302</v>
      </c>
      <c r="BA410" s="1">
        <v>18.0609641780459</v>
      </c>
      <c r="BB410" s="1">
        <v>30.889122009277301</v>
      </c>
      <c r="BC410" s="1">
        <v>19.4950704574584</v>
      </c>
      <c r="BD410" s="7"/>
      <c r="BE410" s="1"/>
      <c r="BF410" s="1"/>
      <c r="BG410" s="8"/>
      <c r="BH410" s="1"/>
      <c r="BI410" s="1"/>
      <c r="BJ410" s="1"/>
      <c r="BK410" s="8"/>
    </row>
    <row r="411" spans="1:63">
      <c r="A411" s="49"/>
      <c r="B411" s="7" t="s">
        <v>18</v>
      </c>
      <c r="C411" s="17">
        <v>0.06</v>
      </c>
      <c r="D411" s="7">
        <v>44</v>
      </c>
      <c r="E411" s="1">
        <v>5.4840494791666597E-2</v>
      </c>
      <c r="F411" s="1">
        <v>29.8291683814812</v>
      </c>
      <c r="G411" s="1">
        <v>0.92541436835199997</v>
      </c>
      <c r="H411" s="1">
        <v>11.2734482798313</v>
      </c>
      <c r="I411" s="1">
        <v>32.569945595021302</v>
      </c>
      <c r="J411" s="1">
        <v>0.93184347473295404</v>
      </c>
      <c r="K411" s="8">
        <v>11.664925587315899</v>
      </c>
      <c r="L411" s="7">
        <v>42</v>
      </c>
      <c r="M411" s="1">
        <v>5.3645833333333302E-2</v>
      </c>
      <c r="N411" s="1">
        <v>30.487945863274</v>
      </c>
      <c r="O411" s="1">
        <v>0.93526978973862696</v>
      </c>
      <c r="P411" s="1">
        <v>11.8889298227288</v>
      </c>
      <c r="Q411" s="1">
        <v>33.315806031070103</v>
      </c>
      <c r="R411" s="1">
        <v>0.93920397801348199</v>
      </c>
      <c r="S411" s="1">
        <v>12.161248366125299</v>
      </c>
      <c r="T411" s="7"/>
      <c r="U411" s="1"/>
      <c r="V411" s="1"/>
      <c r="W411" s="8"/>
      <c r="X411" s="7"/>
      <c r="Y411" s="1"/>
      <c r="Z411" s="1"/>
      <c r="AA411" s="8"/>
      <c r="AB411" s="7">
        <v>2</v>
      </c>
      <c r="AC411" s="1">
        <v>7.6741536458333301E-2</v>
      </c>
      <c r="AD411" s="1">
        <v>31.2725944937613</v>
      </c>
      <c r="AE411" s="1">
        <v>0.95627833966518205</v>
      </c>
      <c r="AF411" s="1">
        <v>13.593033540288801</v>
      </c>
      <c r="AG411" s="1">
        <v>33.9420539946207</v>
      </c>
      <c r="AH411" s="1">
        <v>0.95868838058532202</v>
      </c>
      <c r="AI411" s="1">
        <v>13.8392778035448</v>
      </c>
      <c r="AJ411" s="1">
        <v>58.842811107635498</v>
      </c>
      <c r="AK411" s="1">
        <v>43.343256711959803</v>
      </c>
      <c r="AL411" s="7"/>
      <c r="AM411" s="1"/>
      <c r="AN411" s="1"/>
      <c r="AO411" s="8"/>
      <c r="AP411" s="1"/>
      <c r="AQ411" s="1"/>
      <c r="AR411" s="1"/>
      <c r="AS411" s="8"/>
      <c r="AT411" s="7">
        <v>0.04</v>
      </c>
      <c r="AU411" s="1">
        <v>9.0029296874999998E-2</v>
      </c>
      <c r="AV411" s="1">
        <v>30.4591982206171</v>
      </c>
      <c r="AW411" s="1">
        <v>0.97251508236958395</v>
      </c>
      <c r="AX411" s="1">
        <v>15.609055602339801</v>
      </c>
      <c r="AY411" s="1">
        <v>33.016732129625098</v>
      </c>
      <c r="AZ411" s="1">
        <v>0.97552070529313095</v>
      </c>
      <c r="BA411" s="1">
        <v>16.112010991624</v>
      </c>
      <c r="BB411" s="1">
        <v>36.525248289108198</v>
      </c>
      <c r="BC411" s="1">
        <v>26.1270298957824</v>
      </c>
      <c r="BD411" s="7"/>
      <c r="BE411" s="1"/>
      <c r="BF411" s="1"/>
      <c r="BG411" s="8"/>
      <c r="BH411" s="1"/>
      <c r="BI411" s="1"/>
      <c r="BJ411" s="1"/>
      <c r="BK411" s="8"/>
    </row>
    <row r="412" spans="1:63">
      <c r="A412" s="49"/>
      <c r="B412" s="7" t="s">
        <v>89</v>
      </c>
      <c r="C412" s="17">
        <v>1.5</v>
      </c>
      <c r="D412" s="7">
        <v>12</v>
      </c>
      <c r="E412" s="1">
        <v>1.25851236979166</v>
      </c>
      <c r="F412" s="1">
        <v>48.620767112703497</v>
      </c>
      <c r="G412" s="1">
        <v>0.99782944911256899</v>
      </c>
      <c r="H412" s="1">
        <v>26.634300278988601</v>
      </c>
      <c r="I412" s="1">
        <v>52.287326477919002</v>
      </c>
      <c r="J412" s="1">
        <v>0.99910094183569598</v>
      </c>
      <c r="K412" s="8">
        <v>30.462122108042902</v>
      </c>
      <c r="L412" s="7">
        <v>10</v>
      </c>
      <c r="M412" s="1">
        <v>1.22806640625</v>
      </c>
      <c r="N412" s="1">
        <v>48.353987255737202</v>
      </c>
      <c r="O412" s="1">
        <v>0.99808240391249703</v>
      </c>
      <c r="P412" s="1">
        <v>27.172428650705001</v>
      </c>
      <c r="Q412" s="1">
        <v>52.202086620411499</v>
      </c>
      <c r="R412" s="1">
        <v>0.99913077351736901</v>
      </c>
      <c r="S412" s="1">
        <v>30.608670505463898</v>
      </c>
      <c r="T412" s="13">
        <f>bdrate(E412:E415,F412:F415,M412:M415,N412:N415)</f>
        <v>-7.9279790519182325E-2</v>
      </c>
      <c r="U412" s="12">
        <f>bdrate(E412:E415,H412:H415,M412:M415,P412:P415)</f>
        <v>-0.29574165909077355</v>
      </c>
      <c r="V412" s="12">
        <f>bdrate(E412:E415,I412:I415,M412:M415,Q412:Q415)</f>
        <v>-0.12757812994005968</v>
      </c>
      <c r="W412" s="14">
        <f>bdrate(E412:E415,K412:K415,M412:M415,S412:S415)</f>
        <v>-0.15783168892970534</v>
      </c>
      <c r="X412" s="13">
        <f>bdrate(E414:E417,F414:F417,M414:M417,N414:N417)</f>
        <v>-0.24676960511423351</v>
      </c>
      <c r="Y412" s="12">
        <f>bdrate(E414:E417,H414:H417,M414:M417,P414:P417)</f>
        <v>-0.32748712069574737</v>
      </c>
      <c r="Z412" s="12">
        <f>bdrate(E414:E417,I414:I417,M414:M417,Q414:Q417)</f>
        <v>-0.25530954554110408</v>
      </c>
      <c r="AA412" s="14">
        <f>bdrate(E414:E417,K414:K417,M414:M417,S414:S417)</f>
        <v>-0.25353413869516972</v>
      </c>
      <c r="AB412" s="7">
        <v>256</v>
      </c>
      <c r="AC412" s="1">
        <v>0.38124674479166598</v>
      </c>
      <c r="AD412" s="1">
        <v>47.213138901476903</v>
      </c>
      <c r="AE412" s="1">
        <v>0.99745727310344201</v>
      </c>
      <c r="AF412" s="1">
        <v>25.9470028303605</v>
      </c>
      <c r="AG412" s="1">
        <v>50.111385381806997</v>
      </c>
      <c r="AH412" s="1">
        <v>0.99853994966361503</v>
      </c>
      <c r="AI412" s="1">
        <v>28.356321713132701</v>
      </c>
      <c r="AJ412" s="1">
        <v>177.51373696327201</v>
      </c>
      <c r="AK412" s="1">
        <v>81.308177709579397</v>
      </c>
      <c r="AL412" s="13">
        <f>bdrate(E412:E415,F412:F415,AC412:AC415,AD412:AD415)</f>
        <v>-0.38594447594396875</v>
      </c>
      <c r="AM412" s="12">
        <f>bdrate(E412:E415,H412:H415,AC412:AC415,AF412:AF415)</f>
        <v>-0.51451528107750288</v>
      </c>
      <c r="AN412" s="12">
        <f>bdrate(E412:E415,I412:I415,AC412:AC415,AG412:AG415)</f>
        <v>-0.27240519586147005</v>
      </c>
      <c r="AO412" s="14">
        <f>bdrate(E412:E415,K412:K415,AC412:AC415,AI412:AI415)</f>
        <v>-0.29925566626310052</v>
      </c>
      <c r="AP412" s="12">
        <f>bdrate(E414:E417,F414:F417,AC414:AC417,AD414:AD417)</f>
        <v>-0.34338543016250977</v>
      </c>
      <c r="AQ412" s="12">
        <f>bdrate(E414:E417,H414:H417,AC414:AC417,AF414:AF417)</f>
        <v>-0.41752878008863903</v>
      </c>
      <c r="AR412" s="12">
        <f>bdrate(E414:E417,I414:I417,AC414:AC417,AG414:AG417)</f>
        <v>-0.27260367239995664</v>
      </c>
      <c r="AS412" s="14">
        <f>bdrate(E414:E417,K414:K417,AC414:AC417,AI414:AI417)</f>
        <v>-0.26692137290490447</v>
      </c>
      <c r="AT412" s="7">
        <v>6.4</v>
      </c>
      <c r="AU412" s="1">
        <v>0.64691731770833305</v>
      </c>
      <c r="AV412" s="1">
        <v>47.630679019291698</v>
      </c>
      <c r="AW412" s="1">
        <v>0.99863421490526205</v>
      </c>
      <c r="AX412" s="1">
        <v>28.6461763119034</v>
      </c>
      <c r="AY412" s="1">
        <v>50.381199903945898</v>
      </c>
      <c r="AZ412" s="1">
        <v>0.99920237130766298</v>
      </c>
      <c r="BA412" s="1">
        <v>30.981992319541401</v>
      </c>
      <c r="BB412" s="1">
        <v>485.968609571456</v>
      </c>
      <c r="BC412" s="1">
        <v>104.801488399505</v>
      </c>
      <c r="BD412" s="13">
        <f>bdrate(E412:E415,F412:F415,AU412:AU415,AV412:AV415)</f>
        <v>-0.23256182219933019</v>
      </c>
      <c r="BE412" s="12">
        <f>bdrate(E412:E415,H412:H415,AU412:AU415,AX412:AX415)</f>
        <v>-0.68882625504468575</v>
      </c>
      <c r="BF412" s="12">
        <f>bdrate(E412:E415,I412:I415,AU412:AU415,AY412:AY415)</f>
        <v>-3.4381395410972626E-2</v>
      </c>
      <c r="BG412" s="14">
        <f>bdrate(E412:E415,K412:K415,AU412:AU415,BA412:BA415)</f>
        <v>-0.49745278909381618</v>
      </c>
      <c r="BH412" s="12">
        <f>bdrate(E414:E417,F414:F417,AU414:AU417,AV414:AV417)</f>
        <v>-0.20223227402357813</v>
      </c>
      <c r="BI412" s="12">
        <f>bdrate(E414:E417,H414:H417,AU414:AU417,AX414:AX417)</f>
        <v>-0.5512961196012014</v>
      </c>
      <c r="BJ412" s="12">
        <f>bdrate(E414:E417,I414:I417,AU414:AU417,AY414:AY417)</f>
        <v>-0.12286165107698932</v>
      </c>
      <c r="BK412" s="14">
        <f>bdrate(E414:E417,K414:K417,AU414:AU417,BA414:BA417)</f>
        <v>-0.43137016954624263</v>
      </c>
    </row>
    <row r="413" spans="1:63">
      <c r="A413" s="49"/>
      <c r="B413" s="7" t="s">
        <v>18</v>
      </c>
      <c r="C413" s="17">
        <v>1</v>
      </c>
      <c r="D413" s="7">
        <v>14</v>
      </c>
      <c r="E413" s="1">
        <v>0.89091145833333296</v>
      </c>
      <c r="F413" s="1">
        <v>47.967946900205803</v>
      </c>
      <c r="G413" s="1">
        <v>0.99746202143457097</v>
      </c>
      <c r="H413" s="1">
        <v>25.955120500724</v>
      </c>
      <c r="I413" s="1">
        <v>51.530369924395799</v>
      </c>
      <c r="J413" s="1">
        <v>0.99889369106789105</v>
      </c>
      <c r="K413" s="8">
        <v>29.561235811910301</v>
      </c>
      <c r="L413" s="7">
        <v>12</v>
      </c>
      <c r="M413" s="1">
        <v>0.83418945312500004</v>
      </c>
      <c r="N413" s="1">
        <v>47.764848950943303</v>
      </c>
      <c r="O413" s="1">
        <v>0.99773591294765296</v>
      </c>
      <c r="P413" s="1">
        <v>26.451068788853298</v>
      </c>
      <c r="Q413" s="1">
        <v>51.467893947441198</v>
      </c>
      <c r="R413" s="1">
        <v>0.99891365269521004</v>
      </c>
      <c r="S413" s="1">
        <v>29.640313087796802</v>
      </c>
      <c r="T413" s="7"/>
      <c r="U413" s="1"/>
      <c r="V413" s="1"/>
      <c r="W413" s="8"/>
      <c r="X413" s="7"/>
      <c r="Y413" s="1"/>
      <c r="Z413" s="1"/>
      <c r="AA413" s="8"/>
      <c r="AB413" s="7">
        <v>128</v>
      </c>
      <c r="AC413" s="1">
        <v>0.23218424479166599</v>
      </c>
      <c r="AD413" s="1">
        <v>46.040620003546302</v>
      </c>
      <c r="AE413" s="1">
        <v>0.99669213069899898</v>
      </c>
      <c r="AF413" s="1">
        <v>24.804516584228399</v>
      </c>
      <c r="AG413" s="1">
        <v>48.880751108745201</v>
      </c>
      <c r="AH413" s="1">
        <v>0.99795356073879804</v>
      </c>
      <c r="AI413" s="1">
        <v>26.890011407897202</v>
      </c>
      <c r="AJ413" s="1">
        <v>242.827580690383</v>
      </c>
      <c r="AK413" s="1">
        <v>82.680784702300997</v>
      </c>
      <c r="AL413" s="7"/>
      <c r="AM413" s="1"/>
      <c r="AN413" s="1"/>
      <c r="AO413" s="8"/>
      <c r="AP413" s="1"/>
      <c r="AQ413" s="1"/>
      <c r="AR413" s="1"/>
      <c r="AS413" s="8"/>
      <c r="AT413" s="7">
        <v>3.2</v>
      </c>
      <c r="AU413" s="1">
        <v>0.412965494791666</v>
      </c>
      <c r="AV413" s="1">
        <v>46.767263183000203</v>
      </c>
      <c r="AW413" s="1">
        <v>0.99814059945130096</v>
      </c>
      <c r="AX413" s="1">
        <v>27.306270452192798</v>
      </c>
      <c r="AY413" s="1">
        <v>49.539413252983799</v>
      </c>
      <c r="AZ413" s="1">
        <v>0.99888684588227095</v>
      </c>
      <c r="BA413" s="1">
        <v>29.5344470283008</v>
      </c>
      <c r="BB413" s="1">
        <v>264.36925554275501</v>
      </c>
      <c r="BC413" s="1">
        <v>130.66307044029199</v>
      </c>
      <c r="BD413" s="7"/>
      <c r="BE413" s="1"/>
      <c r="BF413" s="1"/>
      <c r="BG413" s="8"/>
      <c r="BH413" s="1"/>
      <c r="BI413" s="1"/>
      <c r="BJ413" s="1"/>
      <c r="BK413" s="8"/>
    </row>
    <row r="414" spans="1:63">
      <c r="A414" s="49"/>
      <c r="B414" s="7" t="s">
        <v>18</v>
      </c>
      <c r="C414" s="17">
        <v>0.5</v>
      </c>
      <c r="D414" s="7">
        <v>19</v>
      </c>
      <c r="E414" s="1">
        <v>0.45338216145833299</v>
      </c>
      <c r="F414" s="1">
        <v>46.447868234823602</v>
      </c>
      <c r="G414" s="1">
        <v>0.99652401879913999</v>
      </c>
      <c r="H414" s="1">
        <v>24.5892258101076</v>
      </c>
      <c r="I414" s="1">
        <v>49.828888918198501</v>
      </c>
      <c r="J414" s="1">
        <v>0.99835680233687696</v>
      </c>
      <c r="K414" s="8">
        <v>27.843101913792101</v>
      </c>
      <c r="L414" s="7">
        <v>16</v>
      </c>
      <c r="M414" s="1">
        <v>0.45755208333333303</v>
      </c>
      <c r="N414" s="1">
        <v>46.727381641412002</v>
      </c>
      <c r="O414" s="1">
        <v>0.99707906748362496</v>
      </c>
      <c r="P414" s="1">
        <v>25.344784766124899</v>
      </c>
      <c r="Q414" s="1">
        <v>50.283056397047197</v>
      </c>
      <c r="R414" s="1">
        <v>0.99854796804919399</v>
      </c>
      <c r="S414" s="1">
        <v>28.380238272268802</v>
      </c>
      <c r="T414" s="7"/>
      <c r="U414" s="1"/>
      <c r="V414" s="1"/>
      <c r="W414" s="8"/>
      <c r="X414" s="7"/>
      <c r="Y414" s="1"/>
      <c r="Z414" s="1"/>
      <c r="AA414" s="8"/>
      <c r="AB414" s="7">
        <v>64</v>
      </c>
      <c r="AC414" s="1">
        <v>0.16212565104166601</v>
      </c>
      <c r="AD414" s="1">
        <v>44.923024885570001</v>
      </c>
      <c r="AE414" s="1">
        <v>0.99568171944780404</v>
      </c>
      <c r="AF414" s="1">
        <v>23.646891456255901</v>
      </c>
      <c r="AG414" s="1">
        <v>47.727005090601402</v>
      </c>
      <c r="AH414" s="1">
        <v>0.99712741958511697</v>
      </c>
      <c r="AI414" s="1">
        <v>25.4172780485003</v>
      </c>
      <c r="AJ414" s="1">
        <v>46.486547946929903</v>
      </c>
      <c r="AK414" s="1">
        <v>28.4963037967681</v>
      </c>
      <c r="AL414" s="7"/>
      <c r="AM414" s="1"/>
      <c r="AN414" s="1"/>
      <c r="AO414" s="8"/>
      <c r="AP414" s="1"/>
      <c r="AQ414" s="1"/>
      <c r="AR414" s="1"/>
      <c r="AS414" s="8"/>
      <c r="AT414" s="7">
        <v>1.28</v>
      </c>
      <c r="AU414" s="1">
        <v>0.24241210937499999</v>
      </c>
      <c r="AV414" s="1">
        <v>45.653037893317098</v>
      </c>
      <c r="AW414" s="1">
        <v>0.99734081798690599</v>
      </c>
      <c r="AX414" s="1">
        <v>25.752519354865001</v>
      </c>
      <c r="AY414" s="1">
        <v>48.416574144871703</v>
      </c>
      <c r="AZ414" s="1">
        <v>0.99837128295199196</v>
      </c>
      <c r="BA414" s="1">
        <v>27.881543577800699</v>
      </c>
      <c r="BB414" s="1">
        <v>83.881452560424805</v>
      </c>
      <c r="BC414" s="1">
        <v>36.986956596374498</v>
      </c>
      <c r="BD414" s="7"/>
      <c r="BE414" s="1"/>
      <c r="BF414" s="1"/>
      <c r="BG414" s="8"/>
      <c r="BH414" s="1"/>
      <c r="BI414" s="1"/>
      <c r="BJ414" s="1"/>
      <c r="BK414" s="8"/>
    </row>
    <row r="415" spans="1:63">
      <c r="A415" s="49"/>
      <c r="B415" s="7" t="s">
        <v>18</v>
      </c>
      <c r="C415" s="17">
        <v>0.25</v>
      </c>
      <c r="D415" s="7">
        <v>24</v>
      </c>
      <c r="E415" s="1">
        <v>0.23595377604166601</v>
      </c>
      <c r="F415" s="1">
        <v>44.721274185223699</v>
      </c>
      <c r="G415" s="1">
        <v>0.99493135246526099</v>
      </c>
      <c r="H415" s="1">
        <v>22.9510790783762</v>
      </c>
      <c r="I415" s="1">
        <v>47.914205020553403</v>
      </c>
      <c r="J415" s="1">
        <v>0.99724510525591503</v>
      </c>
      <c r="K415" s="8">
        <v>25.598949895295899</v>
      </c>
      <c r="L415" s="7">
        <v>21</v>
      </c>
      <c r="M415" s="1">
        <v>0.22637369791666601</v>
      </c>
      <c r="N415" s="1">
        <v>45.263875785751999</v>
      </c>
      <c r="O415" s="1">
        <v>0.99587647948355396</v>
      </c>
      <c r="P415" s="1">
        <v>23.8473184027701</v>
      </c>
      <c r="Q415" s="1">
        <v>48.569930509278301</v>
      </c>
      <c r="R415" s="1">
        <v>0.99772682215113895</v>
      </c>
      <c r="S415" s="1">
        <v>26.433665846194</v>
      </c>
      <c r="T415" s="7"/>
      <c r="U415" s="1"/>
      <c r="V415" s="1"/>
      <c r="W415" s="8"/>
      <c r="X415" s="7"/>
      <c r="Y415" s="1"/>
      <c r="Z415" s="1"/>
      <c r="AA415" s="8"/>
      <c r="AB415" s="7">
        <v>32</v>
      </c>
      <c r="AC415" s="1">
        <v>0.106806640625</v>
      </c>
      <c r="AD415" s="1">
        <v>43.714089140151799</v>
      </c>
      <c r="AE415" s="1">
        <v>0.99411115026136398</v>
      </c>
      <c r="AF415" s="1">
        <v>22.299695271057001</v>
      </c>
      <c r="AG415" s="1">
        <v>46.491180544883697</v>
      </c>
      <c r="AH415" s="1">
        <v>0.99578238460929802</v>
      </c>
      <c r="AI415" s="1">
        <v>23.749330266145201</v>
      </c>
      <c r="AJ415" s="1">
        <v>38.095907449722198</v>
      </c>
      <c r="AK415" s="1">
        <v>21.536581277847201</v>
      </c>
      <c r="AL415" s="7"/>
      <c r="AM415" s="1"/>
      <c r="AN415" s="1"/>
      <c r="AO415" s="8"/>
      <c r="AP415" s="1"/>
      <c r="AQ415" s="1"/>
      <c r="AR415" s="1"/>
      <c r="AS415" s="8"/>
      <c r="AT415" s="7">
        <v>0.64</v>
      </c>
      <c r="AU415" s="1">
        <v>0.165042317708333</v>
      </c>
      <c r="AV415" s="1">
        <v>44.630333270128602</v>
      </c>
      <c r="AW415" s="1">
        <v>0.99648943476732399</v>
      </c>
      <c r="AX415" s="1">
        <v>24.546229525743701</v>
      </c>
      <c r="AY415" s="1">
        <v>47.420930336137502</v>
      </c>
      <c r="AZ415" s="1">
        <v>0.99775242816912901</v>
      </c>
      <c r="BA415" s="1">
        <v>26.482864196160399</v>
      </c>
      <c r="BB415" s="1">
        <v>66.806318521499605</v>
      </c>
      <c r="BC415" s="1">
        <v>35.541986465454102</v>
      </c>
      <c r="BD415" s="7"/>
      <c r="BE415" s="1"/>
      <c r="BF415" s="1"/>
      <c r="BG415" s="8"/>
      <c r="BH415" s="1"/>
      <c r="BI415" s="1"/>
      <c r="BJ415" s="1"/>
      <c r="BK415" s="8"/>
    </row>
    <row r="416" spans="1:63">
      <c r="A416" s="49"/>
      <c r="B416" s="7" t="s">
        <v>18</v>
      </c>
      <c r="C416" s="17">
        <v>0.12</v>
      </c>
      <c r="D416" s="7">
        <v>30</v>
      </c>
      <c r="E416" s="1">
        <v>0.108154296875</v>
      </c>
      <c r="F416" s="1">
        <v>42.366993274318403</v>
      </c>
      <c r="G416" s="1">
        <v>0.99109715437079904</v>
      </c>
      <c r="H416" s="1">
        <v>20.5047115700321</v>
      </c>
      <c r="I416" s="1">
        <v>45.426383234100697</v>
      </c>
      <c r="J416" s="1">
        <v>0.99428927376659404</v>
      </c>
      <c r="K416" s="8">
        <v>22.433086589861801</v>
      </c>
      <c r="L416" s="7">
        <v>26</v>
      </c>
      <c r="M416" s="1">
        <v>0.11727213541666601</v>
      </c>
      <c r="N416" s="1">
        <v>43.587039315581002</v>
      </c>
      <c r="O416" s="1">
        <v>0.99379572626498902</v>
      </c>
      <c r="P416" s="1">
        <v>22.073090491914598</v>
      </c>
      <c r="Q416" s="1">
        <v>46.712321262772697</v>
      </c>
      <c r="R416" s="1">
        <v>0.99606665744657197</v>
      </c>
      <c r="S416" s="1">
        <v>24.052382293886101</v>
      </c>
      <c r="T416" s="7"/>
      <c r="U416" s="1"/>
      <c r="V416" s="1"/>
      <c r="W416" s="8"/>
      <c r="X416" s="7"/>
      <c r="Y416" s="1"/>
      <c r="Z416" s="1"/>
      <c r="AA416" s="8"/>
      <c r="AB416" s="7">
        <v>16</v>
      </c>
      <c r="AC416" s="1">
        <v>7.3610026041666596E-2</v>
      </c>
      <c r="AD416" s="1">
        <v>42.453811936060497</v>
      </c>
      <c r="AE416" s="1">
        <v>0.99191996137579697</v>
      </c>
      <c r="AF416" s="1">
        <v>20.925865632058802</v>
      </c>
      <c r="AG416" s="1">
        <v>45.2114654513408</v>
      </c>
      <c r="AH416" s="1">
        <v>0.99383522545163405</v>
      </c>
      <c r="AI416" s="1">
        <v>22.1008280133772</v>
      </c>
      <c r="AJ416" s="1">
        <v>39.432058095932</v>
      </c>
      <c r="AK416" s="1">
        <v>25.7265818119049</v>
      </c>
      <c r="AL416" s="7"/>
      <c r="AM416" s="1"/>
      <c r="AN416" s="1"/>
      <c r="AO416" s="8"/>
      <c r="AP416" s="1"/>
      <c r="AQ416" s="1"/>
      <c r="AR416" s="1"/>
      <c r="AS416" s="8"/>
      <c r="AT416" s="7">
        <v>0.32</v>
      </c>
      <c r="AU416" s="1">
        <v>0.113707682291666</v>
      </c>
      <c r="AV416" s="1">
        <v>43.4778903057002</v>
      </c>
      <c r="AW416" s="1">
        <v>0.99529916770813698</v>
      </c>
      <c r="AX416" s="1">
        <v>23.278252425403299</v>
      </c>
      <c r="AY416" s="1">
        <v>46.218811163753699</v>
      </c>
      <c r="AZ416" s="1">
        <v>0.99678782495173002</v>
      </c>
      <c r="BA416" s="1">
        <v>24.932007957638799</v>
      </c>
      <c r="BB416" s="1">
        <v>57.773808479308997</v>
      </c>
      <c r="BC416" s="1">
        <v>41.397018194198601</v>
      </c>
      <c r="BD416" s="7"/>
      <c r="BE416" s="1"/>
      <c r="BF416" s="1"/>
      <c r="BG416" s="8"/>
      <c r="BH416" s="1"/>
      <c r="BI416" s="1"/>
      <c r="BJ416" s="1"/>
      <c r="BK416" s="8"/>
    </row>
    <row r="417" spans="1:63">
      <c r="A417" s="49"/>
      <c r="B417" s="7" t="s">
        <v>18</v>
      </c>
      <c r="C417" s="17">
        <v>0.06</v>
      </c>
      <c r="D417" s="7">
        <v>35</v>
      </c>
      <c r="E417" s="1">
        <v>5.7688802083333303E-2</v>
      </c>
      <c r="F417" s="1">
        <v>40.346756055405201</v>
      </c>
      <c r="G417" s="1">
        <v>0.98537173714647497</v>
      </c>
      <c r="H417" s="1">
        <v>18.348072444776999</v>
      </c>
      <c r="I417" s="1">
        <v>43.3491078657961</v>
      </c>
      <c r="J417" s="1">
        <v>0.98956995874068698</v>
      </c>
      <c r="K417" s="8">
        <v>19.817139735815001</v>
      </c>
      <c r="L417" s="7">
        <v>32</v>
      </c>
      <c r="M417" s="1">
        <v>5.6129557291666597E-2</v>
      </c>
      <c r="N417" s="1">
        <v>41.362826094932103</v>
      </c>
      <c r="O417" s="1">
        <v>0.98904611583952695</v>
      </c>
      <c r="P417" s="1">
        <v>19.604318561344002</v>
      </c>
      <c r="Q417" s="1">
        <v>44.405578321431797</v>
      </c>
      <c r="R417" s="1">
        <v>0.99198938117073598</v>
      </c>
      <c r="S417" s="1">
        <v>20.963339328853799</v>
      </c>
      <c r="T417" s="7"/>
      <c r="U417" s="1"/>
      <c r="V417" s="1"/>
      <c r="W417" s="8"/>
      <c r="X417" s="7"/>
      <c r="Y417" s="1"/>
      <c r="Z417" s="1"/>
      <c r="AA417" s="8"/>
      <c r="AB417" s="7">
        <v>8</v>
      </c>
      <c r="AC417" s="1">
        <v>5.4137369791666598E-2</v>
      </c>
      <c r="AD417" s="1">
        <v>41.236561272702303</v>
      </c>
      <c r="AE417" s="1">
        <v>0.98914654109136102</v>
      </c>
      <c r="AF417" s="1">
        <v>19.644318336548199</v>
      </c>
      <c r="AG417" s="1">
        <v>43.980302889479802</v>
      </c>
      <c r="AH417" s="1">
        <v>0.99131705027681805</v>
      </c>
      <c r="AI417" s="1">
        <v>20.613327136621098</v>
      </c>
      <c r="AJ417" s="1">
        <v>31.7736091613769</v>
      </c>
      <c r="AK417" s="1">
        <v>20.231757879257199</v>
      </c>
      <c r="AL417" s="7"/>
      <c r="AM417" s="1"/>
      <c r="AN417" s="1"/>
      <c r="AO417" s="8"/>
      <c r="AP417" s="1"/>
      <c r="AQ417" s="1"/>
      <c r="AR417" s="1"/>
      <c r="AS417" s="8"/>
      <c r="AT417" s="7">
        <v>0.08</v>
      </c>
      <c r="AU417" s="1">
        <v>5.5166015625000002E-2</v>
      </c>
      <c r="AV417" s="1">
        <v>39.559405390417098</v>
      </c>
      <c r="AW417" s="1">
        <v>0.99096048951500204</v>
      </c>
      <c r="AX417" s="1">
        <v>20.438550871596298</v>
      </c>
      <c r="AY417" s="1">
        <v>42.586937620656798</v>
      </c>
      <c r="AZ417" s="1">
        <v>0.99330359768887999</v>
      </c>
      <c r="BA417" s="1">
        <v>21.741584623847899</v>
      </c>
      <c r="BB417" s="1">
        <v>29.839496374130199</v>
      </c>
      <c r="BC417" s="1">
        <v>20.162671089172299</v>
      </c>
      <c r="BD417" s="7"/>
      <c r="BE417" s="1"/>
      <c r="BF417" s="1"/>
      <c r="BG417" s="8"/>
      <c r="BH417" s="1"/>
      <c r="BI417" s="1"/>
      <c r="BJ417" s="1"/>
      <c r="BK417" s="8"/>
    </row>
    <row r="418" spans="1:63">
      <c r="A418" s="49"/>
      <c r="B418" s="7" t="s">
        <v>90</v>
      </c>
      <c r="C418" s="17">
        <v>1.5</v>
      </c>
      <c r="D418" s="7">
        <v>22</v>
      </c>
      <c r="E418" s="1">
        <v>1.3421061197916599</v>
      </c>
      <c r="F418" s="1">
        <v>41.408495200874597</v>
      </c>
      <c r="G418" s="1">
        <v>0.99292883822945699</v>
      </c>
      <c r="H418" s="1">
        <v>21.5050922706791</v>
      </c>
      <c r="I418" s="1">
        <v>44.543339223243301</v>
      </c>
      <c r="J418" s="1">
        <v>0.99549788062563305</v>
      </c>
      <c r="K418" s="8">
        <v>23.465829937998802</v>
      </c>
      <c r="L418" s="7">
        <v>19</v>
      </c>
      <c r="M418" s="1">
        <v>1.4104947916666599</v>
      </c>
      <c r="N418" s="1">
        <v>42.232518498203902</v>
      </c>
      <c r="O418" s="1">
        <v>0.99449233109202595</v>
      </c>
      <c r="P418" s="1">
        <v>22.590321751257001</v>
      </c>
      <c r="Q418" s="1">
        <v>45.3907745636172</v>
      </c>
      <c r="R418" s="1">
        <v>0.99627135023520896</v>
      </c>
      <c r="S418" s="1">
        <v>24.2844840836893</v>
      </c>
      <c r="T418" s="13">
        <f>bdrate(E418:E421,F418:F421,M418:M421,N418:N421)</f>
        <v>-0.18940473261939195</v>
      </c>
      <c r="U418" s="12">
        <f>bdrate(E418:E421,H418:H421,M418:M421,P418:P421)</f>
        <v>-0.23419577086944876</v>
      </c>
      <c r="V418" s="12">
        <f>bdrate(E418:E421,I418:I421,M418:M421,Q418:Q421)</f>
        <v>-0.18167815129686471</v>
      </c>
      <c r="W418" s="14">
        <f>bdrate(E418:E421,K418:K421,M418:M421,S418:S421)</f>
        <v>-0.1518402663406897</v>
      </c>
      <c r="X418" s="13">
        <f>bdrate(E420:E423,F420:F423,M420:M423,N420:N423)</f>
        <v>-0.24813771086302783</v>
      </c>
      <c r="Y418" s="12">
        <f>bdrate(E420:E423,H420:H423,M420:M423,P420:P423)</f>
        <v>-0.24278867743320431</v>
      </c>
      <c r="Z418" s="12">
        <f>bdrate(E420:E423,I420:I423,M420:M423,Q420:Q423)</f>
        <v>-0.25614563868203066</v>
      </c>
      <c r="AA418" s="14">
        <f>bdrate(E420:E423,K420:K423,M420:M423,S420:S423)</f>
        <v>-0.18119924215893013</v>
      </c>
      <c r="AB418" s="7">
        <v>256</v>
      </c>
      <c r="AC418" s="1">
        <v>1.3865983072916599</v>
      </c>
      <c r="AD418" s="1">
        <v>42.197842480947898</v>
      </c>
      <c r="AE418" s="1">
        <v>0.99525223909599103</v>
      </c>
      <c r="AF418" s="1">
        <v>23.235111601227501</v>
      </c>
      <c r="AG418" s="1">
        <v>44.990845787318896</v>
      </c>
      <c r="AH418" s="1">
        <v>0.99666148694968404</v>
      </c>
      <c r="AI418" s="1">
        <v>24.764469217611701</v>
      </c>
      <c r="AJ418" s="1">
        <v>188.81225872039701</v>
      </c>
      <c r="AK418" s="1">
        <v>81.955545186996403</v>
      </c>
      <c r="AL418" s="13">
        <f>bdrate(E418:E421,F418:F421,AC418:AC421,AD418:AD421)</f>
        <v>-0.18839231009243906</v>
      </c>
      <c r="AM418" s="12">
        <f>bdrate(E418:E421,H418:H421,AC418:AC421,AF418:AF421)</f>
        <v>-0.29676390203934533</v>
      </c>
      <c r="AN418" s="12">
        <f>bdrate(E418:E421,I418:I421,AC418:AC421,AG418:AG421)</f>
        <v>-0.13173470877524796</v>
      </c>
      <c r="AO418" s="14">
        <f>bdrate(E418:E421,K418:K421,AC418:AC421,AI418:AI421)</f>
        <v>-0.18879899589763227</v>
      </c>
      <c r="AP418" s="12">
        <f>bdrate(E420:E423,F420:F423,AC420:AC423,AD420:AD423)</f>
        <v>-0.21467675845799572</v>
      </c>
      <c r="AQ418" s="12">
        <f>bdrate(E420:E423,H420:H423,AC420:AC423,AF420:AF423)</f>
        <v>-0.31698348506724905</v>
      </c>
      <c r="AR418" s="12">
        <f>bdrate(E420:E423,I420:I423,AC420:AC423,AG420:AG423)</f>
        <v>-0.19251250791305563</v>
      </c>
      <c r="AS418" s="14">
        <f>bdrate(E420:E423,K420:K423,AC420:AC423,AI420:AI423)</f>
        <v>-0.2216185742999931</v>
      </c>
      <c r="AT418" s="7">
        <v>6.4</v>
      </c>
      <c r="AU418" s="1">
        <v>1.46650716145833</v>
      </c>
      <c r="AV418" s="1">
        <v>39.717204093968199</v>
      </c>
      <c r="AW418" s="1">
        <v>0.99779354639533602</v>
      </c>
      <c r="AX418" s="1">
        <v>26.563052000773801</v>
      </c>
      <c r="AY418" s="1">
        <v>42.592028852123001</v>
      </c>
      <c r="AZ418" s="1">
        <v>0.99844064406307198</v>
      </c>
      <c r="BA418" s="1">
        <v>28.070547418990301</v>
      </c>
      <c r="BB418" s="1">
        <v>545.18318748474098</v>
      </c>
      <c r="BC418" s="1">
        <v>104.22857475280701</v>
      </c>
      <c r="BD418" s="13">
        <f>bdrate(E418:E421,F418:F421,AU418:AU421,AV418:AV421)</f>
        <v>0.53047330971323148</v>
      </c>
      <c r="BE418" s="12">
        <f>bdrate(E418:E421,H418:H421,AU418:AU421,AX418:AX421)</f>
        <v>-0.63893271309778921</v>
      </c>
      <c r="BF418" s="12">
        <f>bdrate(E418:E421,I418:I421,AU418:AU421,AY418:AY421)</f>
        <v>0.55901490745521154</v>
      </c>
      <c r="BG418" s="14">
        <f>bdrate(E418:E421,K418:K421,AU418:AU421,BA418:BA421)</f>
        <v>-0.57122816861833892</v>
      </c>
      <c r="BH418" s="12">
        <f>bdrate(E420:E423,F420:F423,AU420:AU423,AV420:AV423)</f>
        <v>0.15323823121449465</v>
      </c>
      <c r="BI418" s="12">
        <f>bdrate(E420:E423,H420:H423,AU420:AU423,AX420:AX423)</f>
        <v>-0.55142676438039318</v>
      </c>
      <c r="BJ418" s="12">
        <f>bdrate(E420:E423,I420:I423,AU420:AU423,AY420:AY423)</f>
        <v>0.17522181355045885</v>
      </c>
      <c r="BK418" s="14">
        <f>bdrate(E420:E423,K420:K423,AU420:AU423,BA420:BA423)</f>
        <v>-0.49325457134532613</v>
      </c>
    </row>
    <row r="419" spans="1:63">
      <c r="A419" s="49"/>
      <c r="B419" s="7" t="s">
        <v>18</v>
      </c>
      <c r="C419" s="17">
        <v>1</v>
      </c>
      <c r="D419" s="7">
        <v>25</v>
      </c>
      <c r="E419" s="1">
        <v>0.93277343749999997</v>
      </c>
      <c r="F419" s="1">
        <v>39.739109665077599</v>
      </c>
      <c r="G419" s="1">
        <v>0.99049860947448198</v>
      </c>
      <c r="H419" s="1">
        <v>20.222128311988602</v>
      </c>
      <c r="I419" s="1">
        <v>42.847582372609899</v>
      </c>
      <c r="J419" s="1">
        <v>0.99369523546129501</v>
      </c>
      <c r="K419" s="8">
        <v>22.003311281949198</v>
      </c>
      <c r="L419" s="7">
        <v>22</v>
      </c>
      <c r="M419" s="1">
        <v>0.96298502604166603</v>
      </c>
      <c r="N419" s="1">
        <v>40.595329444439997</v>
      </c>
      <c r="O419" s="1">
        <v>0.99235989133550295</v>
      </c>
      <c r="P419" s="1">
        <v>21.169004644536599</v>
      </c>
      <c r="Q419" s="1">
        <v>43.679606012316</v>
      </c>
      <c r="R419" s="1">
        <v>0.99452147776875399</v>
      </c>
      <c r="S419" s="1">
        <v>22.613365716917599</v>
      </c>
      <c r="T419" s="7"/>
      <c r="U419" s="1"/>
      <c r="V419" s="1"/>
      <c r="W419" s="8"/>
      <c r="X419" s="7"/>
      <c r="Y419" s="1"/>
      <c r="Z419" s="1"/>
      <c r="AA419" s="8"/>
      <c r="AB419" s="7">
        <v>128</v>
      </c>
      <c r="AC419" s="1">
        <v>0.99060872395833299</v>
      </c>
      <c r="AD419" s="1">
        <v>40.835969707525201</v>
      </c>
      <c r="AE419" s="1">
        <v>0.99313922299832302</v>
      </c>
      <c r="AF419" s="1">
        <v>21.6362669647527</v>
      </c>
      <c r="AG419" s="1">
        <v>43.576214640398</v>
      </c>
      <c r="AH419" s="1">
        <v>0.99496189772641197</v>
      </c>
      <c r="AI419" s="1">
        <v>22.977330205608201</v>
      </c>
      <c r="AJ419" s="1">
        <v>254.88627409934901</v>
      </c>
      <c r="AK419" s="1">
        <v>81.187237501144395</v>
      </c>
      <c r="AL419" s="7"/>
      <c r="AM419" s="1"/>
      <c r="AN419" s="1"/>
      <c r="AO419" s="8"/>
      <c r="AP419" s="1"/>
      <c r="AQ419" s="1"/>
      <c r="AR419" s="1"/>
      <c r="AS419" s="8"/>
      <c r="AT419" s="7">
        <v>3.2</v>
      </c>
      <c r="AU419" s="1">
        <v>1.03126627604166</v>
      </c>
      <c r="AV419" s="1">
        <v>38.082414367992101</v>
      </c>
      <c r="AW419" s="1">
        <v>0.99674667325123401</v>
      </c>
      <c r="AX419" s="1">
        <v>24.8767231604205</v>
      </c>
      <c r="AY419" s="1">
        <v>41.026272208840403</v>
      </c>
      <c r="AZ419" s="1">
        <v>0.99767736783588001</v>
      </c>
      <c r="BA419" s="1">
        <v>26.340195640879099</v>
      </c>
      <c r="BB419" s="1">
        <v>286.07731580734202</v>
      </c>
      <c r="BC419" s="1">
        <v>131.10465860366801</v>
      </c>
      <c r="BD419" s="7"/>
      <c r="BE419" s="1"/>
      <c r="BF419" s="1"/>
      <c r="BG419" s="8"/>
      <c r="BH419" s="1"/>
      <c r="BI419" s="1"/>
      <c r="BJ419" s="1"/>
      <c r="BK419" s="8"/>
    </row>
    <row r="420" spans="1:63">
      <c r="A420" s="49"/>
      <c r="B420" s="7" t="s">
        <v>18</v>
      </c>
      <c r="C420" s="17">
        <v>0.5</v>
      </c>
      <c r="D420" s="7">
        <v>30</v>
      </c>
      <c r="E420" s="1">
        <v>0.49522786458333301</v>
      </c>
      <c r="F420" s="1">
        <v>36.8896008096063</v>
      </c>
      <c r="G420" s="1">
        <v>0.98542191044149896</v>
      </c>
      <c r="H420" s="1">
        <v>18.3629938607043</v>
      </c>
      <c r="I420" s="1">
        <v>39.983095982553003</v>
      </c>
      <c r="J420" s="1">
        <v>0.98974805350675399</v>
      </c>
      <c r="K420" s="8">
        <v>19.891936691429699</v>
      </c>
      <c r="L420" s="7">
        <v>28</v>
      </c>
      <c r="M420" s="1">
        <v>0.448606770833333</v>
      </c>
      <c r="N420" s="1">
        <v>37.4483659629201</v>
      </c>
      <c r="O420" s="1">
        <v>0.98697608368117795</v>
      </c>
      <c r="P420" s="1">
        <v>18.852584028718599</v>
      </c>
      <c r="Q420" s="1">
        <v>40.4970052941365</v>
      </c>
      <c r="R420" s="1">
        <v>0.99035174817406901</v>
      </c>
      <c r="S420" s="1">
        <v>20.155513696748301</v>
      </c>
      <c r="T420" s="7"/>
      <c r="U420" s="1"/>
      <c r="V420" s="1"/>
      <c r="W420" s="8"/>
      <c r="X420" s="7"/>
      <c r="Y420" s="1"/>
      <c r="Z420" s="1"/>
      <c r="AA420" s="8"/>
      <c r="AB420" s="7">
        <v>32</v>
      </c>
      <c r="AC420" s="1">
        <v>0.48087565104166602</v>
      </c>
      <c r="AD420" s="1">
        <v>37.673566227797203</v>
      </c>
      <c r="AE420" s="1">
        <v>0.988169697038075</v>
      </c>
      <c r="AF420" s="1">
        <v>19.270041333934302</v>
      </c>
      <c r="AG420" s="1">
        <v>40.494426213004999</v>
      </c>
      <c r="AH420" s="1">
        <v>0.99102156368885197</v>
      </c>
      <c r="AI420" s="1">
        <v>20.467992936860099</v>
      </c>
      <c r="AJ420" s="1">
        <v>37.221718549728301</v>
      </c>
      <c r="AK420" s="1">
        <v>20.910230636596602</v>
      </c>
      <c r="AL420" s="7"/>
      <c r="AM420" s="1"/>
      <c r="AN420" s="1"/>
      <c r="AO420" s="8"/>
      <c r="AP420" s="1"/>
      <c r="AQ420" s="1"/>
      <c r="AR420" s="1"/>
      <c r="AS420" s="8"/>
      <c r="AT420" s="7">
        <v>0.64</v>
      </c>
      <c r="AU420" s="1">
        <v>0.40909179687500002</v>
      </c>
      <c r="AV420" s="1">
        <v>34.685780841101902</v>
      </c>
      <c r="AW420" s="1">
        <v>0.99194224926747598</v>
      </c>
      <c r="AX420" s="1">
        <v>20.937861716912298</v>
      </c>
      <c r="AY420" s="1">
        <v>37.815116887020203</v>
      </c>
      <c r="AZ420" s="1">
        <v>0.99386736924569596</v>
      </c>
      <c r="BA420" s="1">
        <v>22.123531833960001</v>
      </c>
      <c r="BB420" s="1">
        <v>67.429646968841496</v>
      </c>
      <c r="BC420" s="1">
        <v>36.945698499679501</v>
      </c>
      <c r="BD420" s="7"/>
      <c r="BE420" s="1"/>
      <c r="BF420" s="1"/>
      <c r="BG420" s="8"/>
      <c r="BH420" s="1"/>
      <c r="BI420" s="1"/>
      <c r="BJ420" s="1"/>
      <c r="BK420" s="8"/>
    </row>
    <row r="421" spans="1:63">
      <c r="A421" s="49"/>
      <c r="B421" s="7" t="s">
        <v>18</v>
      </c>
      <c r="C421" s="17">
        <v>0.25</v>
      </c>
      <c r="D421" s="7">
        <v>35</v>
      </c>
      <c r="E421" s="1">
        <v>0.24235026041666599</v>
      </c>
      <c r="F421" s="1">
        <v>34.0606688154149</v>
      </c>
      <c r="G421" s="1">
        <v>0.97718744299652205</v>
      </c>
      <c r="H421" s="1">
        <v>16.418260329933101</v>
      </c>
      <c r="I421" s="1">
        <v>37.176801908545102</v>
      </c>
      <c r="J421" s="1">
        <v>0.98290008428020004</v>
      </c>
      <c r="K421" s="8">
        <v>17.670060301058601</v>
      </c>
      <c r="L421" s="7">
        <v>33</v>
      </c>
      <c r="M421" s="1">
        <v>0.22344401041666601</v>
      </c>
      <c r="N421" s="1">
        <v>34.780190329603002</v>
      </c>
      <c r="O421" s="1">
        <v>0.97982377972331303</v>
      </c>
      <c r="P421" s="1">
        <v>16.951601892747998</v>
      </c>
      <c r="Q421" s="1">
        <v>37.877274788000697</v>
      </c>
      <c r="R421" s="1">
        <v>0.98425347585991096</v>
      </c>
      <c r="S421" s="1">
        <v>18.028152966918</v>
      </c>
      <c r="T421" s="7"/>
      <c r="U421" s="1"/>
      <c r="V421" s="1"/>
      <c r="W421" s="8"/>
      <c r="X421" s="7"/>
      <c r="Y421" s="1"/>
      <c r="Z421" s="1"/>
      <c r="AA421" s="8"/>
      <c r="AB421" s="7">
        <v>8</v>
      </c>
      <c r="AC421" s="1">
        <v>0.21754882812500001</v>
      </c>
      <c r="AD421" s="1">
        <v>34.576286200427298</v>
      </c>
      <c r="AE421" s="1">
        <v>0.98081267764267099</v>
      </c>
      <c r="AF421" s="1">
        <v>17.1698562800422</v>
      </c>
      <c r="AG421" s="1">
        <v>37.565643175646699</v>
      </c>
      <c r="AH421" s="1">
        <v>0.98456213286065797</v>
      </c>
      <c r="AI421" s="1">
        <v>18.11412700995</v>
      </c>
      <c r="AJ421" s="1">
        <v>31.047675848007199</v>
      </c>
      <c r="AK421" s="1">
        <v>19.648764610290499</v>
      </c>
      <c r="AL421" s="7"/>
      <c r="AM421" s="1"/>
      <c r="AN421" s="1"/>
      <c r="AO421" s="8"/>
      <c r="AP421" s="1"/>
      <c r="AQ421" s="1"/>
      <c r="AR421" s="1"/>
      <c r="AS421" s="8"/>
      <c r="AT421" s="7">
        <v>0.32</v>
      </c>
      <c r="AU421" s="1">
        <v>0.26969726562500002</v>
      </c>
      <c r="AV421" s="1">
        <v>33.613076357933103</v>
      </c>
      <c r="AW421" s="1">
        <v>0.98856066686053801</v>
      </c>
      <c r="AX421" s="1">
        <v>19.4159929217703</v>
      </c>
      <c r="AY421" s="1">
        <v>36.793126199923002</v>
      </c>
      <c r="AZ421" s="1">
        <v>0.99106220845830095</v>
      </c>
      <c r="BA421" s="1">
        <v>20.487697787140998</v>
      </c>
      <c r="BB421" s="1">
        <v>61.938971757888702</v>
      </c>
      <c r="BC421" s="1">
        <v>41.096142768859799</v>
      </c>
      <c r="BD421" s="7"/>
      <c r="BE421" s="1"/>
      <c r="BF421" s="1"/>
      <c r="BG421" s="8"/>
      <c r="BH421" s="1"/>
      <c r="BI421" s="1"/>
      <c r="BJ421" s="1"/>
      <c r="BK421" s="8"/>
    </row>
    <row r="422" spans="1:63">
      <c r="A422" s="49"/>
      <c r="B422" s="7" t="s">
        <v>18</v>
      </c>
      <c r="C422" s="17">
        <v>0.12</v>
      </c>
      <c r="D422" s="7">
        <v>40</v>
      </c>
      <c r="E422" s="1">
        <v>0.11353190104166599</v>
      </c>
      <c r="F422" s="1">
        <v>31.475242103553601</v>
      </c>
      <c r="G422" s="1">
        <v>0.96290588686221501</v>
      </c>
      <c r="H422" s="1">
        <v>14.306950077605499</v>
      </c>
      <c r="I422" s="1">
        <v>34.681927043829802</v>
      </c>
      <c r="J422" s="1">
        <v>0.96975766177421696</v>
      </c>
      <c r="K422" s="8">
        <v>15.1938463382898</v>
      </c>
      <c r="L422" s="7">
        <v>38</v>
      </c>
      <c r="M422" s="1">
        <v>0.10395182291666601</v>
      </c>
      <c r="N422" s="1">
        <v>32.159879632188201</v>
      </c>
      <c r="O422" s="1">
        <v>0.96715859033866902</v>
      </c>
      <c r="P422" s="1">
        <v>14.8357820980479</v>
      </c>
      <c r="Q422" s="1">
        <v>35.411185484546699</v>
      </c>
      <c r="R422" s="1">
        <v>0.97228943192179895</v>
      </c>
      <c r="S422" s="1">
        <v>15.5735457090853</v>
      </c>
      <c r="T422" s="7"/>
      <c r="U422" s="1"/>
      <c r="V422" s="1"/>
      <c r="W422" s="8"/>
      <c r="X422" s="7"/>
      <c r="Y422" s="1"/>
      <c r="Z422" s="1"/>
      <c r="AA422" s="8"/>
      <c r="AB422" s="7">
        <v>4</v>
      </c>
      <c r="AC422" s="1">
        <v>0.14564778645833301</v>
      </c>
      <c r="AD422" s="1">
        <v>33.0496452652337</v>
      </c>
      <c r="AE422" s="1">
        <v>0.97503670932543596</v>
      </c>
      <c r="AF422" s="1">
        <v>16.026981662810002</v>
      </c>
      <c r="AG422" s="1">
        <v>36.160878404975399</v>
      </c>
      <c r="AH422" s="1">
        <v>0.979065059432222</v>
      </c>
      <c r="AI422" s="1">
        <v>16.791282676900099</v>
      </c>
      <c r="AJ422" s="1">
        <v>57.487756967544499</v>
      </c>
      <c r="AK422" s="1">
        <v>66.598503828048706</v>
      </c>
      <c r="AL422" s="7"/>
      <c r="AM422" s="1"/>
      <c r="AN422" s="1"/>
      <c r="AO422" s="8"/>
      <c r="AP422" s="1"/>
      <c r="AQ422" s="1"/>
      <c r="AR422" s="1"/>
      <c r="AS422" s="8"/>
      <c r="AT422" s="7">
        <v>0.08</v>
      </c>
      <c r="AU422" s="1">
        <v>0.117770182291666</v>
      </c>
      <c r="AV422" s="1">
        <v>31.448852343365701</v>
      </c>
      <c r="AW422" s="1">
        <v>0.978106976900872</v>
      </c>
      <c r="AX422" s="1">
        <v>16.596942647172099</v>
      </c>
      <c r="AY422" s="1">
        <v>34.563595568010598</v>
      </c>
      <c r="AZ422" s="1">
        <v>0.98208217751796001</v>
      </c>
      <c r="BA422" s="1">
        <v>17.467147704270101</v>
      </c>
      <c r="BB422" s="1">
        <v>29.9614706039428</v>
      </c>
      <c r="BC422" s="1">
        <v>19.567535638809201</v>
      </c>
      <c r="BD422" s="7"/>
      <c r="BE422" s="1"/>
      <c r="BF422" s="1"/>
      <c r="BG422" s="8"/>
      <c r="BH422" s="1"/>
      <c r="BI422" s="1"/>
      <c r="BJ422" s="1"/>
      <c r="BK422" s="8"/>
    </row>
    <row r="423" spans="1:63">
      <c r="A423" s="49"/>
      <c r="B423" s="7" t="s">
        <v>18</v>
      </c>
      <c r="C423" s="17">
        <v>0.06</v>
      </c>
      <c r="D423" s="7">
        <v>44</v>
      </c>
      <c r="E423" s="1">
        <v>5.8805338541666599E-2</v>
      </c>
      <c r="F423" s="1">
        <v>29.552470010190302</v>
      </c>
      <c r="G423" s="1">
        <v>0.94389751658229204</v>
      </c>
      <c r="H423" s="1">
        <v>12.5101791395355</v>
      </c>
      <c r="I423" s="1">
        <v>32.854299329052303</v>
      </c>
      <c r="J423" s="1">
        <v>0.95230305694037198</v>
      </c>
      <c r="K423" s="8">
        <v>13.2150945439548</v>
      </c>
      <c r="L423" s="7">
        <v>42</v>
      </c>
      <c r="M423" s="1">
        <v>5.4768880208333301E-2</v>
      </c>
      <c r="N423" s="1">
        <v>30.260855854208401</v>
      </c>
      <c r="O423" s="1">
        <v>0.95089395658310105</v>
      </c>
      <c r="P423" s="1">
        <v>13.088650565308001</v>
      </c>
      <c r="Q423" s="1">
        <v>33.667022461368603</v>
      </c>
      <c r="R423" s="1">
        <v>0.95651399877237897</v>
      </c>
      <c r="S423" s="1">
        <v>13.616505262188401</v>
      </c>
      <c r="T423" s="7"/>
      <c r="U423" s="1"/>
      <c r="V423" s="1"/>
      <c r="W423" s="8"/>
      <c r="X423" s="7"/>
      <c r="Y423" s="1"/>
      <c r="Z423" s="1"/>
      <c r="AA423" s="8"/>
      <c r="AB423" s="7">
        <v>2</v>
      </c>
      <c r="AC423" s="1">
        <v>8.6969401041666602E-2</v>
      </c>
      <c r="AD423" s="1">
        <v>31.520858456754301</v>
      </c>
      <c r="AE423" s="1">
        <v>0.96628482404100902</v>
      </c>
      <c r="AF423" s="1">
        <v>14.721745694051201</v>
      </c>
      <c r="AG423" s="1">
        <v>34.742173406368401</v>
      </c>
      <c r="AH423" s="1">
        <v>0.97057149071841298</v>
      </c>
      <c r="AI423" s="1">
        <v>15.312317367851399</v>
      </c>
      <c r="AJ423" s="1">
        <v>61.219097137451101</v>
      </c>
      <c r="AK423" s="1">
        <v>40.320460796356201</v>
      </c>
      <c r="AL423" s="7"/>
      <c r="AM423" s="1"/>
      <c r="AN423" s="1"/>
      <c r="AO423" s="8"/>
      <c r="AP423" s="1"/>
      <c r="AQ423" s="1"/>
      <c r="AR423" s="1"/>
      <c r="AS423" s="8"/>
      <c r="AT423" s="7">
        <v>0.04</v>
      </c>
      <c r="AU423" s="1">
        <v>7.6442057291666601E-2</v>
      </c>
      <c r="AV423" s="1">
        <v>29.934128429031801</v>
      </c>
      <c r="AW423" s="1">
        <v>0.96964180759629703</v>
      </c>
      <c r="AX423" s="1">
        <v>15.1772409089475</v>
      </c>
      <c r="AY423" s="1">
        <v>32.869720900525103</v>
      </c>
      <c r="AZ423" s="1">
        <v>0.97427647755677604</v>
      </c>
      <c r="BA423" s="1">
        <v>15.8966956168442</v>
      </c>
      <c r="BB423" s="1">
        <v>36.520198822021399</v>
      </c>
      <c r="BC423" s="1">
        <v>25.846474647521902</v>
      </c>
      <c r="BD423" s="7"/>
      <c r="BE423" s="1"/>
      <c r="BF423" s="1"/>
      <c r="BG423" s="8"/>
      <c r="BH423" s="1"/>
      <c r="BI423" s="1"/>
      <c r="BJ423" s="1"/>
      <c r="BK423" s="8"/>
    </row>
    <row r="424" spans="1:63">
      <c r="A424" s="49"/>
      <c r="B424" s="7" t="s">
        <v>91</v>
      </c>
      <c r="C424" s="17">
        <v>1.5</v>
      </c>
      <c r="D424" s="7">
        <v>22</v>
      </c>
      <c r="E424" s="1">
        <v>1.4137239583333301</v>
      </c>
      <c r="F424" s="1">
        <v>42.277149936332201</v>
      </c>
      <c r="G424" s="1">
        <v>0.99636763998302202</v>
      </c>
      <c r="H424" s="1">
        <v>24.398111134444701</v>
      </c>
      <c r="I424" s="1">
        <v>45.889493159473297</v>
      </c>
      <c r="J424" s="1">
        <v>0.99793198374484005</v>
      </c>
      <c r="K424" s="8">
        <v>26.8444605189427</v>
      </c>
      <c r="L424" s="7">
        <v>18</v>
      </c>
      <c r="M424" s="1">
        <v>1.45464518229166</v>
      </c>
      <c r="N424" s="1">
        <v>43.802296779283203</v>
      </c>
      <c r="O424" s="1">
        <v>0.997387941007576</v>
      </c>
      <c r="P424" s="1">
        <v>25.8301701889967</v>
      </c>
      <c r="Q424" s="1">
        <v>47.540668538167502</v>
      </c>
      <c r="R424" s="1">
        <v>0.99856677126825399</v>
      </c>
      <c r="S424" s="1">
        <v>28.436844941749001</v>
      </c>
      <c r="T424" s="13">
        <f>bdrate(E424:E427,F424:F427,M424:M427,N424:N427)</f>
        <v>-0.32265521933870611</v>
      </c>
      <c r="U424" s="12">
        <f>bdrate(E424:E427,H424:H427,M424:M427,P424:P427)</f>
        <v>-0.3127473951447951</v>
      </c>
      <c r="V424" s="12">
        <f>bdrate(E424:E427,I424:I427,M424:M427,Q424:Q427)</f>
        <v>-0.31115170446250695</v>
      </c>
      <c r="W424" s="14">
        <f>bdrate(E424:E427,K424:K427,M424:M427,S424:S427)</f>
        <v>-0.27920543065180714</v>
      </c>
      <c r="X424" s="13">
        <f>bdrate(E426:E429,F426:F429,M426:M429,N426:N429)</f>
        <v>-0.37464854397618341</v>
      </c>
      <c r="Y424" s="12">
        <f>bdrate(E426:E429,H426:H429,M426:M429,P426:P429)</f>
        <v>-0.35047564882660109</v>
      </c>
      <c r="Z424" s="12">
        <f>bdrate(E426:E429,I426:I429,M426:M429,Q426:Q429)</f>
        <v>-0.36162866840975971</v>
      </c>
      <c r="AA424" s="14">
        <f>bdrate(E426:E429,K426:K429,M426:M429,S426:S429)</f>
        <v>-0.29774827952396721</v>
      </c>
      <c r="AB424" s="7">
        <v>256</v>
      </c>
      <c r="AC424" s="1">
        <v>1.6326985677083301</v>
      </c>
      <c r="AD424" s="1">
        <v>42.605301567177499</v>
      </c>
      <c r="AE424" s="1">
        <v>0.99769187235630696</v>
      </c>
      <c r="AF424" s="1">
        <v>26.3674017757066</v>
      </c>
      <c r="AG424" s="1">
        <v>46.012683389531901</v>
      </c>
      <c r="AH424" s="1">
        <v>0.99870433070909104</v>
      </c>
      <c r="AI424" s="1">
        <v>28.8750583446968</v>
      </c>
      <c r="AJ424" s="1">
        <v>247.870018482208</v>
      </c>
      <c r="AK424" s="1">
        <v>81.908714771270695</v>
      </c>
      <c r="AL424" s="13">
        <f>bdrate(E424:E427,F424:F427,AC424:AC427,AD424:AD427)</f>
        <v>-2.2907678411058341E-2</v>
      </c>
      <c r="AM424" s="12">
        <f>bdrate(E424:E427,H424:H427,AC424:AC427,AF424:AF427)</f>
        <v>-0.21413405672025998</v>
      </c>
      <c r="AN424" s="12">
        <f>bdrate(E424:E427,I424:I427,AC424:AC427,AG424:AG427)</f>
        <v>5.4965699553508163E-2</v>
      </c>
      <c r="AO424" s="14">
        <f>bdrate(E424:E427,K424:K427,AC424:AC427,AI424:AI427)</f>
        <v>-0.1656219932744788</v>
      </c>
      <c r="AP424" s="12">
        <f>bdrate(E426:E429,F426:F429,AC426:AC429,AD426:AD429)</f>
        <v>-0.1628641835386635</v>
      </c>
      <c r="AQ424" s="12">
        <f>bdrate(E426:E429,H426:H429,AC426:AC429,AF426:AF429)</f>
        <v>-0.31619690607469053</v>
      </c>
      <c r="AR424" s="12">
        <f>bdrate(E426:E429,I426:I429,AC426:AC429,AG426:AG429)</f>
        <v>-8.8359517730074555E-2</v>
      </c>
      <c r="AS424" s="14">
        <f>bdrate(E426:E429,K426:K429,AC426:AC429,AI426:AI429)</f>
        <v>-0.25850137156815789</v>
      </c>
      <c r="AT424" s="7">
        <v>6.4</v>
      </c>
      <c r="AU424" s="1">
        <v>1.2784537760416601</v>
      </c>
      <c r="AV424" s="1">
        <v>38.073572214326298</v>
      </c>
      <c r="AW424" s="1">
        <v>0.99849542552964199</v>
      </c>
      <c r="AX424" s="1">
        <v>28.225863115697901</v>
      </c>
      <c r="AY424" s="1">
        <v>40.747508349103498</v>
      </c>
      <c r="AZ424" s="1">
        <v>0.99907896049176204</v>
      </c>
      <c r="BA424" s="1">
        <v>30.3572174022509</v>
      </c>
      <c r="BB424" s="1">
        <v>678.81413578987099</v>
      </c>
      <c r="BC424" s="1">
        <v>102.841346025466</v>
      </c>
      <c r="BD424" s="13">
        <f>bdrate(E424:E427,F424:F427,AU424:AU427,AV424:AV427)</f>
        <v>0.60443461934943521</v>
      </c>
      <c r="BE424" s="12">
        <f>bdrate(E424:E427,H424:H427,AU424:AU427,AX424:AX427)</f>
        <v>-0.56815017891881459</v>
      </c>
      <c r="BF424" s="12">
        <f>bdrate(E424:E427,I424:I427,AU424:AU427,AY424:AY427)</f>
        <v>0.82129490010643891</v>
      </c>
      <c r="BG424" s="14">
        <f>bdrate(E424:E427,K424:K427,AU424:AU427,BA424:BA427)</f>
        <v>-0.527333367188488</v>
      </c>
      <c r="BH424" s="12">
        <f>bdrate(E426:E429,F426:F429,AU426:AU429,AV426:AV429)</f>
        <v>0.20401756023863737</v>
      </c>
      <c r="BI424" s="12">
        <f>bdrate(E426:E429,H426:H429,AU426:AU429,AX426:AX429)</f>
        <v>-0.5534538325543481</v>
      </c>
      <c r="BJ424" s="12">
        <f>bdrate(E426:E429,I426:I429,AU426:AU429,AY426:AY429)</f>
        <v>0.31232038066848178</v>
      </c>
      <c r="BK424" s="14">
        <f>bdrate(E426:E429,K426:K429,AU426:AU429,BA426:BA429)</f>
        <v>-0.49763265762802655</v>
      </c>
    </row>
    <row r="425" spans="1:63">
      <c r="A425" s="49"/>
      <c r="B425" s="7" t="s">
        <v>18</v>
      </c>
      <c r="C425" s="17">
        <v>1</v>
      </c>
      <c r="D425" s="7">
        <v>26</v>
      </c>
      <c r="E425" s="1">
        <v>0.94393554687500003</v>
      </c>
      <c r="F425" s="1">
        <v>39.762876140024098</v>
      </c>
      <c r="G425" s="1">
        <v>0.99417814659303305</v>
      </c>
      <c r="H425" s="1">
        <v>22.3493873420244</v>
      </c>
      <c r="I425" s="1">
        <v>43.266353389188403</v>
      </c>
      <c r="J425" s="1">
        <v>0.99633159987491604</v>
      </c>
      <c r="K425" s="8">
        <v>24.355233004179201</v>
      </c>
      <c r="L425" s="7">
        <v>22</v>
      </c>
      <c r="M425" s="1">
        <v>0.93915690104166605</v>
      </c>
      <c r="N425" s="1">
        <v>41.566184931887598</v>
      </c>
      <c r="O425" s="1">
        <v>0.995878785711653</v>
      </c>
      <c r="P425" s="1">
        <v>23.849748031345399</v>
      </c>
      <c r="Q425" s="1">
        <v>45.139714757271797</v>
      </c>
      <c r="R425" s="1">
        <v>0.99747888873281398</v>
      </c>
      <c r="S425" s="1">
        <v>25.9840798666851</v>
      </c>
      <c r="T425" s="7"/>
      <c r="U425" s="1"/>
      <c r="V425" s="1"/>
      <c r="W425" s="8"/>
      <c r="X425" s="7"/>
      <c r="Y425" s="1"/>
      <c r="Z425" s="1"/>
      <c r="AA425" s="8"/>
      <c r="AB425" s="7">
        <v>64</v>
      </c>
      <c r="AC425" s="1">
        <v>0.86991210937499996</v>
      </c>
      <c r="AD425" s="1">
        <v>39.1501739304491</v>
      </c>
      <c r="AE425" s="1">
        <v>0.994889485335686</v>
      </c>
      <c r="AF425" s="1">
        <v>22.915353611928001</v>
      </c>
      <c r="AG425" s="1">
        <v>42.1856234618269</v>
      </c>
      <c r="AH425" s="1">
        <v>0.996631296308921</v>
      </c>
      <c r="AI425" s="1">
        <v>24.725371875908699</v>
      </c>
      <c r="AJ425" s="1">
        <v>51.120314359664903</v>
      </c>
      <c r="AK425" s="1">
        <v>28.441148519515899</v>
      </c>
      <c r="AL425" s="7"/>
      <c r="AM425" s="1"/>
      <c r="AN425" s="1"/>
      <c r="AO425" s="8"/>
      <c r="AP425" s="1"/>
      <c r="AQ425" s="1"/>
      <c r="AR425" s="1"/>
      <c r="AS425" s="8"/>
      <c r="AT425" s="7">
        <v>3.2</v>
      </c>
      <c r="AU425" s="1">
        <v>0.92097330729166604</v>
      </c>
      <c r="AV425" s="1">
        <v>36.5603646912447</v>
      </c>
      <c r="AW425" s="1">
        <v>0.99779164177490198</v>
      </c>
      <c r="AX425" s="1">
        <v>26.559304768828301</v>
      </c>
      <c r="AY425" s="1">
        <v>39.193942970606301</v>
      </c>
      <c r="AZ425" s="1">
        <v>0.99858792196196899</v>
      </c>
      <c r="BA425" s="1">
        <v>28.5014130147852</v>
      </c>
      <c r="BB425" s="1">
        <v>333.82972526550202</v>
      </c>
      <c r="BC425" s="1">
        <v>133.08563494682301</v>
      </c>
      <c r="BD425" s="7"/>
      <c r="BE425" s="1"/>
      <c r="BF425" s="1"/>
      <c r="BG425" s="8"/>
      <c r="BH425" s="1"/>
      <c r="BI425" s="1"/>
      <c r="BJ425" s="1"/>
      <c r="BK425" s="8"/>
    </row>
    <row r="426" spans="1:63">
      <c r="A426" s="49"/>
      <c r="B426" s="7" t="s">
        <v>18</v>
      </c>
      <c r="C426" s="17">
        <v>0.5</v>
      </c>
      <c r="D426" s="7">
        <v>32</v>
      </c>
      <c r="E426" s="1">
        <v>0.49568684895833298</v>
      </c>
      <c r="F426" s="1">
        <v>35.8571790208903</v>
      </c>
      <c r="G426" s="1">
        <v>0.98846972379319398</v>
      </c>
      <c r="H426" s="1">
        <v>19.381602890925699</v>
      </c>
      <c r="I426" s="1">
        <v>39.217109624246497</v>
      </c>
      <c r="J426" s="1">
        <v>0.99234644067333899</v>
      </c>
      <c r="K426" s="8">
        <v>21.1613654701213</v>
      </c>
      <c r="L426" s="7">
        <v>28</v>
      </c>
      <c r="M426" s="1">
        <v>0.49890625</v>
      </c>
      <c r="N426" s="1">
        <v>38.254954353532099</v>
      </c>
      <c r="O426" s="1">
        <v>0.99226334692186002</v>
      </c>
      <c r="P426" s="1">
        <v>21.114468770505798</v>
      </c>
      <c r="Q426" s="1">
        <v>41.593498111417098</v>
      </c>
      <c r="R426" s="1">
        <v>0.99473712233349099</v>
      </c>
      <c r="S426" s="1">
        <v>22.787767248672999</v>
      </c>
      <c r="T426" s="7"/>
      <c r="U426" s="1"/>
      <c r="V426" s="1"/>
      <c r="W426" s="8"/>
      <c r="X426" s="7"/>
      <c r="Y426" s="1"/>
      <c r="Z426" s="1"/>
      <c r="AA426" s="8"/>
      <c r="AB426" s="7">
        <v>16</v>
      </c>
      <c r="AC426" s="1">
        <v>0.433414713541666</v>
      </c>
      <c r="AD426" s="1">
        <v>35.656769993553098</v>
      </c>
      <c r="AE426" s="1">
        <v>0.99006993721033398</v>
      </c>
      <c r="AF426" s="1">
        <v>20.030480053697701</v>
      </c>
      <c r="AG426" s="1">
        <v>38.4733726741783</v>
      </c>
      <c r="AH426" s="1">
        <v>0.99302258115098396</v>
      </c>
      <c r="AI426" s="1">
        <v>21.5630520587906</v>
      </c>
      <c r="AJ426" s="1">
        <v>42.8797860145568</v>
      </c>
      <c r="AK426" s="1">
        <v>27.209282398223799</v>
      </c>
      <c r="AL426" s="7"/>
      <c r="AM426" s="1"/>
      <c r="AN426" s="1"/>
      <c r="AO426" s="8"/>
      <c r="AP426" s="1"/>
      <c r="AQ426" s="1"/>
      <c r="AR426" s="1"/>
      <c r="AS426" s="8"/>
      <c r="AT426" s="7">
        <v>0.64</v>
      </c>
      <c r="AU426" s="1">
        <v>0.41134440104166597</v>
      </c>
      <c r="AV426" s="1">
        <v>32.579276593561701</v>
      </c>
      <c r="AW426" s="1">
        <v>0.99421144226298097</v>
      </c>
      <c r="AX426" s="1">
        <v>22.374296305523099</v>
      </c>
      <c r="AY426" s="1">
        <v>35.195704048593598</v>
      </c>
      <c r="AZ426" s="1">
        <v>0.99597345552449701</v>
      </c>
      <c r="BA426" s="1">
        <v>23.950674995123698</v>
      </c>
      <c r="BB426" s="1">
        <v>72.296518325805593</v>
      </c>
      <c r="BC426" s="1">
        <v>35.971173524856503</v>
      </c>
      <c r="BD426" s="7"/>
      <c r="BE426" s="1"/>
      <c r="BF426" s="1"/>
      <c r="BG426" s="8"/>
      <c r="BH426" s="1"/>
      <c r="BI426" s="1"/>
      <c r="BJ426" s="1"/>
      <c r="BK426" s="8"/>
    </row>
    <row r="427" spans="1:63">
      <c r="A427" s="49"/>
      <c r="B427" s="7" t="s">
        <v>18</v>
      </c>
      <c r="C427" s="17">
        <v>0.25</v>
      </c>
      <c r="D427" s="7">
        <v>38</v>
      </c>
      <c r="E427" s="1">
        <v>0.24675130208333301</v>
      </c>
      <c r="F427" s="1">
        <v>32.044897533590401</v>
      </c>
      <c r="G427" s="1">
        <v>0.97790653785674497</v>
      </c>
      <c r="H427" s="1">
        <v>16.5573622292914</v>
      </c>
      <c r="I427" s="1">
        <v>35.196896346887797</v>
      </c>
      <c r="J427" s="1">
        <v>0.98491677508138198</v>
      </c>
      <c r="K427" s="8">
        <v>18.2150579277505</v>
      </c>
      <c r="L427" s="7">
        <v>35</v>
      </c>
      <c r="M427" s="1">
        <v>0.230465494791666</v>
      </c>
      <c r="N427" s="1">
        <v>34.281967648362802</v>
      </c>
      <c r="O427" s="1">
        <v>0.98444408817372697</v>
      </c>
      <c r="P427" s="1">
        <v>18.0810452717744</v>
      </c>
      <c r="Q427" s="1">
        <v>37.377734756863902</v>
      </c>
      <c r="R427" s="1">
        <v>0.98868520096167101</v>
      </c>
      <c r="S427" s="1">
        <v>19.4635315512684</v>
      </c>
      <c r="T427" s="7"/>
      <c r="U427" s="1"/>
      <c r="V427" s="1"/>
      <c r="W427" s="8"/>
      <c r="X427" s="7"/>
      <c r="Y427" s="1"/>
      <c r="Z427" s="1"/>
      <c r="AA427" s="8"/>
      <c r="AB427" s="7">
        <v>8</v>
      </c>
      <c r="AC427" s="1">
        <v>0.29641601562499997</v>
      </c>
      <c r="AD427" s="1">
        <v>33.946249856620099</v>
      </c>
      <c r="AE427" s="1">
        <v>0.98641160658977201</v>
      </c>
      <c r="AF427" s="1">
        <v>18.6683188795615</v>
      </c>
      <c r="AG427" s="1">
        <v>36.702741927765203</v>
      </c>
      <c r="AH427" s="1">
        <v>0.99020682861442599</v>
      </c>
      <c r="AI427" s="1">
        <v>20.0907664504896</v>
      </c>
      <c r="AJ427" s="1">
        <v>32.457321643829303</v>
      </c>
      <c r="AK427" s="1">
        <v>20.180395364761299</v>
      </c>
      <c r="AL427" s="7"/>
      <c r="AM427" s="1"/>
      <c r="AN427" s="1"/>
      <c r="AO427" s="8"/>
      <c r="AP427" s="1"/>
      <c r="AQ427" s="1"/>
      <c r="AR427" s="1"/>
      <c r="AS427" s="8"/>
      <c r="AT427" s="7">
        <v>0.32</v>
      </c>
      <c r="AU427" s="1">
        <v>0.28493164062499998</v>
      </c>
      <c r="AV427" s="1">
        <v>31.334859664340701</v>
      </c>
      <c r="AW427" s="1">
        <v>0.99156170239696395</v>
      </c>
      <c r="AX427" s="1">
        <v>20.7374516192674</v>
      </c>
      <c r="AY427" s="1">
        <v>33.959237525740399</v>
      </c>
      <c r="AZ427" s="1">
        <v>0.993909566362709</v>
      </c>
      <c r="BA427" s="1">
        <v>22.153517846121201</v>
      </c>
      <c r="BB427" s="1">
        <v>61.579893827438298</v>
      </c>
      <c r="BC427" s="1">
        <v>39.683324098587001</v>
      </c>
      <c r="BD427" s="7"/>
      <c r="BE427" s="1"/>
      <c r="BF427" s="1"/>
      <c r="BG427" s="8"/>
      <c r="BH427" s="1"/>
      <c r="BI427" s="1"/>
      <c r="BJ427" s="1"/>
      <c r="BK427" s="8"/>
    </row>
    <row r="428" spans="1:63">
      <c r="A428" s="49"/>
      <c r="B428" s="7" t="s">
        <v>18</v>
      </c>
      <c r="C428" s="17">
        <v>0.12</v>
      </c>
      <c r="D428" s="7">
        <v>44</v>
      </c>
      <c r="E428" s="1">
        <v>0.11211588541666601</v>
      </c>
      <c r="F428" s="1">
        <v>28.3215732315658</v>
      </c>
      <c r="G428" s="1">
        <v>0.95490044754860703</v>
      </c>
      <c r="H428" s="1">
        <v>13.4582776785274</v>
      </c>
      <c r="I428" s="1">
        <v>31.2848942530042</v>
      </c>
      <c r="J428" s="1">
        <v>0.96705482463334203</v>
      </c>
      <c r="K428" s="8">
        <v>14.822081763675</v>
      </c>
      <c r="L428" s="7">
        <v>41</v>
      </c>
      <c r="M428" s="1">
        <v>0.11376953125</v>
      </c>
      <c r="N428" s="1">
        <v>30.465385881483101</v>
      </c>
      <c r="O428" s="1">
        <v>0.96949598903232503</v>
      </c>
      <c r="P428" s="1">
        <v>15.1564305158437</v>
      </c>
      <c r="Q428" s="1">
        <v>33.450615056966399</v>
      </c>
      <c r="R428" s="1">
        <v>0.97690481842651999</v>
      </c>
      <c r="S428" s="1">
        <v>16.3647861899655</v>
      </c>
      <c r="T428" s="7"/>
      <c r="U428" s="1"/>
      <c r="V428" s="1"/>
      <c r="W428" s="8"/>
      <c r="X428" s="7"/>
      <c r="Y428" s="1"/>
      <c r="Z428" s="1"/>
      <c r="AA428" s="8"/>
      <c r="AB428" s="7">
        <v>4</v>
      </c>
      <c r="AC428" s="1">
        <v>0.19826497395833301</v>
      </c>
      <c r="AD428" s="1">
        <v>31.884933343164001</v>
      </c>
      <c r="AE428" s="1">
        <v>0.98118929220656104</v>
      </c>
      <c r="AF428" s="1">
        <v>17.255948628759</v>
      </c>
      <c r="AG428" s="1">
        <v>34.575648766079098</v>
      </c>
      <c r="AH428" s="1">
        <v>0.98629853723560701</v>
      </c>
      <c r="AI428" s="1">
        <v>18.632330652091198</v>
      </c>
      <c r="AJ428" s="1">
        <v>46.515395402908297</v>
      </c>
      <c r="AK428" s="1">
        <v>32.593020439147899</v>
      </c>
      <c r="AL428" s="7"/>
      <c r="AM428" s="1"/>
      <c r="AN428" s="1"/>
      <c r="AO428" s="8"/>
      <c r="AP428" s="1"/>
      <c r="AQ428" s="1"/>
      <c r="AR428" s="1"/>
      <c r="AS428" s="8"/>
      <c r="AT428" s="7">
        <v>0.08</v>
      </c>
      <c r="AU428" s="1">
        <v>0.13560872395833301</v>
      </c>
      <c r="AV428" s="1">
        <v>28.746380418730901</v>
      </c>
      <c r="AW428" s="1">
        <v>0.98157893813173003</v>
      </c>
      <c r="AX428" s="1">
        <v>17.346853388385099</v>
      </c>
      <c r="AY428" s="1">
        <v>31.3726646971175</v>
      </c>
      <c r="AZ428" s="1">
        <v>0.98591062064754098</v>
      </c>
      <c r="BA428" s="1">
        <v>18.511081374611798</v>
      </c>
      <c r="BB428" s="1">
        <v>29.833946943282999</v>
      </c>
      <c r="BC428" s="1">
        <v>19.834871768951398</v>
      </c>
      <c r="BD428" s="7"/>
      <c r="BE428" s="1"/>
      <c r="BF428" s="1"/>
      <c r="BG428" s="8"/>
      <c r="BH428" s="1"/>
      <c r="BI428" s="1"/>
      <c r="BJ428" s="1"/>
      <c r="BK428" s="8"/>
    </row>
    <row r="429" spans="1:63">
      <c r="A429" s="49"/>
      <c r="B429" s="7" t="s">
        <v>18</v>
      </c>
      <c r="C429" s="17">
        <v>0.06</v>
      </c>
      <c r="D429" s="7">
        <v>49</v>
      </c>
      <c r="E429" s="1">
        <v>5.1832682291666599E-2</v>
      </c>
      <c r="F429" s="1">
        <v>25.416892919440102</v>
      </c>
      <c r="G429" s="1">
        <v>0.91698852167723699</v>
      </c>
      <c r="H429" s="1">
        <v>10.808618518699999</v>
      </c>
      <c r="I429" s="1">
        <v>28.311276084606401</v>
      </c>
      <c r="J429" s="1">
        <v>0.93462645695712698</v>
      </c>
      <c r="K429" s="8">
        <v>11.845979769849601</v>
      </c>
      <c r="L429" s="7">
        <v>46</v>
      </c>
      <c r="M429" s="1">
        <v>5.7568359375000003E-2</v>
      </c>
      <c r="N429" s="1">
        <v>27.424874661744902</v>
      </c>
      <c r="O429" s="1">
        <v>0.94405511340821402</v>
      </c>
      <c r="P429" s="1">
        <v>12.522396021911399</v>
      </c>
      <c r="Q429" s="1">
        <v>30.334180073598699</v>
      </c>
      <c r="R429" s="1">
        <v>0.95529915246088903</v>
      </c>
      <c r="S429" s="1">
        <v>13.4968424245934</v>
      </c>
      <c r="T429" s="7"/>
      <c r="U429" s="1"/>
      <c r="V429" s="1"/>
      <c r="W429" s="8"/>
      <c r="X429" s="7"/>
      <c r="Y429" s="1"/>
      <c r="Z429" s="1"/>
      <c r="AA429" s="8"/>
      <c r="AB429" s="7">
        <v>2</v>
      </c>
      <c r="AC429" s="1">
        <v>0.13088216145833301</v>
      </c>
      <c r="AD429" s="1">
        <v>29.964918740168699</v>
      </c>
      <c r="AE429" s="1">
        <v>0.97369683282362995</v>
      </c>
      <c r="AF429" s="1">
        <v>15.7999195476478</v>
      </c>
      <c r="AG429" s="1">
        <v>32.617452168722103</v>
      </c>
      <c r="AH429" s="1">
        <v>0.98061240863986798</v>
      </c>
      <c r="AI429" s="1">
        <v>17.1247614264798</v>
      </c>
      <c r="AJ429" s="1">
        <v>63.298029661178496</v>
      </c>
      <c r="AK429" s="1">
        <v>44.785983324050903</v>
      </c>
      <c r="AL429" s="7"/>
      <c r="AM429" s="1"/>
      <c r="AN429" s="1"/>
      <c r="AO429" s="8"/>
      <c r="AP429" s="1"/>
      <c r="AQ429" s="1"/>
      <c r="AR429" s="1"/>
      <c r="AS429" s="8"/>
      <c r="AT429" s="7">
        <v>0.04</v>
      </c>
      <c r="AU429" s="1">
        <v>8.9567057291666599E-2</v>
      </c>
      <c r="AV429" s="1">
        <v>27.362653278530299</v>
      </c>
      <c r="AW429" s="1">
        <v>0.97290440405003897</v>
      </c>
      <c r="AX429" s="1">
        <v>15.6710129252267</v>
      </c>
      <c r="AY429" s="1">
        <v>29.984705913671899</v>
      </c>
      <c r="AZ429" s="1">
        <v>0.97863902979032702</v>
      </c>
      <c r="BA429" s="1">
        <v>16.703790256538799</v>
      </c>
      <c r="BB429" s="1">
        <v>36.767737388610797</v>
      </c>
      <c r="BC429" s="1">
        <v>26.265065670013399</v>
      </c>
      <c r="BD429" s="7"/>
      <c r="BE429" s="1"/>
      <c r="BF429" s="1"/>
      <c r="BG429" s="8"/>
      <c r="BH429" s="1"/>
      <c r="BI429" s="1"/>
      <c r="BJ429" s="1"/>
      <c r="BK429" s="8"/>
    </row>
    <row r="430" spans="1:63">
      <c r="A430" s="49"/>
      <c r="B430" s="7" t="s">
        <v>92</v>
      </c>
      <c r="C430" s="17">
        <v>1.5</v>
      </c>
      <c r="D430" s="7">
        <v>12</v>
      </c>
      <c r="E430" s="1">
        <v>1.42875651041666</v>
      </c>
      <c r="F430" s="1">
        <v>49.522497149902499</v>
      </c>
      <c r="G430" s="1">
        <v>0.99809820397623905</v>
      </c>
      <c r="H430" s="1">
        <v>27.208360649514901</v>
      </c>
      <c r="I430" s="1">
        <v>53.162661891929197</v>
      </c>
      <c r="J430" s="1">
        <v>0.99924093912653</v>
      </c>
      <c r="K430" s="8">
        <v>31.197233941284001</v>
      </c>
      <c r="L430" s="7">
        <v>10</v>
      </c>
      <c r="M430" s="1">
        <v>1.1732128906249999</v>
      </c>
      <c r="N430" s="1">
        <v>49.263619432480098</v>
      </c>
      <c r="O430" s="1">
        <v>0.99807501761999695</v>
      </c>
      <c r="P430" s="1">
        <v>27.155732413775901</v>
      </c>
      <c r="Q430" s="1">
        <v>53.000848527139503</v>
      </c>
      <c r="R430" s="1">
        <v>0.99922536179719401</v>
      </c>
      <c r="S430" s="1">
        <v>31.109010887356</v>
      </c>
      <c r="T430" s="13">
        <f>bdrate(E430:E433,F430:F433,M430:M433,N430:N433)</f>
        <v>-0.29853871851832947</v>
      </c>
      <c r="U430" s="12">
        <f>bdrate(E430:E433,H430:H433,M430:M433,P430:P433)</f>
        <v>-0.33370508852314851</v>
      </c>
      <c r="V430" s="12">
        <f>bdrate(E430:E433,I430:I433,M430:M433,Q430:Q433)</f>
        <v>-0.30802479447759645</v>
      </c>
      <c r="W430" s="14">
        <f>bdrate(E430:E433,K430:K433,M430:M433,S430:S433)</f>
        <v>-0.30855029398999667</v>
      </c>
      <c r="X430" s="13">
        <f>bdrate(E432:E435,F432:F435,M432:M435,N432:N435)</f>
        <v>-0.40272648534091615</v>
      </c>
      <c r="Y430" s="12">
        <f>bdrate(E432:E435,H432:H435,M432:M435,P432:P435)</f>
        <v>-0.48491812744522744</v>
      </c>
      <c r="Z430" s="12">
        <f>bdrate(E432:E435,I432:I435,M432:M435,Q432:Q435)</f>
        <v>-0.40075749917338255</v>
      </c>
      <c r="AA430" s="14">
        <f>bdrate(E432:E435,K432:K435,M432:M435,S432:S435)</f>
        <v>-0.4586469302081122</v>
      </c>
      <c r="AB430" s="7">
        <v>256</v>
      </c>
      <c r="AC430" s="1">
        <v>0.47844075520833301</v>
      </c>
      <c r="AD430" s="1">
        <v>47.601778878155997</v>
      </c>
      <c r="AE430" s="1">
        <v>0.99806330026159495</v>
      </c>
      <c r="AF430" s="1">
        <v>27.129377061068599</v>
      </c>
      <c r="AG430" s="1">
        <v>50.768477048600403</v>
      </c>
      <c r="AH430" s="1">
        <v>0.99899351763908495</v>
      </c>
      <c r="AI430" s="1">
        <v>29.971938319274098</v>
      </c>
      <c r="AJ430" s="1">
        <v>217.60092353820801</v>
      </c>
      <c r="AK430" s="1">
        <v>82.898534774780202</v>
      </c>
      <c r="AL430" s="13">
        <f>bdrate(E430:E433,F430:F433,AC430:AC433,AD430:AD433)</f>
        <v>-0.38065035677577153</v>
      </c>
      <c r="AM430" s="12">
        <f>bdrate(E430:E433,H430:H433,AC430:AC433,AF430:AF433)</f>
        <v>-0.67971785071282298</v>
      </c>
      <c r="AN430" s="12">
        <f>bdrate(E430:E433,I430:I433,AC430:AC433,AG430:AG433)</f>
        <v>-0.30324733805579707</v>
      </c>
      <c r="AO430" s="14">
        <f>bdrate(E430:E433,K430:K433,AC430:AC433,AI430:AI433)</f>
        <v>-0.5522307834425737</v>
      </c>
      <c r="AP430" s="12">
        <f>bdrate(E432:E435,F432:F435,AC432:AC435,AD432:AD435)</f>
        <v>-0.40485900200459013</v>
      </c>
      <c r="AQ430" s="12">
        <f>bdrate(E432:E435,H432:H435,AC432:AC435,AF432:AF435)</f>
        <v>-0.62058616554784563</v>
      </c>
      <c r="AR430" s="12">
        <f>bdrate(E432:E435,I432:I435,AC432:AC435,AG432:AG435)</f>
        <v>-0.33720869770819517</v>
      </c>
      <c r="AS430" s="14">
        <f>bdrate(E432:E435,K432:K435,AC432:AC435,AI432:AI435)</f>
        <v>-0.5341452413740817</v>
      </c>
      <c r="AT430" s="7">
        <v>6.4</v>
      </c>
      <c r="AU430" s="1">
        <v>0.59491210937500005</v>
      </c>
      <c r="AV430" s="1">
        <v>45.434835564364001</v>
      </c>
      <c r="AW430" s="1">
        <v>0.99896602083612795</v>
      </c>
      <c r="AX430" s="1">
        <v>29.854882127960899</v>
      </c>
      <c r="AY430" s="1">
        <v>47.928226481413802</v>
      </c>
      <c r="AZ430" s="1">
        <v>0.99942654737245495</v>
      </c>
      <c r="BA430" s="1">
        <v>32.415024529946898</v>
      </c>
      <c r="BB430" s="1">
        <v>641.75355625152497</v>
      </c>
      <c r="BC430" s="1">
        <v>102.44486880302399</v>
      </c>
      <c r="BD430" s="13">
        <f>bdrate(E430:E433,F430:F433,AU430:AU433,AV430:AV433)</f>
        <v>0.13471175450300676</v>
      </c>
      <c r="BE430" s="12">
        <f>bdrate(E430:E433,H430:H433,AU430:AU433,AX430:AX433)</f>
        <v>-0.80902521403309624</v>
      </c>
      <c r="BF430" s="12">
        <f>bdrate(E430:E433,I430:I433,AU430:AU433,AY430:AY433)</f>
        <v>0.53229390859816927</v>
      </c>
      <c r="BG430" s="14">
        <f>bdrate(E430:E433,K430:K433,AU430:AU433,BA430:BA433)</f>
        <v>-0.7000792542561971</v>
      </c>
      <c r="BH430" s="12">
        <f>bdrate(E432:E435,F432:F435,AU432:AU435,AV432:AV435)</f>
        <v>-0.24098762135328999</v>
      </c>
      <c r="BI430" s="12">
        <f>bdrate(E432:E435,H432:H435,AU432:AU435,AX432:AX435)</f>
        <v>-0.7501794538712151</v>
      </c>
      <c r="BJ430" s="12">
        <f>bdrate(E432:E435,I432:I435,AU432:AU435,AY432:AY435)</f>
        <v>-7.9395660162374759E-2</v>
      </c>
      <c r="BK430" s="14">
        <f>bdrate(E432:E435,K432:K435,AU432:AU435,BA432:BA435)</f>
        <v>-0.65420415991139769</v>
      </c>
    </row>
    <row r="431" spans="1:63">
      <c r="A431" s="49"/>
      <c r="B431" s="7" t="s">
        <v>18</v>
      </c>
      <c r="C431" s="17">
        <v>1</v>
      </c>
      <c r="D431" s="7">
        <v>15</v>
      </c>
      <c r="E431" s="1">
        <v>0.97465169270833296</v>
      </c>
      <c r="F431" s="1">
        <v>48.550125624260403</v>
      </c>
      <c r="G431" s="1">
        <v>0.99759828555054397</v>
      </c>
      <c r="H431" s="1">
        <v>26.194786290720501</v>
      </c>
      <c r="I431" s="1">
        <v>52.1565670568353</v>
      </c>
      <c r="J431" s="1">
        <v>0.99899479313726902</v>
      </c>
      <c r="K431" s="8">
        <v>29.977445550617698</v>
      </c>
      <c r="L431" s="7">
        <v>11</v>
      </c>
      <c r="M431" s="1">
        <v>0.98197591145833296</v>
      </c>
      <c r="N431" s="1">
        <v>48.9573675900334</v>
      </c>
      <c r="O431" s="1">
        <v>0.99792508837863203</v>
      </c>
      <c r="P431" s="1">
        <v>26.830003968650502</v>
      </c>
      <c r="Q431" s="1">
        <v>52.6290167189484</v>
      </c>
      <c r="R431" s="1">
        <v>0.99913204318457105</v>
      </c>
      <c r="S431" s="1">
        <v>30.615018822979899</v>
      </c>
      <c r="T431" s="7"/>
      <c r="U431" s="1"/>
      <c r="V431" s="1"/>
      <c r="W431" s="8"/>
      <c r="X431" s="7"/>
      <c r="Y431" s="1"/>
      <c r="Z431" s="1"/>
      <c r="AA431" s="8"/>
      <c r="AB431" s="7">
        <v>128</v>
      </c>
      <c r="AC431" s="1">
        <v>0.327939453125</v>
      </c>
      <c r="AD431" s="1">
        <v>46.482430227197398</v>
      </c>
      <c r="AE431" s="1">
        <v>0.99769254365271598</v>
      </c>
      <c r="AF431" s="1">
        <v>26.368665062557401</v>
      </c>
      <c r="AG431" s="1">
        <v>49.617956388082099</v>
      </c>
      <c r="AH431" s="1">
        <v>0.998809384608219</v>
      </c>
      <c r="AI431" s="1">
        <v>29.2422850736939</v>
      </c>
      <c r="AJ431" s="1">
        <v>234.95286965370099</v>
      </c>
      <c r="AK431" s="1">
        <v>80.416294336318899</v>
      </c>
      <c r="AL431" s="7"/>
      <c r="AM431" s="1"/>
      <c r="AN431" s="1"/>
      <c r="AO431" s="8"/>
      <c r="AP431" s="1"/>
      <c r="AQ431" s="1"/>
      <c r="AR431" s="1"/>
      <c r="AS431" s="8"/>
      <c r="AT431" s="7">
        <v>3.2</v>
      </c>
      <c r="AU431" s="1">
        <v>0.376097005208333</v>
      </c>
      <c r="AV431" s="1">
        <v>43.935420798086803</v>
      </c>
      <c r="AW431" s="1">
        <v>0.99848117064714104</v>
      </c>
      <c r="AX431" s="1">
        <v>28.184910182866801</v>
      </c>
      <c r="AY431" s="1">
        <v>46.365926605371698</v>
      </c>
      <c r="AZ431" s="1">
        <v>0.99916764979338402</v>
      </c>
      <c r="BA431" s="1">
        <v>30.796939083244499</v>
      </c>
      <c r="BB431" s="1">
        <v>288.43331432342501</v>
      </c>
      <c r="BC431" s="1">
        <v>131.57539725303599</v>
      </c>
      <c r="BD431" s="7"/>
      <c r="BE431" s="1"/>
      <c r="BF431" s="1"/>
      <c r="BG431" s="8"/>
      <c r="BH431" s="1"/>
      <c r="BI431" s="1"/>
      <c r="BJ431" s="1"/>
      <c r="BK431" s="8"/>
    </row>
    <row r="432" spans="1:63">
      <c r="A432" s="49"/>
      <c r="B432" s="7" t="s">
        <v>18</v>
      </c>
      <c r="C432" s="17">
        <v>0.5</v>
      </c>
      <c r="D432" s="7">
        <v>23</v>
      </c>
      <c r="E432" s="1">
        <v>0.452877604166666</v>
      </c>
      <c r="F432" s="1">
        <v>45.6297116652024</v>
      </c>
      <c r="G432" s="1">
        <v>0.99613267382791004</v>
      </c>
      <c r="H432" s="1">
        <v>24.125891977834598</v>
      </c>
      <c r="I432" s="1">
        <v>49.304124665604199</v>
      </c>
      <c r="J432" s="1">
        <v>0.99836615804349504</v>
      </c>
      <c r="K432" s="8">
        <v>27.867899555990501</v>
      </c>
      <c r="L432" s="7">
        <v>17</v>
      </c>
      <c r="M432" s="1">
        <v>0.47836914062500002</v>
      </c>
      <c r="N432" s="1">
        <v>47.374796087191299</v>
      </c>
      <c r="O432" s="1">
        <v>0.99715961663604102</v>
      </c>
      <c r="P432" s="1">
        <v>25.4662303966576</v>
      </c>
      <c r="Q432" s="1">
        <v>51.086278914835198</v>
      </c>
      <c r="R432" s="1">
        <v>0.99879007643944095</v>
      </c>
      <c r="S432" s="1">
        <v>29.172420662755901</v>
      </c>
      <c r="T432" s="7"/>
      <c r="U432" s="1"/>
      <c r="V432" s="1"/>
      <c r="W432" s="8"/>
      <c r="X432" s="7"/>
      <c r="Y432" s="1"/>
      <c r="Z432" s="1"/>
      <c r="AA432" s="8"/>
      <c r="AB432" s="7">
        <v>64</v>
      </c>
      <c r="AC432" s="1">
        <v>0.25102539062500001</v>
      </c>
      <c r="AD432" s="1">
        <v>44.995754558895001</v>
      </c>
      <c r="AE432" s="1">
        <v>0.99728719159016999</v>
      </c>
      <c r="AF432" s="1">
        <v>25.665808768951401</v>
      </c>
      <c r="AG432" s="1">
        <v>48.111629626487002</v>
      </c>
      <c r="AH432" s="1">
        <v>0.998598273371887</v>
      </c>
      <c r="AI432" s="1">
        <v>28.533366764396401</v>
      </c>
      <c r="AJ432" s="1">
        <v>50.589898824691701</v>
      </c>
      <c r="AK432" s="1">
        <v>27.972316741943299</v>
      </c>
      <c r="AL432" s="7"/>
      <c r="AM432" s="1"/>
      <c r="AN432" s="1"/>
      <c r="AO432" s="8"/>
      <c r="AP432" s="1"/>
      <c r="AQ432" s="1"/>
      <c r="AR432" s="1"/>
      <c r="AS432" s="8"/>
      <c r="AT432" s="7">
        <v>1.28</v>
      </c>
      <c r="AU432" s="1">
        <v>0.21713867187499999</v>
      </c>
      <c r="AV432" s="1">
        <v>42.245723176594602</v>
      </c>
      <c r="AW432" s="1">
        <v>0.99781677556550097</v>
      </c>
      <c r="AX432" s="1">
        <v>26.609016167168299</v>
      </c>
      <c r="AY432" s="1">
        <v>44.624581349095301</v>
      </c>
      <c r="AZ432" s="1">
        <v>0.99878571078753098</v>
      </c>
      <c r="BA432" s="1">
        <v>29.156778631616898</v>
      </c>
      <c r="BB432" s="1">
        <v>74.832723379135103</v>
      </c>
      <c r="BC432" s="1">
        <v>37.121877193450899</v>
      </c>
      <c r="BD432" s="7"/>
      <c r="BE432" s="1"/>
      <c r="BF432" s="1"/>
      <c r="BG432" s="8"/>
      <c r="BH432" s="1"/>
      <c r="BI432" s="1"/>
      <c r="BJ432" s="1"/>
      <c r="BK432" s="8"/>
    </row>
    <row r="433" spans="1:63">
      <c r="A433" s="49"/>
      <c r="B433" s="7" t="s">
        <v>18</v>
      </c>
      <c r="C433" s="17">
        <v>0.25</v>
      </c>
      <c r="D433" s="7">
        <v>30</v>
      </c>
      <c r="E433" s="1">
        <v>0.22876627604166599</v>
      </c>
      <c r="F433" s="1">
        <v>42.0399015637364</v>
      </c>
      <c r="G433" s="1">
        <v>0.99332754712285698</v>
      </c>
      <c r="H433" s="1">
        <v>21.757144846470901</v>
      </c>
      <c r="I433" s="1">
        <v>45.5914411129203</v>
      </c>
      <c r="J433" s="1">
        <v>0.99703966409350697</v>
      </c>
      <c r="K433" s="8">
        <v>25.286590071642902</v>
      </c>
      <c r="L433" s="7">
        <v>24</v>
      </c>
      <c r="M433" s="1">
        <v>0.24067708333333299</v>
      </c>
      <c r="N433" s="1">
        <v>44.849490673031198</v>
      </c>
      <c r="O433" s="1">
        <v>0.99609259726777499</v>
      </c>
      <c r="P433" s="1">
        <v>24.081118241555501</v>
      </c>
      <c r="Q433" s="1">
        <v>48.518356797348197</v>
      </c>
      <c r="R433" s="1">
        <v>0.99828811389118499</v>
      </c>
      <c r="S433" s="1">
        <v>27.665251321579799</v>
      </c>
      <c r="T433" s="7"/>
      <c r="U433" s="1"/>
      <c r="V433" s="1"/>
      <c r="W433" s="8"/>
      <c r="X433" s="7"/>
      <c r="Y433" s="1"/>
      <c r="Z433" s="1"/>
      <c r="AA433" s="8"/>
      <c r="AB433" s="7">
        <v>32</v>
      </c>
      <c r="AC433" s="1">
        <v>0.17793945312500001</v>
      </c>
      <c r="AD433" s="1">
        <v>43.534144494947398</v>
      </c>
      <c r="AE433" s="1">
        <v>0.99659164613338103</v>
      </c>
      <c r="AF433" s="1">
        <v>24.6745532166894</v>
      </c>
      <c r="AG433" s="1">
        <v>46.563949847450097</v>
      </c>
      <c r="AH433" s="1">
        <v>0.99818305330996804</v>
      </c>
      <c r="AI433" s="1">
        <v>27.406578148849398</v>
      </c>
      <c r="AJ433" s="1">
        <v>37.3212277889251</v>
      </c>
      <c r="AK433" s="1">
        <v>20.993942499160699</v>
      </c>
      <c r="AL433" s="7"/>
      <c r="AM433" s="1"/>
      <c r="AN433" s="1"/>
      <c r="AO433" s="8"/>
      <c r="AP433" s="1"/>
      <c r="AQ433" s="1"/>
      <c r="AR433" s="1"/>
      <c r="AS433" s="8"/>
      <c r="AT433" s="7">
        <v>0.64</v>
      </c>
      <c r="AU433" s="1">
        <v>0.145354817708333</v>
      </c>
      <c r="AV433" s="1">
        <v>40.863352470852597</v>
      </c>
      <c r="AW433" s="1">
        <v>0.99720051737892701</v>
      </c>
      <c r="AX433" s="1">
        <v>25.529222242203002</v>
      </c>
      <c r="AY433" s="1">
        <v>43.255711394028197</v>
      </c>
      <c r="AZ433" s="1">
        <v>0.99842077266824403</v>
      </c>
      <c r="BA433" s="1">
        <v>28.0155534825616</v>
      </c>
      <c r="BB433" s="1">
        <v>67.704109191894503</v>
      </c>
      <c r="BC433" s="1">
        <v>35.568021059036198</v>
      </c>
      <c r="BD433" s="7"/>
      <c r="BE433" s="1"/>
      <c r="BF433" s="1"/>
      <c r="BG433" s="8"/>
      <c r="BH433" s="1"/>
      <c r="BI433" s="1"/>
      <c r="BJ433" s="1"/>
      <c r="BK433" s="8"/>
    </row>
    <row r="434" spans="1:63">
      <c r="A434" s="49"/>
      <c r="B434" s="7" t="s">
        <v>18</v>
      </c>
      <c r="C434" s="17">
        <v>0.12</v>
      </c>
      <c r="D434" s="7">
        <v>37</v>
      </c>
      <c r="E434" s="1">
        <v>0.109401041666666</v>
      </c>
      <c r="F434" s="1">
        <v>37.945992814658098</v>
      </c>
      <c r="G434" s="1">
        <v>0.98621682809318101</v>
      </c>
      <c r="H434" s="1">
        <v>18.6065082719545</v>
      </c>
      <c r="I434" s="1">
        <v>41.347420488792402</v>
      </c>
      <c r="J434" s="1">
        <v>0.99360668996809798</v>
      </c>
      <c r="K434" s="8">
        <v>21.942742347372</v>
      </c>
      <c r="L434" s="7">
        <v>31</v>
      </c>
      <c r="M434" s="1">
        <v>0.11920898437499999</v>
      </c>
      <c r="N434" s="1">
        <v>41.299541742025703</v>
      </c>
      <c r="O434" s="1">
        <v>0.99336342190372195</v>
      </c>
      <c r="P434" s="1">
        <v>21.780557906572501</v>
      </c>
      <c r="Q434" s="1">
        <v>44.799648743204699</v>
      </c>
      <c r="R434" s="1">
        <v>0.99692182658214501</v>
      </c>
      <c r="S434" s="1">
        <v>25.1170691657215</v>
      </c>
      <c r="T434" s="7"/>
      <c r="U434" s="1"/>
      <c r="V434" s="1"/>
      <c r="W434" s="8"/>
      <c r="X434" s="7"/>
      <c r="Y434" s="1"/>
      <c r="Z434" s="1"/>
      <c r="AA434" s="8"/>
      <c r="AB434" s="7">
        <v>16</v>
      </c>
      <c r="AC434" s="1">
        <v>0.132229817708333</v>
      </c>
      <c r="AD434" s="1">
        <v>41.874312745111297</v>
      </c>
      <c r="AE434" s="1">
        <v>0.99553372754738001</v>
      </c>
      <c r="AF434" s="1">
        <v>23.500547875207101</v>
      </c>
      <c r="AG434" s="1">
        <v>44.797185308086199</v>
      </c>
      <c r="AH434" s="1">
        <v>0.99756751205958605</v>
      </c>
      <c r="AI434" s="1">
        <v>26.139493041633099</v>
      </c>
      <c r="AJ434" s="1">
        <v>40.173104047775198</v>
      </c>
      <c r="AK434" s="1">
        <v>26.1235718727111</v>
      </c>
      <c r="AL434" s="7"/>
      <c r="AM434" s="1"/>
      <c r="AN434" s="1"/>
      <c r="AO434" s="8"/>
      <c r="AP434" s="1"/>
      <c r="AQ434" s="1"/>
      <c r="AR434" s="1"/>
      <c r="AS434" s="8"/>
      <c r="AT434" s="7">
        <v>0.32</v>
      </c>
      <c r="AU434" s="1">
        <v>0.105745442708333</v>
      </c>
      <c r="AV434" s="1">
        <v>39.522674547780397</v>
      </c>
      <c r="AW434" s="1">
        <v>0.99632380655733299</v>
      </c>
      <c r="AX434" s="1">
        <v>24.346016439474798</v>
      </c>
      <c r="AY434" s="1">
        <v>41.869328725174299</v>
      </c>
      <c r="AZ434" s="1">
        <v>0.99785837192526605</v>
      </c>
      <c r="BA434" s="1">
        <v>26.692559485907701</v>
      </c>
      <c r="BB434" s="1">
        <v>62.692843198776202</v>
      </c>
      <c r="BC434" s="1">
        <v>36.800858974456702</v>
      </c>
      <c r="BD434" s="7"/>
      <c r="BE434" s="1"/>
      <c r="BF434" s="1"/>
      <c r="BG434" s="8"/>
      <c r="BH434" s="1"/>
      <c r="BI434" s="1"/>
      <c r="BJ434" s="1"/>
      <c r="BK434" s="8"/>
    </row>
    <row r="435" spans="1:63" ht="15" thickBot="1">
      <c r="A435" s="50"/>
      <c r="B435" s="9" t="s">
        <v>18</v>
      </c>
      <c r="C435" s="18">
        <v>0.06</v>
      </c>
      <c r="D435" s="9">
        <v>43</v>
      </c>
      <c r="E435" s="10">
        <v>5.5312500000000001E-2</v>
      </c>
      <c r="F435" s="10">
        <v>34.3153679499787</v>
      </c>
      <c r="G435" s="10">
        <v>0.97238397260779397</v>
      </c>
      <c r="H435" s="10">
        <v>15.588387951900399</v>
      </c>
      <c r="I435" s="10">
        <v>37.586485521872</v>
      </c>
      <c r="J435" s="10">
        <v>0.98636189317752698</v>
      </c>
      <c r="K435" s="11">
        <v>18.652459122027999</v>
      </c>
      <c r="L435" s="9">
        <v>38</v>
      </c>
      <c r="M435" s="10">
        <v>5.4918619791666602E-2</v>
      </c>
      <c r="N435" s="10">
        <v>37.105654032571699</v>
      </c>
      <c r="O435" s="10">
        <v>0.98586242305754301</v>
      </c>
      <c r="P435" s="10">
        <v>18.496250184524602</v>
      </c>
      <c r="Q435" s="10">
        <v>40.4086080983176</v>
      </c>
      <c r="R435" s="10">
        <v>0.99304021725912905</v>
      </c>
      <c r="S435" s="10">
        <v>21.574043172736101</v>
      </c>
      <c r="T435" s="9"/>
      <c r="U435" s="10"/>
      <c r="V435" s="10"/>
      <c r="W435" s="11"/>
      <c r="X435" s="9"/>
      <c r="Y435" s="10"/>
      <c r="Z435" s="10"/>
      <c r="AA435" s="11"/>
      <c r="AB435" s="9">
        <v>4</v>
      </c>
      <c r="AC435" s="10">
        <v>6.7112630208333302E-2</v>
      </c>
      <c r="AD435" s="10">
        <v>38.155895051437803</v>
      </c>
      <c r="AE435" s="10">
        <v>0.99070198166378498</v>
      </c>
      <c r="AF435" s="10">
        <v>20.316096016989601</v>
      </c>
      <c r="AG435" s="10">
        <v>40.944938236178103</v>
      </c>
      <c r="AH435" s="10">
        <v>0.99521059496552899</v>
      </c>
      <c r="AI435" s="10">
        <v>23.1971843361992</v>
      </c>
      <c r="AJ435" s="10">
        <v>43.572496414184499</v>
      </c>
      <c r="AK435" s="10">
        <v>33.114362239837597</v>
      </c>
      <c r="AL435" s="9"/>
      <c r="AM435" s="10"/>
      <c r="AN435" s="10"/>
      <c r="AO435" s="11"/>
      <c r="AP435" s="10"/>
      <c r="AQ435" s="10"/>
      <c r="AR435" s="10"/>
      <c r="AS435" s="11"/>
      <c r="AT435" s="9">
        <v>0.08</v>
      </c>
      <c r="AU435" s="10">
        <v>5.9222005208333303E-2</v>
      </c>
      <c r="AV435" s="10">
        <v>35.986337574165503</v>
      </c>
      <c r="AW435" s="10">
        <v>0.99274414503837805</v>
      </c>
      <c r="AX435" s="10">
        <v>21.393114070390599</v>
      </c>
      <c r="AY435" s="10">
        <v>38.295672307390703</v>
      </c>
      <c r="AZ435" s="10">
        <v>0.99536279406709205</v>
      </c>
      <c r="BA435" s="10">
        <v>23.337436171644899</v>
      </c>
      <c r="BB435" s="10">
        <v>29.345772743225002</v>
      </c>
      <c r="BC435" s="10">
        <v>19.546479463577199</v>
      </c>
      <c r="BD435" s="9"/>
      <c r="BE435" s="10"/>
      <c r="BF435" s="10"/>
      <c r="BG435" s="11"/>
      <c r="BH435" s="10"/>
      <c r="BI435" s="10"/>
      <c r="BJ435" s="10"/>
      <c r="BK435" s="11"/>
    </row>
    <row r="436" spans="1:63">
      <c r="A436" s="48" t="s">
        <v>93</v>
      </c>
      <c r="B436" s="7" t="s">
        <v>94</v>
      </c>
      <c r="C436" s="17">
        <v>1.5</v>
      </c>
      <c r="D436" s="7">
        <v>30</v>
      </c>
      <c r="E436">
        <v>1.4312947591145799</v>
      </c>
      <c r="F436">
        <v>35.002257849810299</v>
      </c>
      <c r="G436">
        <v>0.99071720046543699</v>
      </c>
      <c r="H436">
        <v>20.323210281929502</v>
      </c>
      <c r="I436">
        <v>38.150277811128099</v>
      </c>
      <c r="J436">
        <v>0.99376802955964405</v>
      </c>
      <c r="K436" s="8">
        <v>22.053746152874801</v>
      </c>
      <c r="L436" s="7">
        <v>27</v>
      </c>
      <c r="M436">
        <v>1.4632975260416601</v>
      </c>
      <c r="N436">
        <v>36.441451015767697</v>
      </c>
      <c r="O436">
        <v>0.99336690309011999</v>
      </c>
      <c r="P436">
        <v>21.782836575910402</v>
      </c>
      <c r="Q436">
        <v>39.663023797890901</v>
      </c>
      <c r="R436">
        <v>0.99530506744633895</v>
      </c>
      <c r="S436" s="1">
        <v>23.283706423294099</v>
      </c>
      <c r="T436" s="21">
        <f>bdrate(E436:E439,F436:F439,M436:M439,N436:N439)</f>
        <v>-0.18119476115758171</v>
      </c>
      <c r="U436" s="22">
        <f>bdrate(E436:E439,H436:H439,M436:M439,P436:P439)</f>
        <v>-0.17413293779314831</v>
      </c>
      <c r="V436" s="22">
        <f>bdrate(E436:E439,I436:I439,M436:M439,Q436:Q439)</f>
        <v>-0.23833682309826076</v>
      </c>
      <c r="W436" s="23">
        <f>bdrate(E436:E439,K436:K439,M436:M439,S436:S439)</f>
        <v>-0.12570483547478983</v>
      </c>
      <c r="X436" s="21">
        <f>bdrate(E438:E441,F438:F441,M438:M441,N438:N441)</f>
        <v>-0.24752947223474842</v>
      </c>
      <c r="Y436" s="22">
        <f>bdrate(E438:E441,H438:H441,M438:M441,P438:P441)</f>
        <v>-0.18891148319915352</v>
      </c>
      <c r="Z436" s="22">
        <f>bdrate(E438:E441,I438:I441,M438:M441,Q438:Q441)</f>
        <v>-0.34398687908735937</v>
      </c>
      <c r="AA436" s="23">
        <f>bdrate(E438:E441,K438:K441,M438:M441,S438:S441)</f>
        <v>-0.15089745309792468</v>
      </c>
      <c r="AB436" s="7">
        <v>64</v>
      </c>
      <c r="AC436">
        <v>1.8473917643229101</v>
      </c>
      <c r="AD436">
        <v>36.7640466604906</v>
      </c>
      <c r="AE436">
        <v>0.99555279922695405</v>
      </c>
      <c r="AF436">
        <v>23.5191326347719</v>
      </c>
      <c r="AG436">
        <v>39.838925489313198</v>
      </c>
      <c r="AH436">
        <v>0.99690653811663699</v>
      </c>
      <c r="AI436" s="1">
        <v>25.095552308473</v>
      </c>
      <c r="AJ436" s="1">
        <v>7.6761238574981601</v>
      </c>
      <c r="AK436" s="1">
        <v>4.9470791816711399</v>
      </c>
      <c r="AL436" s="13">
        <f>bdrate(E436:E439,F436:F439,AC436:AC439,AD436:AD439)</f>
        <v>2.4429626964626916E-2</v>
      </c>
      <c r="AM436" s="12">
        <f>bdrate(E436:E439,H436:H439,AC436:AC439,AF436:AF439)</f>
        <v>-0.16869662098683347</v>
      </c>
      <c r="AN436" s="12">
        <f>bdrate(E436:E439,I436:I439,AC436:AC439,AG436:AG439)</f>
        <v>-2.5401551163440894E-2</v>
      </c>
      <c r="AO436" s="14">
        <f>bdrate(E436:E439,K436:K439,AC436:AC439,AI436:AI439)</f>
        <v>-0.10189255740589687</v>
      </c>
      <c r="AP436" s="12">
        <f>bdrate(E438:E441,F438:F441,AC438:AC441,AD438:AD441)</f>
        <v>-7.5302505502161776E-2</v>
      </c>
      <c r="AQ436" s="12">
        <f>bdrate(E438:E441,H438:H441,AC438:AC441,AF438:AF441)</f>
        <v>-0.21098529825266377</v>
      </c>
      <c r="AR436" s="12">
        <f>bdrate(E438:E441,I438:I441,AC438:AC441,AG438:AG441)</f>
        <v>-0.20161202538937506</v>
      </c>
      <c r="AS436" s="14">
        <f>bdrate(E438:E441,K438:K441,AC438:AC441,AI438:AI441)</f>
        <v>-0.15938315457548213</v>
      </c>
      <c r="AT436" s="7">
        <v>3.2</v>
      </c>
      <c r="AU436">
        <v>1.63201904296875</v>
      </c>
      <c r="AV436">
        <v>33.856472149841203</v>
      </c>
      <c r="AW436">
        <v>0.99720404752879399</v>
      </c>
      <c r="AX436">
        <v>25.534702154974301</v>
      </c>
      <c r="AY436">
        <v>37.629254084786197</v>
      </c>
      <c r="AZ436">
        <v>0.99779550925261395</v>
      </c>
      <c r="BA436" s="1">
        <v>26.566917196401</v>
      </c>
      <c r="BB436" s="1">
        <v>41.329833984375</v>
      </c>
      <c r="BC436" s="1">
        <v>16.074938535690301</v>
      </c>
      <c r="BD436" s="21">
        <f>bdrate(E436:E439,F436:F439,AU436:AU439,AV436:AV439)</f>
        <v>0.47732689401410844</v>
      </c>
      <c r="BE436" s="22">
        <f>bdrate(E436:E439,H436:H439,AU436:AU439,AX436:AX439)</f>
        <v>-0.47056565555135821</v>
      </c>
      <c r="BF436" s="22">
        <f>bdrate(E436:E439,I436:I439,AU436:AU439,AY436:AY439)</f>
        <v>0.24520101769970037</v>
      </c>
      <c r="BG436" s="23">
        <f>bdrate(E436:E439,K436:K439,AU436:AU439,BA436:BA439)</f>
        <v>-0.39800066367678888</v>
      </c>
      <c r="BH436" s="22">
        <f>bdrate(E438:E441,F438:F441,AU438:AU441,AV438:AV441)</f>
        <v>0.45499189516017347</v>
      </c>
      <c r="BI436" s="22">
        <f>bdrate(E438:E441,H438:H441,AU438:AU441,AX438:AX441)</f>
        <v>-0.45537861230816057</v>
      </c>
      <c r="BJ436" s="22">
        <f>bdrate(E438:E441,I438:I441,AU438:AU441,AY438:AY441)</f>
        <v>0.19136264193642694</v>
      </c>
      <c r="BK436" s="23">
        <f>bdrate(E438:E441,K438:K441,AU438:AU441,BA438:BA441)</f>
        <v>-0.42269683774195432</v>
      </c>
    </row>
    <row r="437" spans="1:63">
      <c r="A437" s="49"/>
      <c r="B437" s="7" t="s">
        <v>18</v>
      </c>
      <c r="C437" s="17">
        <v>1</v>
      </c>
      <c r="D437" s="7">
        <v>34</v>
      </c>
      <c r="E437">
        <v>0.88639322916666596</v>
      </c>
      <c r="F437">
        <v>31.653122887844201</v>
      </c>
      <c r="G437">
        <v>0.98125130908352198</v>
      </c>
      <c r="H437">
        <v>17.2702905047481</v>
      </c>
      <c r="I437">
        <v>34.980558964653397</v>
      </c>
      <c r="J437">
        <v>0.98566657269584301</v>
      </c>
      <c r="K437" s="8">
        <v>18.4364995186965</v>
      </c>
      <c r="L437" s="7">
        <v>31</v>
      </c>
      <c r="M437">
        <v>0.94942220052083304</v>
      </c>
      <c r="N437">
        <v>33.188473354655699</v>
      </c>
      <c r="O437">
        <v>0.98672955459230605</v>
      </c>
      <c r="P437">
        <v>18.771145002812201</v>
      </c>
      <c r="Q437">
        <v>36.689020843859701</v>
      </c>
      <c r="R437">
        <v>0.98941943183180803</v>
      </c>
      <c r="S437" s="1">
        <v>19.754910104024201</v>
      </c>
      <c r="T437" s="7"/>
      <c r="U437" s="1"/>
      <c r="V437" s="1"/>
      <c r="W437" s="8"/>
      <c r="X437" s="7"/>
      <c r="Y437" s="1"/>
      <c r="Z437" s="1"/>
      <c r="AA437" s="8"/>
      <c r="AB437" s="7">
        <v>32</v>
      </c>
      <c r="AC437">
        <v>1.4072469075520799</v>
      </c>
      <c r="AD437">
        <v>34.641251685513303</v>
      </c>
      <c r="AE437">
        <v>0.99265033555248805</v>
      </c>
      <c r="AF437">
        <v>21.337324883879901</v>
      </c>
      <c r="AG437">
        <v>37.934613328204399</v>
      </c>
      <c r="AH437">
        <v>0.99442611135774694</v>
      </c>
      <c r="AI437" s="1">
        <v>22.538417120737599</v>
      </c>
      <c r="AJ437" s="1">
        <v>6.1910903453826904</v>
      </c>
      <c r="AK437" s="1">
        <v>3.5709187984466499</v>
      </c>
      <c r="AL437" s="7"/>
      <c r="AM437" s="1"/>
      <c r="AN437" s="1"/>
      <c r="AO437" s="8"/>
      <c r="AP437" s="1"/>
      <c r="AQ437" s="1"/>
      <c r="AR437" s="1"/>
      <c r="AS437" s="8"/>
      <c r="AT437" s="7">
        <v>1.28</v>
      </c>
      <c r="AU437">
        <v>1.10943603515625</v>
      </c>
      <c r="AV437">
        <v>30.550943967281299</v>
      </c>
      <c r="AW437">
        <v>0.99426615720796696</v>
      </c>
      <c r="AX437">
        <v>22.415542185204799</v>
      </c>
      <c r="AY437">
        <v>34.792232710591399</v>
      </c>
      <c r="AZ437">
        <v>0.99519683887693999</v>
      </c>
      <c r="BA437" s="1">
        <v>23.184728446161099</v>
      </c>
      <c r="BB437" s="1">
        <v>12.033640146255401</v>
      </c>
      <c r="BC437" s="1">
        <v>6.1525025367736799</v>
      </c>
      <c r="BD437" s="7"/>
      <c r="BE437" s="1"/>
      <c r="BF437" s="1"/>
      <c r="BG437" s="8"/>
      <c r="BH437" s="1"/>
      <c r="BI437" s="1"/>
      <c r="BJ437" s="1"/>
      <c r="BK437" s="8"/>
    </row>
    <row r="438" spans="1:63">
      <c r="A438" s="49"/>
      <c r="B438" s="7" t="s">
        <v>18</v>
      </c>
      <c r="C438" s="17">
        <v>0.5</v>
      </c>
      <c r="D438" s="7">
        <v>38</v>
      </c>
      <c r="E438">
        <v>0.48358154296875</v>
      </c>
      <c r="F438">
        <v>28.600935675644202</v>
      </c>
      <c r="G438">
        <v>0.96143270388360802</v>
      </c>
      <c r="H438">
        <v>14.1378080766994</v>
      </c>
      <c r="I438">
        <v>32.142891693643399</v>
      </c>
      <c r="J438">
        <v>0.96759497143349704</v>
      </c>
      <c r="K438" s="8">
        <v>14.893875913603701</v>
      </c>
      <c r="L438" s="7">
        <v>36</v>
      </c>
      <c r="M438">
        <v>0.46600341796875</v>
      </c>
      <c r="N438">
        <v>29.3809120313155</v>
      </c>
      <c r="O438">
        <v>0.96761136335702602</v>
      </c>
      <c r="P438">
        <v>14.8960733265962</v>
      </c>
      <c r="Q438">
        <v>33.2503704618602</v>
      </c>
      <c r="R438">
        <v>0.97145828628534803</v>
      </c>
      <c r="S438" s="1">
        <v>15.4451995433023</v>
      </c>
      <c r="T438" s="7"/>
      <c r="U438" s="1"/>
      <c r="V438" s="1"/>
      <c r="W438" s="8"/>
      <c r="X438" s="7"/>
      <c r="Y438" s="1"/>
      <c r="Z438" s="1"/>
      <c r="AA438" s="8"/>
      <c r="AB438" s="7">
        <v>16</v>
      </c>
      <c r="AC438">
        <v>0.95399983723958304</v>
      </c>
      <c r="AD438">
        <v>31.849031504564</v>
      </c>
      <c r="AE438">
        <v>0.98674906099916104</v>
      </c>
      <c r="AF438">
        <v>18.777533452416399</v>
      </c>
      <c r="AG438">
        <v>35.492421521489398</v>
      </c>
      <c r="AH438">
        <v>0.98917381402729299</v>
      </c>
      <c r="AI438" s="1">
        <v>19.6552451685085</v>
      </c>
      <c r="AJ438" s="1">
        <v>36.349128484725902</v>
      </c>
      <c r="AK438" s="1">
        <v>4.19171094894409</v>
      </c>
      <c r="AL438" s="7"/>
      <c r="AM438" s="1"/>
      <c r="AN438" s="1"/>
      <c r="AO438" s="8"/>
      <c r="AP438" s="1"/>
      <c r="AQ438" s="1"/>
      <c r="AR438" s="1"/>
      <c r="AS438" s="8"/>
      <c r="AT438" s="7">
        <v>0.32</v>
      </c>
      <c r="AU438">
        <v>0.56626383463541596</v>
      </c>
      <c r="AV438">
        <v>27.646162887316802</v>
      </c>
      <c r="AW438">
        <v>0.98566501965971998</v>
      </c>
      <c r="AX438">
        <v>18.436028983305899</v>
      </c>
      <c r="AY438">
        <v>32.086703181810996</v>
      </c>
      <c r="AZ438">
        <v>0.98744822331690296</v>
      </c>
      <c r="BA438" s="1">
        <v>19.012947961707699</v>
      </c>
      <c r="BB438" s="1">
        <v>10.711818695068301</v>
      </c>
      <c r="BC438" s="1">
        <v>7.0973145961761404</v>
      </c>
      <c r="BD438" s="7"/>
      <c r="BE438" s="1"/>
      <c r="BF438" s="1"/>
      <c r="BG438" s="8"/>
      <c r="BH438" s="1"/>
      <c r="BI438" s="1"/>
      <c r="BJ438" s="1"/>
      <c r="BK438" s="8"/>
    </row>
    <row r="439" spans="1:63">
      <c r="A439" s="49"/>
      <c r="B439" s="7" t="s">
        <v>18</v>
      </c>
      <c r="C439" s="17">
        <v>0.25</v>
      </c>
      <c r="D439" s="7">
        <v>42</v>
      </c>
      <c r="E439">
        <v>0.23561604817708301</v>
      </c>
      <c r="F439">
        <v>26.083717782885799</v>
      </c>
      <c r="G439">
        <v>0.92511351890066695</v>
      </c>
      <c r="H439">
        <v>11.2559657634429</v>
      </c>
      <c r="I439">
        <v>29.770239692657899</v>
      </c>
      <c r="J439">
        <v>0.93333687288242895</v>
      </c>
      <c r="K439" s="8">
        <v>11.761143177674301</v>
      </c>
      <c r="L439" s="7">
        <v>40</v>
      </c>
      <c r="M439">
        <v>0.22715250651041599</v>
      </c>
      <c r="N439">
        <v>26.791905683705501</v>
      </c>
      <c r="O439">
        <v>0.93493616148022096</v>
      </c>
      <c r="P439">
        <v>11.8666031857056</v>
      </c>
      <c r="Q439">
        <v>30.850386808909899</v>
      </c>
      <c r="R439">
        <v>0.93999320233810302</v>
      </c>
      <c r="S439" s="1">
        <v>12.2179954928583</v>
      </c>
      <c r="T439" s="7"/>
      <c r="U439" s="1"/>
      <c r="V439" s="1"/>
      <c r="W439" s="8"/>
      <c r="X439" s="7"/>
      <c r="Y439" s="1"/>
      <c r="Z439" s="1"/>
      <c r="AA439" s="8"/>
      <c r="AB439" s="7">
        <v>8</v>
      </c>
      <c r="AC439">
        <v>0.60719807942708304</v>
      </c>
      <c r="AD439">
        <v>29.761475176288702</v>
      </c>
      <c r="AE439">
        <v>0.97697025505764901</v>
      </c>
      <c r="AF439">
        <v>16.377108718813201</v>
      </c>
      <c r="AG439">
        <v>33.619026354880198</v>
      </c>
      <c r="AH439">
        <v>0.979967044797314</v>
      </c>
      <c r="AI439" s="1">
        <v>16.9825498013473</v>
      </c>
      <c r="AJ439" s="1">
        <v>6.7748684883117596</v>
      </c>
      <c r="AK439" s="1">
        <v>3.71366214752197</v>
      </c>
      <c r="AL439" s="7"/>
      <c r="AM439" s="1"/>
      <c r="AN439" s="1"/>
      <c r="AO439" s="8"/>
      <c r="AP439" s="1"/>
      <c r="AQ439" s="1"/>
      <c r="AR439" s="1"/>
      <c r="AS439" s="8"/>
      <c r="AT439" s="7">
        <v>0.16</v>
      </c>
      <c r="AU439">
        <v>0.41269938151041602</v>
      </c>
      <c r="AV439">
        <v>26.524696628814901</v>
      </c>
      <c r="AW439">
        <v>0.97833273160860301</v>
      </c>
      <c r="AX439">
        <v>16.641958370567401</v>
      </c>
      <c r="AY439">
        <v>30.925311508987701</v>
      </c>
      <c r="AZ439">
        <v>0.98078091591707295</v>
      </c>
      <c r="BA439" s="1">
        <v>17.162673131923999</v>
      </c>
      <c r="BB439" s="1">
        <v>8.3477962017059308</v>
      </c>
      <c r="BC439" s="1">
        <v>5.5043077468871999</v>
      </c>
      <c r="BD439" s="7"/>
      <c r="BE439" s="1"/>
      <c r="BF439" s="1"/>
      <c r="BG439" s="8"/>
      <c r="BH439" s="1"/>
      <c r="BI439" s="1"/>
      <c r="BJ439" s="1"/>
      <c r="BK439" s="8"/>
    </row>
    <row r="440" spans="1:63">
      <c r="A440" s="49"/>
      <c r="B440" s="7" t="s">
        <v>18</v>
      </c>
      <c r="C440" s="17">
        <v>0.12</v>
      </c>
      <c r="D440" s="7">
        <v>46</v>
      </c>
      <c r="E440">
        <v>0.10245768229166601</v>
      </c>
      <c r="F440">
        <v>24.053294496657301</v>
      </c>
      <c r="G440">
        <v>0.86411490666682</v>
      </c>
      <c r="H440">
        <v>8.6682818298954096</v>
      </c>
      <c r="I440">
        <v>27.809565145570499</v>
      </c>
      <c r="J440">
        <v>0.87327713342704105</v>
      </c>
      <c r="K440" s="8">
        <v>8.9714501155368893</v>
      </c>
      <c r="L440" s="7">
        <v>44</v>
      </c>
      <c r="M440">
        <v>0.10581461588541601</v>
      </c>
      <c r="N440">
        <v>24.814476355545899</v>
      </c>
      <c r="O440">
        <v>0.88531929787300301</v>
      </c>
      <c r="P440">
        <v>9.4050965677066394</v>
      </c>
      <c r="Q440">
        <v>28.881706358747401</v>
      </c>
      <c r="R440">
        <v>0.89114389170819797</v>
      </c>
      <c r="S440" s="1">
        <v>9.6314719617738405</v>
      </c>
      <c r="T440" s="7"/>
      <c r="U440" s="1"/>
      <c r="V440" s="1"/>
      <c r="W440" s="8"/>
      <c r="X440" s="7"/>
      <c r="Y440" s="1"/>
      <c r="Z440" s="1"/>
      <c r="AA440" s="8"/>
      <c r="AB440" s="7">
        <v>4</v>
      </c>
      <c r="AC440">
        <v>0.37241617838541602</v>
      </c>
      <c r="AD440">
        <v>27.747521554738402</v>
      </c>
      <c r="AE440">
        <v>0.95961247287462903</v>
      </c>
      <c r="AF440">
        <v>13.9375273729011</v>
      </c>
      <c r="AG440">
        <v>31.823672178153402</v>
      </c>
      <c r="AH440">
        <v>0.96342339076981798</v>
      </c>
      <c r="AI440" s="1">
        <v>14.367965574948199</v>
      </c>
      <c r="AJ440" s="1">
        <v>7.3869209289550701</v>
      </c>
      <c r="AK440" s="1">
        <v>5.5185353755950901</v>
      </c>
      <c r="AL440" s="7"/>
      <c r="AM440" s="1"/>
      <c r="AN440" s="1"/>
      <c r="AO440" s="8"/>
      <c r="AP440" s="1"/>
      <c r="AQ440" s="1"/>
      <c r="AR440" s="1"/>
      <c r="AS440" s="8"/>
      <c r="AT440" s="7">
        <v>0.08</v>
      </c>
      <c r="AU440">
        <v>0.28965250651041602</v>
      </c>
      <c r="AV440">
        <v>25.663719217601599</v>
      </c>
      <c r="AW440">
        <v>0.96549225903809799</v>
      </c>
      <c r="AX440">
        <v>14.6208347072569</v>
      </c>
      <c r="AY440">
        <v>29.816188047519098</v>
      </c>
      <c r="AZ440">
        <v>0.96897982597010601</v>
      </c>
      <c r="BA440" s="1">
        <v>15.0835577002949</v>
      </c>
      <c r="BB440" s="1">
        <v>5.5841305255889804</v>
      </c>
      <c r="BC440" s="1">
        <v>3.3966481685638401</v>
      </c>
      <c r="BD440" s="7"/>
      <c r="BE440" s="1"/>
      <c r="BF440" s="1"/>
      <c r="BG440" s="8"/>
      <c r="BH440" s="1"/>
      <c r="BI440" s="1"/>
      <c r="BJ440" s="1"/>
      <c r="BK440" s="8"/>
    </row>
    <row r="441" spans="1:63">
      <c r="A441" s="49"/>
      <c r="B441" s="7" t="s">
        <v>18</v>
      </c>
      <c r="C441" s="17">
        <v>0.06</v>
      </c>
      <c r="D441" s="7">
        <v>49</v>
      </c>
      <c r="E441">
        <v>5.4667154947916602E-2</v>
      </c>
      <c r="F441">
        <v>22.8080563109697</v>
      </c>
      <c r="G441">
        <v>0.80037592002681202</v>
      </c>
      <c r="H441">
        <v>6.9978707242384797</v>
      </c>
      <c r="I441">
        <v>26.455850609419201</v>
      </c>
      <c r="J441">
        <v>0.811513230973127</v>
      </c>
      <c r="K441" s="8">
        <v>7.2471913002207096</v>
      </c>
      <c r="L441" s="7">
        <v>48</v>
      </c>
      <c r="M441">
        <v>5.0252278645833301E-2</v>
      </c>
      <c r="N441">
        <v>23.268753601082899</v>
      </c>
      <c r="O441">
        <v>0.812468003848412</v>
      </c>
      <c r="P441">
        <v>7.2692462358115097</v>
      </c>
      <c r="Q441">
        <v>27.279497896552702</v>
      </c>
      <c r="R441">
        <v>0.81947817723994998</v>
      </c>
      <c r="S441" s="1">
        <v>7.4347028998329598</v>
      </c>
      <c r="T441" s="7"/>
      <c r="U441" s="1"/>
      <c r="V441" s="1"/>
      <c r="W441" s="8"/>
      <c r="X441" s="7"/>
      <c r="Y441" s="1"/>
      <c r="Z441" s="1"/>
      <c r="AA441" s="8"/>
      <c r="AB441" s="7">
        <v>2</v>
      </c>
      <c r="AC441">
        <v>0.21482340494791599</v>
      </c>
      <c r="AD441">
        <v>26.287764463052302</v>
      </c>
      <c r="AE441">
        <v>0.93517585543362103</v>
      </c>
      <c r="AF441">
        <v>11.8826320556597</v>
      </c>
      <c r="AG441">
        <v>30.366952273467099</v>
      </c>
      <c r="AH441">
        <v>0.93999069765493104</v>
      </c>
      <c r="AI441" s="1">
        <v>12.2178142221654</v>
      </c>
      <c r="AJ441" s="1">
        <v>9.1297464370727504</v>
      </c>
      <c r="AK441" s="1">
        <v>6.9245531558990399</v>
      </c>
      <c r="AL441" s="7"/>
      <c r="AM441" s="1"/>
      <c r="AN441" s="1"/>
      <c r="AO441" s="8"/>
      <c r="AP441" s="1"/>
      <c r="AQ441" s="1"/>
      <c r="AR441" s="1"/>
      <c r="AS441" s="8"/>
      <c r="AT441" s="7">
        <v>0.04</v>
      </c>
      <c r="AU441">
        <v>0.17987060546875</v>
      </c>
      <c r="AV441">
        <v>24.678149764247099</v>
      </c>
      <c r="AW441">
        <v>0.94368270127312104</v>
      </c>
      <c r="AX441">
        <v>12.493581844083</v>
      </c>
      <c r="AY441">
        <v>28.7627497723199</v>
      </c>
      <c r="AZ441">
        <v>0.94839618409938897</v>
      </c>
      <c r="BA441" s="1">
        <v>12.8731818280487</v>
      </c>
      <c r="BB441" s="1">
        <v>6.1531443595886204</v>
      </c>
      <c r="BC441" s="1">
        <v>4.3430905342101997</v>
      </c>
      <c r="BD441" s="7"/>
      <c r="BE441" s="1"/>
      <c r="BF441" s="1"/>
      <c r="BG441" s="8"/>
      <c r="BH441" s="1"/>
      <c r="BI441" s="1"/>
      <c r="BJ441" s="1"/>
      <c r="BK441" s="8"/>
    </row>
    <row r="442" spans="1:63">
      <c r="A442" s="49"/>
      <c r="B442" s="7" t="s">
        <v>95</v>
      </c>
      <c r="C442" s="17">
        <v>1.5</v>
      </c>
      <c r="D442" s="7">
        <v>21</v>
      </c>
      <c r="E442">
        <v>1.3615519205729101</v>
      </c>
      <c r="F442">
        <v>41.845981295381797</v>
      </c>
      <c r="G442">
        <v>0.99413281912864404</v>
      </c>
      <c r="H442">
        <v>22.315705233022101</v>
      </c>
      <c r="I442">
        <v>44.953117021628202</v>
      </c>
      <c r="J442">
        <v>0.99651823469428102</v>
      </c>
      <c r="K442" s="8">
        <v>24.5820050658646</v>
      </c>
      <c r="L442" s="7">
        <v>18</v>
      </c>
      <c r="M442">
        <v>1.4684651692708299</v>
      </c>
      <c r="N442">
        <v>42.790303883020201</v>
      </c>
      <c r="O442">
        <v>0.99525140673870904</v>
      </c>
      <c r="P442">
        <v>23.2343502813162</v>
      </c>
      <c r="Q442">
        <v>46.041765115054098</v>
      </c>
      <c r="R442">
        <v>0.99750687966401896</v>
      </c>
      <c r="S442" s="1">
        <v>26.0325675880418</v>
      </c>
      <c r="T442" s="13">
        <f>bdrate(E442:E445,F442:F445,M442:M445,N442:N445)</f>
        <v>-0.23685001274691653</v>
      </c>
      <c r="U442" s="12">
        <f>bdrate(E442:E445,H442:H445,M442:M445,P442:P445)</f>
        <v>-0.23583363424094927</v>
      </c>
      <c r="V442" s="12">
        <f>bdrate(E442:E445,I442:I445,M442:M445,Q442:Q445)</f>
        <v>-0.24274788569115213</v>
      </c>
      <c r="W442" s="14">
        <f>bdrate(E442:E445,K442:K445,M442:M445,S442:S445)</f>
        <v>-0.21796846887536758</v>
      </c>
      <c r="X442" s="13">
        <f>bdrate(E444:E447,F444:F447,M444:M447,N444:N447)</f>
        <v>-0.29093943218724716</v>
      </c>
      <c r="Y442" s="12">
        <f>bdrate(E444:E447,H444:H447,M444:M447,P444:P447)</f>
        <v>-0.28369312698638005</v>
      </c>
      <c r="Z442" s="12">
        <f>bdrate(E444:E447,I444:I447,M444:M447,Q444:Q447)</f>
        <v>-0.30786186533621651</v>
      </c>
      <c r="AA442" s="14">
        <f>bdrate(E444:E447,K444:K447,M444:M447,S444:S447)</f>
        <v>-0.23994748581114</v>
      </c>
      <c r="AB442" s="7">
        <v>256</v>
      </c>
      <c r="AC442">
        <v>1.6513875325520799</v>
      </c>
      <c r="AD442">
        <v>43.162630282317203</v>
      </c>
      <c r="AE442">
        <v>0.99622878567060302</v>
      </c>
      <c r="AF442">
        <v>24.235187846377801</v>
      </c>
      <c r="AG442">
        <v>45.968087416579898</v>
      </c>
      <c r="AH442">
        <v>0.99762255094041097</v>
      </c>
      <c r="AI442" s="1">
        <v>26.238887797014101</v>
      </c>
      <c r="AJ442" s="1">
        <v>21.874517202377302</v>
      </c>
      <c r="AK442" s="1">
        <v>10.5954225063323</v>
      </c>
      <c r="AL442" s="13">
        <f>bdrate(E442:E445,F442:F445,AC442:AC445,AD442:AD445)</f>
        <v>-0.11846921424877588</v>
      </c>
      <c r="AM442" s="12">
        <f>bdrate(E442:E445,H442:H445,AC442:AC445,AF442:AF445)</f>
        <v>-0.20061060453914648</v>
      </c>
      <c r="AN442" s="12">
        <f>bdrate(E442:E445,I442:I445,AC442:AC445,AG442:AG445)</f>
        <v>-8.9243715354489939E-2</v>
      </c>
      <c r="AO442" s="14">
        <f>bdrate(E442:E445,K442:K445,AC442:AC445,AI442:AI445)</f>
        <v>-8.726885764851966E-2</v>
      </c>
      <c r="AP442" s="12">
        <f>bdrate(E444:E447,F444:F447,AC444:AC447,AD444:AD447)</f>
        <v>-0.1675811025965751</v>
      </c>
      <c r="AQ442" s="12">
        <f>bdrate(E444:E447,H444:H447,AC444:AC447,AF444:AF447)</f>
        <v>-0.30751677738363992</v>
      </c>
      <c r="AR442" s="12">
        <f>bdrate(E444:E447,I444:I447,AC444:AC447,AG444:AG447)</f>
        <v>-0.16678923797208034</v>
      </c>
      <c r="AS442" s="14">
        <f>bdrate(E444:E447,K444:K447,AC444:AC447,AI444:AI447)</f>
        <v>-0.21267096237545891</v>
      </c>
      <c r="AT442" s="7">
        <v>6.4</v>
      </c>
      <c r="AU442">
        <v>1.6168416341145799</v>
      </c>
      <c r="AV442">
        <v>40.165915679517802</v>
      </c>
      <c r="AW442">
        <v>0.99793587889815905</v>
      </c>
      <c r="AX442">
        <v>26.852648262705198</v>
      </c>
      <c r="AY442">
        <v>43.209026370177298</v>
      </c>
      <c r="AZ442">
        <v>0.99858997314439302</v>
      </c>
      <c r="BA442" s="1">
        <v>28.507726156208498</v>
      </c>
      <c r="BB442" s="1">
        <v>62.991152048110898</v>
      </c>
      <c r="BC442" s="1">
        <v>15.608767747879</v>
      </c>
      <c r="BD442" s="13">
        <f>bdrate(E442:E445,F442:F445,AU442:AU445,AV442:AV445)</f>
        <v>0.90951765364479487</v>
      </c>
      <c r="BE442" s="12">
        <f>bdrate(E442:E445,H442:H445,AU442:AU445,AX442:AX445)</f>
        <v>-0.52101723981026304</v>
      </c>
      <c r="BF442" s="12">
        <f>bdrate(E442:E445,I442:I445,AU442:AU445,AY442:AY445)</f>
        <v>0.80041393926336291</v>
      </c>
      <c r="BG442" s="14">
        <f>bdrate(E442:E445,K442:K445,AU442:AU445,BA442:BA445)</f>
        <v>-0.45607685968622713</v>
      </c>
      <c r="BH442" s="12">
        <f>bdrate(E444:E447,F444:F447,AU444:AU447,AV444:AV447)</f>
        <v>0.4027485902974044</v>
      </c>
      <c r="BI442" s="12">
        <f>bdrate(E444:E447,H444:H447,AU444:AU447,AX444:AX447)</f>
        <v>-0.55136122760329076</v>
      </c>
      <c r="BJ442" s="12">
        <f>bdrate(E444:E447,I444:I447,AU444:AU447,AY444:AY447)</f>
        <v>0.2971851953960698</v>
      </c>
      <c r="BK442" s="14">
        <f>bdrate(E444:E447,K444:K447,AU444:AU447,BA444:BA447)</f>
        <v>-0.50110838512567213</v>
      </c>
    </row>
    <row r="443" spans="1:63">
      <c r="A443" s="49"/>
      <c r="B443" s="7" t="s">
        <v>18</v>
      </c>
      <c r="C443" s="17">
        <v>1</v>
      </c>
      <c r="D443" s="7">
        <v>24</v>
      </c>
      <c r="E443">
        <v>0.92144775390625</v>
      </c>
      <c r="F443">
        <v>40.255921435584597</v>
      </c>
      <c r="G443">
        <v>0.99181258171871001</v>
      </c>
      <c r="H443">
        <v>20.8685302167647</v>
      </c>
      <c r="I443">
        <v>43.304971877724597</v>
      </c>
      <c r="J443">
        <v>0.99461635411724603</v>
      </c>
      <c r="K443" s="8">
        <v>22.689235142045899</v>
      </c>
      <c r="L443" s="7">
        <v>21</v>
      </c>
      <c r="M443">
        <v>0.90708414713541596</v>
      </c>
      <c r="N443">
        <v>40.990548772116703</v>
      </c>
      <c r="O443">
        <v>0.99282441773811203</v>
      </c>
      <c r="P443">
        <v>21.441428523828499</v>
      </c>
      <c r="Q443">
        <v>44.0866575655471</v>
      </c>
      <c r="R443">
        <v>0.99543469094305503</v>
      </c>
      <c r="S443" s="1">
        <v>23.405298167753699</v>
      </c>
      <c r="T443" s="7"/>
      <c r="U443" s="1"/>
      <c r="V443" s="1"/>
      <c r="W443" s="8"/>
      <c r="X443" s="7"/>
      <c r="Y443" s="1"/>
      <c r="Z443" s="1"/>
      <c r="AA443" s="8"/>
      <c r="AB443" s="7">
        <v>128</v>
      </c>
      <c r="AC443">
        <v>1.0582478841145799</v>
      </c>
      <c r="AD443">
        <v>41.314873290173701</v>
      </c>
      <c r="AE443">
        <v>0.99399193902558503</v>
      </c>
      <c r="AF443">
        <v>22.212656684277398</v>
      </c>
      <c r="AG443">
        <v>44.135440194135199</v>
      </c>
      <c r="AH443">
        <v>0.99569177696409294</v>
      </c>
      <c r="AI443" s="1">
        <v>23.657018214474</v>
      </c>
      <c r="AJ443" s="1">
        <v>46.2504112720489</v>
      </c>
      <c r="AK443" s="1">
        <v>16.121010780334402</v>
      </c>
      <c r="AL443" s="7"/>
      <c r="AM443" s="1"/>
      <c r="AN443" s="1"/>
      <c r="AO443" s="8"/>
      <c r="AP443" s="1"/>
      <c r="AQ443" s="1"/>
      <c r="AR443" s="1"/>
      <c r="AS443" s="8"/>
      <c r="AT443" s="7">
        <v>3.2</v>
      </c>
      <c r="AU443">
        <v>1.0952351888020799</v>
      </c>
      <c r="AV443">
        <v>38.178956127338402</v>
      </c>
      <c r="AW443">
        <v>0.99684798095129801</v>
      </c>
      <c r="AX443">
        <v>25.0141116658831</v>
      </c>
      <c r="AY443">
        <v>41.375391408833899</v>
      </c>
      <c r="AZ443">
        <v>0.99778397979703204</v>
      </c>
      <c r="BA443" s="1">
        <v>26.5442628455862</v>
      </c>
      <c r="BB443" s="1">
        <v>70.500784397125202</v>
      </c>
      <c r="BC443" s="1">
        <v>20.3704078197479</v>
      </c>
      <c r="BD443" s="7"/>
      <c r="BE443" s="1"/>
      <c r="BF443" s="1"/>
      <c r="BG443" s="8"/>
      <c r="BH443" s="1"/>
      <c r="BI443" s="1"/>
      <c r="BJ443" s="1"/>
      <c r="BK443" s="8"/>
    </row>
    <row r="444" spans="1:63">
      <c r="A444" s="49"/>
      <c r="B444" s="7" t="s">
        <v>18</v>
      </c>
      <c r="C444" s="17">
        <v>0.5</v>
      </c>
      <c r="D444" s="7">
        <v>30</v>
      </c>
      <c r="E444">
        <v>0.47349039713541602</v>
      </c>
      <c r="F444">
        <v>37.192891946532598</v>
      </c>
      <c r="G444">
        <v>0.98457101379822898</v>
      </c>
      <c r="H444">
        <v>18.1166260935107</v>
      </c>
      <c r="I444">
        <v>40.218021324344498</v>
      </c>
      <c r="J444">
        <v>0.98896931672009103</v>
      </c>
      <c r="K444" s="8">
        <v>19.573975849756899</v>
      </c>
      <c r="L444" s="7">
        <v>27</v>
      </c>
      <c r="M444">
        <v>0.46376546223958298</v>
      </c>
      <c r="N444">
        <v>38.469098382894103</v>
      </c>
      <c r="O444">
        <v>0.988258236656539</v>
      </c>
      <c r="P444">
        <v>19.302666771234801</v>
      </c>
      <c r="Q444">
        <v>41.5329269907553</v>
      </c>
      <c r="R444">
        <v>0.99167207193129403</v>
      </c>
      <c r="S444" s="1">
        <v>20.7946303463814</v>
      </c>
      <c r="T444" s="7"/>
      <c r="U444" s="1"/>
      <c r="V444" s="1"/>
      <c r="W444" s="8"/>
      <c r="X444" s="7"/>
      <c r="Y444" s="1"/>
      <c r="Z444" s="1"/>
      <c r="AA444" s="8"/>
      <c r="AB444" s="7">
        <v>32</v>
      </c>
      <c r="AC444">
        <v>0.51336669921875</v>
      </c>
      <c r="AD444">
        <v>38.133610554546799</v>
      </c>
      <c r="AE444">
        <v>0.98829115709057702</v>
      </c>
      <c r="AF444">
        <v>19.314860206306101</v>
      </c>
      <c r="AG444">
        <v>41.040902965553499</v>
      </c>
      <c r="AH444">
        <v>0.99069321209357397</v>
      </c>
      <c r="AI444" s="1">
        <v>20.312001831665899</v>
      </c>
      <c r="AJ444" s="1">
        <v>8.5118243694305402</v>
      </c>
      <c r="AK444" s="1">
        <v>3.6129937171936</v>
      </c>
      <c r="AL444" s="7"/>
      <c r="AM444" s="1"/>
      <c r="AN444" s="1"/>
      <c r="AO444" s="8"/>
      <c r="AP444" s="1"/>
      <c r="AQ444" s="1"/>
      <c r="AR444" s="1"/>
      <c r="AS444" s="8"/>
      <c r="AT444" s="7">
        <v>0.64</v>
      </c>
      <c r="AU444">
        <v>0.49074300130208298</v>
      </c>
      <c r="AV444">
        <v>34.289733763521902</v>
      </c>
      <c r="AW444">
        <v>0.99253380191574303</v>
      </c>
      <c r="AX444">
        <v>21.269004920740201</v>
      </c>
      <c r="AY444">
        <v>37.722521147791802</v>
      </c>
      <c r="AZ444">
        <v>0.99443076428391897</v>
      </c>
      <c r="BA444" s="1">
        <v>22.542044003493</v>
      </c>
      <c r="BB444" s="1">
        <v>10.152579545974699</v>
      </c>
      <c r="BC444" s="1">
        <v>5.3340928554534903</v>
      </c>
      <c r="BD444" s="7"/>
      <c r="BE444" s="1"/>
      <c r="BF444" s="1"/>
      <c r="BG444" s="8"/>
      <c r="BH444" s="1"/>
      <c r="BI444" s="1"/>
      <c r="BJ444" s="1"/>
      <c r="BK444" s="8"/>
    </row>
    <row r="445" spans="1:63">
      <c r="A445" s="49"/>
      <c r="B445" s="7" t="s">
        <v>18</v>
      </c>
      <c r="C445" s="17">
        <v>0.25</v>
      </c>
      <c r="D445" s="7">
        <v>36</v>
      </c>
      <c r="E445">
        <v>0.23128255208333301</v>
      </c>
      <c r="F445">
        <v>33.825713136925202</v>
      </c>
      <c r="G445">
        <v>0.96866917487314197</v>
      </c>
      <c r="H445">
        <v>15.040281674125</v>
      </c>
      <c r="I445">
        <v>36.860353942678103</v>
      </c>
      <c r="J445">
        <v>0.97599394957977403</v>
      </c>
      <c r="K445" s="8">
        <v>16.1967928608194</v>
      </c>
      <c r="L445" s="7">
        <v>33</v>
      </c>
      <c r="M445">
        <v>0.23394775390625</v>
      </c>
      <c r="N445">
        <v>35.414140989145203</v>
      </c>
      <c r="O445">
        <v>0.97782536138049503</v>
      </c>
      <c r="P445">
        <v>16.541434491437698</v>
      </c>
      <c r="Q445">
        <v>38.5182795580861</v>
      </c>
      <c r="R445">
        <v>0.98269905123191703</v>
      </c>
      <c r="S445" s="1">
        <v>17.619300799090901</v>
      </c>
      <c r="T445" s="7"/>
      <c r="U445" s="1"/>
      <c r="V445" s="1"/>
      <c r="W445" s="8"/>
      <c r="X445" s="7"/>
      <c r="Y445" s="1"/>
      <c r="Z445" s="1"/>
      <c r="AA445" s="8"/>
      <c r="AB445" s="7">
        <v>8</v>
      </c>
      <c r="AC445">
        <v>0.24525960286458301</v>
      </c>
      <c r="AD445">
        <v>34.894627752874896</v>
      </c>
      <c r="AE445">
        <v>0.97866300215646296</v>
      </c>
      <c r="AF445">
        <v>16.7086668667848</v>
      </c>
      <c r="AG445">
        <v>37.901921513226</v>
      </c>
      <c r="AH445">
        <v>0.98220783364006303</v>
      </c>
      <c r="AI445" s="1">
        <v>17.4977116934799</v>
      </c>
      <c r="AJ445" s="1">
        <v>5.9529268741607604</v>
      </c>
      <c r="AK445" s="1">
        <v>3.6751425266265798</v>
      </c>
      <c r="AL445" s="7"/>
      <c r="AM445" s="1"/>
      <c r="AN445" s="1"/>
      <c r="AO445" s="8"/>
      <c r="AP445" s="1"/>
      <c r="AQ445" s="1"/>
      <c r="AR445" s="1"/>
      <c r="AS445" s="8"/>
      <c r="AT445" s="7">
        <v>0.16</v>
      </c>
      <c r="AU445">
        <v>0.22092692057291599</v>
      </c>
      <c r="AV445">
        <v>32.225510709238598</v>
      </c>
      <c r="AW445">
        <v>0.98449226523745403</v>
      </c>
      <c r="AX445">
        <v>18.094516355825501</v>
      </c>
      <c r="AY445">
        <v>35.603769420427298</v>
      </c>
      <c r="AZ445">
        <v>0.98744902998599504</v>
      </c>
      <c r="BA445" s="1">
        <v>19.013227080116302</v>
      </c>
      <c r="BB445" s="1">
        <v>7.3704710006713796</v>
      </c>
      <c r="BC445" s="1">
        <v>4.4883866310119602</v>
      </c>
      <c r="BD445" s="7"/>
      <c r="BE445" s="1"/>
      <c r="BF445" s="1"/>
      <c r="BG445" s="8"/>
      <c r="BH445" s="1"/>
      <c r="BI445" s="1"/>
      <c r="BJ445" s="1"/>
      <c r="BK445" s="8"/>
    </row>
    <row r="446" spans="1:63">
      <c r="A446" s="49"/>
      <c r="B446" s="7" t="s">
        <v>18</v>
      </c>
      <c r="C446" s="17">
        <v>0.12</v>
      </c>
      <c r="D446" s="7">
        <v>41</v>
      </c>
      <c r="E446">
        <v>0.11704508463541601</v>
      </c>
      <c r="F446">
        <v>30.896533015507099</v>
      </c>
      <c r="G446">
        <v>0.94212769168132005</v>
      </c>
      <c r="H446">
        <v>12.3752919484274</v>
      </c>
      <c r="I446">
        <v>33.939347701974199</v>
      </c>
      <c r="J446">
        <v>0.95300259433025103</v>
      </c>
      <c r="K446" s="8">
        <v>13.279261151368299</v>
      </c>
      <c r="L446" s="7">
        <v>39</v>
      </c>
      <c r="M446">
        <v>0.11039225260416601</v>
      </c>
      <c r="N446">
        <v>32.117996353423699</v>
      </c>
      <c r="O446">
        <v>0.95444414375575204</v>
      </c>
      <c r="P446">
        <v>13.414557861754901</v>
      </c>
      <c r="Q446">
        <v>35.267336158656398</v>
      </c>
      <c r="R446">
        <v>0.96142406816136095</v>
      </c>
      <c r="S446" s="1">
        <v>14.136835743382701</v>
      </c>
      <c r="T446" s="7"/>
      <c r="U446" s="1"/>
      <c r="V446" s="1"/>
      <c r="W446" s="8"/>
      <c r="X446" s="7"/>
      <c r="Y446" s="1"/>
      <c r="Z446" s="1"/>
      <c r="AA446" s="8"/>
      <c r="AB446" s="7">
        <v>4</v>
      </c>
      <c r="AC446">
        <v>0.16237386067708301</v>
      </c>
      <c r="AD446">
        <v>33.179354403529601</v>
      </c>
      <c r="AE446">
        <v>0.97011577635591495</v>
      </c>
      <c r="AF446">
        <v>15.2455802212808</v>
      </c>
      <c r="AG446">
        <v>36.253563256449198</v>
      </c>
      <c r="AH446">
        <v>0.97419033701475299</v>
      </c>
      <c r="AI446" s="1">
        <v>15.8821766630477</v>
      </c>
      <c r="AJ446" s="1">
        <v>7.71018385887146</v>
      </c>
      <c r="AK446" s="1">
        <v>4.8718535900115896</v>
      </c>
      <c r="AL446" s="7"/>
      <c r="AM446" s="1"/>
      <c r="AN446" s="1"/>
      <c r="AO446" s="8"/>
      <c r="AP446" s="1"/>
      <c r="AQ446" s="1"/>
      <c r="AR446" s="1"/>
      <c r="AS446" s="8"/>
      <c r="AT446" s="7">
        <v>0.08</v>
      </c>
      <c r="AU446">
        <v>0.14931233723958301</v>
      </c>
      <c r="AV446">
        <v>30.9302094440975</v>
      </c>
      <c r="AW446">
        <v>0.97804573812176698</v>
      </c>
      <c r="AX446">
        <v>16.584811596800201</v>
      </c>
      <c r="AY446">
        <v>34.272374971730798</v>
      </c>
      <c r="AZ446">
        <v>0.98200632550672096</v>
      </c>
      <c r="BA446" s="1">
        <v>17.448801402007</v>
      </c>
      <c r="BB446" s="1">
        <v>5.4174811840057302</v>
      </c>
      <c r="BC446" s="1">
        <v>3.5928978919982901</v>
      </c>
      <c r="BD446" s="7"/>
      <c r="BE446" s="1"/>
      <c r="BF446" s="1"/>
      <c r="BG446" s="8"/>
      <c r="BH446" s="1"/>
      <c r="BI446" s="1"/>
      <c r="BJ446" s="1"/>
      <c r="BK446" s="8"/>
    </row>
    <row r="447" spans="1:63">
      <c r="A447" s="49"/>
      <c r="B447" s="7" t="s">
        <v>18</v>
      </c>
      <c r="C447" s="17">
        <v>0.06</v>
      </c>
      <c r="D447" s="7">
        <v>46</v>
      </c>
      <c r="E447">
        <v>5.596923828125E-2</v>
      </c>
      <c r="F447">
        <v>28.2862158717342</v>
      </c>
      <c r="G447">
        <v>0.89816505042783801</v>
      </c>
      <c r="H447">
        <v>9.9210314732896894</v>
      </c>
      <c r="I447">
        <v>31.335252292149502</v>
      </c>
      <c r="J447">
        <v>0.91206402499057504</v>
      </c>
      <c r="K447" s="8">
        <v>10.558334167149599</v>
      </c>
      <c r="L447" s="7">
        <v>44</v>
      </c>
      <c r="M447">
        <v>5.52978515625E-2</v>
      </c>
      <c r="N447">
        <v>29.406219396495899</v>
      </c>
      <c r="O447">
        <v>0.91714769444546296</v>
      </c>
      <c r="P447">
        <v>10.8169540184113</v>
      </c>
      <c r="Q447">
        <v>32.6175710255052</v>
      </c>
      <c r="R447">
        <v>0.92544209435103197</v>
      </c>
      <c r="S447" s="1">
        <v>11.275062999280999</v>
      </c>
      <c r="T447" s="7"/>
      <c r="U447" s="1"/>
      <c r="V447" s="1"/>
      <c r="W447" s="8"/>
      <c r="X447" s="7"/>
      <c r="Y447" s="1"/>
      <c r="Z447" s="1"/>
      <c r="AA447" s="8"/>
      <c r="AB447" s="7">
        <v>2</v>
      </c>
      <c r="AC447">
        <v>0.106587727864583</v>
      </c>
      <c r="AD447">
        <v>31.3238476266541</v>
      </c>
      <c r="AE447">
        <v>0.95684374050868803</v>
      </c>
      <c r="AF447">
        <v>13.649562042273301</v>
      </c>
      <c r="AG447">
        <v>34.450238854937098</v>
      </c>
      <c r="AH447">
        <v>0.96176458675338194</v>
      </c>
      <c r="AI447" s="1">
        <v>14.1753421161456</v>
      </c>
      <c r="AJ447" s="1">
        <v>8.1691093444824201</v>
      </c>
      <c r="AK447" s="1">
        <v>6.2736315727233798</v>
      </c>
      <c r="AL447" s="7"/>
      <c r="AM447" s="1"/>
      <c r="AN447" s="1"/>
      <c r="AO447" s="8"/>
      <c r="AP447" s="1"/>
      <c r="AQ447" s="1"/>
      <c r="AR447" s="1"/>
      <c r="AS447" s="8"/>
      <c r="AT447" s="7">
        <v>0.04</v>
      </c>
      <c r="AU447">
        <v>9.967041015625E-2</v>
      </c>
      <c r="AV447">
        <v>29.377978184745899</v>
      </c>
      <c r="AW447">
        <v>0.96823319709462896</v>
      </c>
      <c r="AX447">
        <v>14.9802649151291</v>
      </c>
      <c r="AY447">
        <v>32.664418167045902</v>
      </c>
      <c r="AZ447">
        <v>0.97313927502660902</v>
      </c>
      <c r="BA447" s="1">
        <v>15.708822698618601</v>
      </c>
      <c r="BB447" s="1">
        <v>6.3087570667266801</v>
      </c>
      <c r="BC447" s="1">
        <v>4.2615172863006503</v>
      </c>
      <c r="BD447" s="7"/>
      <c r="BE447" s="1"/>
      <c r="BF447" s="1"/>
      <c r="BG447" s="8"/>
      <c r="BH447" s="1"/>
      <c r="BI447" s="1"/>
      <c r="BJ447" s="1"/>
      <c r="BK447" s="8"/>
    </row>
    <row r="448" spans="1:63">
      <c r="A448" s="49"/>
      <c r="B448" s="7" t="s">
        <v>96</v>
      </c>
      <c r="C448" s="17">
        <v>1.5</v>
      </c>
      <c r="D448" s="7">
        <v>26</v>
      </c>
      <c r="E448">
        <v>1.3629353841145799</v>
      </c>
      <c r="F448">
        <v>38.760656611232299</v>
      </c>
      <c r="G448">
        <v>0.99225386762910495</v>
      </c>
      <c r="H448">
        <v>21.109150857829501</v>
      </c>
      <c r="I448">
        <v>41.815787285257301</v>
      </c>
      <c r="J448">
        <v>0.99504953173130095</v>
      </c>
      <c r="K448" s="8">
        <v>23.053537188657302</v>
      </c>
      <c r="L448" s="7">
        <v>23</v>
      </c>
      <c r="M448">
        <v>1.3893839518229101</v>
      </c>
      <c r="N448">
        <v>39.894775548390101</v>
      </c>
      <c r="O448">
        <v>0.99398995988501904</v>
      </c>
      <c r="P448">
        <v>22.211226292191601</v>
      </c>
      <c r="Q448">
        <v>42.983305065365101</v>
      </c>
      <c r="R448">
        <v>0.99618831273118102</v>
      </c>
      <c r="S448" s="1">
        <v>24.188827384109299</v>
      </c>
      <c r="T448" s="13">
        <f>bdrate(E448:E451,F448:F451,M448:M451,N448:N451)</f>
        <v>-0.17724302424786609</v>
      </c>
      <c r="U448" s="12">
        <f>bdrate(E448:E451,H448:H451,M448:M451,P448:P451)</f>
        <v>-0.17039932085441556</v>
      </c>
      <c r="V448" s="12">
        <f>bdrate(E448:E451,I448:I451,M448:M451,Q448:Q451)</f>
        <v>-0.19077949702397834</v>
      </c>
      <c r="W448" s="14">
        <f>bdrate(E448:E451,K448:K451,M448:M451,S448:S451)</f>
        <v>-0.13448723064695034</v>
      </c>
      <c r="X448" s="13">
        <f>bdrate(E450:E453,F450:F453,M450:M453,N450:N453)</f>
        <v>-0.23835218294624549</v>
      </c>
      <c r="Y448" s="12">
        <f>bdrate(E450:E453,H450:H453,M450:M453,P450:P453)</f>
        <v>-0.1974654623664488</v>
      </c>
      <c r="Z448" s="12">
        <f>bdrate(E450:E453,I450:I453,M450:M453,Q450:Q453)</f>
        <v>-0.27518052406395044</v>
      </c>
      <c r="AA448" s="14">
        <f>bdrate(E450:E453,K450:K453,M450:M453,S450:S453)</f>
        <v>-0.14724164217075741</v>
      </c>
      <c r="AB448" s="7">
        <v>64</v>
      </c>
      <c r="AC448">
        <v>1.28509521484375</v>
      </c>
      <c r="AD448">
        <v>38.191018193201401</v>
      </c>
      <c r="AE448">
        <v>0.99307681567449602</v>
      </c>
      <c r="AF448">
        <v>21.596941054124699</v>
      </c>
      <c r="AG448">
        <v>41.110104939467803</v>
      </c>
      <c r="AH448">
        <v>0.99532102627843999</v>
      </c>
      <c r="AI448" s="1">
        <v>23.298493939216499</v>
      </c>
      <c r="AJ448" s="1">
        <v>6.8143825531005797</v>
      </c>
      <c r="AK448" s="1">
        <v>3.3782615661621</v>
      </c>
      <c r="AL448" s="13">
        <f>bdrate(E448:E451,F448:F451,AC448:AC451,AD448:AD451)</f>
        <v>1.1098331198939215E-2</v>
      </c>
      <c r="AM448" s="12">
        <f>bdrate(E448:E451,H448:H451,AC448:AC451,AF448:AF451)</f>
        <v>-0.17273959320618137</v>
      </c>
      <c r="AN448" s="12">
        <f>bdrate(E448:E451,I448:I451,AC448:AC451,AG448:AG451)</f>
        <v>7.3315235915327737E-3</v>
      </c>
      <c r="AO448" s="14">
        <f>bdrate(E448:E451,K448:K451,AC448:AC451,AI448:AI451)</f>
        <v>-0.14638254704079035</v>
      </c>
      <c r="AP448" s="12">
        <f>bdrate(E450:E453,F450:F453,AC450:AC453,AD450:AD453)</f>
        <v>-4.662625895268524E-2</v>
      </c>
      <c r="AQ448" s="12">
        <f>bdrate(E450:E453,H450:H453,AC450:AC453,AF450:AF453)</f>
        <v>-0.28397443800651745</v>
      </c>
      <c r="AR448" s="12">
        <f>bdrate(E450:E453,I450:I453,AC450:AC453,AG450:AG453)</f>
        <v>-8.9623839641719716E-2</v>
      </c>
      <c r="AS448" s="14">
        <f>bdrate(E450:E453,K450:K453,AC450:AC453,AI450:AI453)</f>
        <v>-0.26524374196419875</v>
      </c>
      <c r="AT448" s="7">
        <v>3.2</v>
      </c>
      <c r="AU448">
        <v>1.3993123372395799</v>
      </c>
      <c r="AV448">
        <v>35.730472437908702</v>
      </c>
      <c r="AW448">
        <v>0.99704321531683304</v>
      </c>
      <c r="AX448">
        <v>25.291803002006802</v>
      </c>
      <c r="AY448">
        <v>39.1675506286931</v>
      </c>
      <c r="AZ448">
        <v>0.99779968317496504</v>
      </c>
      <c r="BA448" s="1">
        <v>26.575147803335302</v>
      </c>
      <c r="BB448" s="1">
        <v>56.2178890705108</v>
      </c>
      <c r="BC448" s="1">
        <v>17.525309801101599</v>
      </c>
      <c r="BD448" s="13">
        <f>bdrate(E448:E451,F448:F451,AU448:AU451,AV448:AV451)</f>
        <v>0.90181697997357269</v>
      </c>
      <c r="BE448" s="12">
        <f>bdrate(E448:E451,H448:H451,AU448:AU451,AX448:AX451)</f>
        <v>-0.49339655009329264</v>
      </c>
      <c r="BF448" s="12">
        <f>bdrate(E448:E451,I448:I451,AU448:AU451,AY448:AY451)</f>
        <v>0.65541763824088983</v>
      </c>
      <c r="BG448" s="14">
        <f>bdrate(E448:E451,K448:K451,AU448:AU451,BA448:BA451)</f>
        <v>-0.4350190887221449</v>
      </c>
      <c r="BH448" s="12">
        <f>bdrate(E450:E453,F450:F453,AU450:AU453,AV450:AV453)</f>
        <v>0.72285765432688009</v>
      </c>
      <c r="BI448" s="12">
        <f>bdrate(E450:E453,H450:H453,AU450:AU453,AX450:AX453)</f>
        <v>-0.56063217510834185</v>
      </c>
      <c r="BJ448" s="12">
        <f>bdrate(E450:E453,I450:I453,AU450:AU453,AY450:AY453)</f>
        <v>0.49292815703193193</v>
      </c>
      <c r="BK448" s="14">
        <f>bdrate(E450:E453,K450:K453,AU450:AU453,BA450:BA453)</f>
        <v>-0.54163700472744314</v>
      </c>
    </row>
    <row r="449" spans="1:63">
      <c r="A449" s="49"/>
      <c r="B449" s="7" t="s">
        <v>18</v>
      </c>
      <c r="C449" s="17">
        <v>1</v>
      </c>
      <c r="D449" s="7">
        <v>29</v>
      </c>
      <c r="E449">
        <v>0.97611490885416596</v>
      </c>
      <c r="F449">
        <v>36.547907697777198</v>
      </c>
      <c r="G449">
        <v>0.98718247503963397</v>
      </c>
      <c r="H449">
        <v>18.921958281579901</v>
      </c>
      <c r="I449">
        <v>39.593442003121098</v>
      </c>
      <c r="J449">
        <v>0.99101381112117903</v>
      </c>
      <c r="K449" s="8">
        <v>20.464244573023599</v>
      </c>
      <c r="L449" s="7">
        <v>27</v>
      </c>
      <c r="M449">
        <v>0.91029866536458304</v>
      </c>
      <c r="N449">
        <v>37.162381453962197</v>
      </c>
      <c r="O449">
        <v>0.98884008320990702</v>
      </c>
      <c r="P449">
        <v>19.5233904354704</v>
      </c>
      <c r="Q449">
        <v>40.243972045101501</v>
      </c>
      <c r="R449">
        <v>0.99192219324937503</v>
      </c>
      <c r="S449" s="1">
        <v>20.927065408839301</v>
      </c>
      <c r="T449" s="7"/>
      <c r="U449" s="1"/>
      <c r="V449" s="1"/>
      <c r="W449" s="8"/>
      <c r="X449" s="7"/>
      <c r="Y449" s="1"/>
      <c r="Z449" s="1"/>
      <c r="AA449" s="8"/>
      <c r="AB449" s="7">
        <v>32</v>
      </c>
      <c r="AC449">
        <v>0.90525309244791596</v>
      </c>
      <c r="AD449">
        <v>36.113097119424197</v>
      </c>
      <c r="AE449">
        <v>0.98864606504595698</v>
      </c>
      <c r="AF449">
        <v>19.448535981484</v>
      </c>
      <c r="AG449">
        <v>39.130690305606201</v>
      </c>
      <c r="AH449">
        <v>0.99170878637972104</v>
      </c>
      <c r="AI449" s="1">
        <v>20.813818952623102</v>
      </c>
      <c r="AJ449" s="1">
        <v>7.1299772262573198</v>
      </c>
      <c r="AK449" s="1">
        <v>3.5780866146087602</v>
      </c>
      <c r="AL449" s="7"/>
      <c r="AM449" s="1"/>
      <c r="AN449" s="1"/>
      <c r="AO449" s="8"/>
      <c r="AP449" s="1"/>
      <c r="AQ449" s="1"/>
      <c r="AR449" s="1"/>
      <c r="AS449" s="8"/>
      <c r="AT449" s="7">
        <v>1.28</v>
      </c>
      <c r="AU449">
        <v>0.93027750651041596</v>
      </c>
      <c r="AV449">
        <v>32.629265424632898</v>
      </c>
      <c r="AW449">
        <v>0.99424325405852199</v>
      </c>
      <c r="AX449">
        <v>22.398229365426001</v>
      </c>
      <c r="AY449">
        <v>36.417812118994703</v>
      </c>
      <c r="AZ449">
        <v>0.995519706876417</v>
      </c>
      <c r="BA449" s="1">
        <v>23.486935713166002</v>
      </c>
      <c r="BB449" s="1">
        <v>11.985189676284699</v>
      </c>
      <c r="BC449" s="1">
        <v>3.95949959754943</v>
      </c>
      <c r="BD449" s="7"/>
      <c r="BE449" s="1"/>
      <c r="BF449" s="1"/>
      <c r="BG449" s="8"/>
      <c r="BH449" s="1"/>
      <c r="BI449" s="1"/>
      <c r="BJ449" s="1"/>
      <c r="BK449" s="8"/>
    </row>
    <row r="450" spans="1:63">
      <c r="A450" s="49"/>
      <c r="B450" s="7" t="s">
        <v>18</v>
      </c>
      <c r="C450" s="17">
        <v>0.5</v>
      </c>
      <c r="D450" s="7">
        <v>35</v>
      </c>
      <c r="E450">
        <v>0.4498291015625</v>
      </c>
      <c r="F450">
        <v>32.390778986204197</v>
      </c>
      <c r="G450">
        <v>0.96513089633933102</v>
      </c>
      <c r="H450">
        <v>14.5755921638166</v>
      </c>
      <c r="I450">
        <v>35.507815839471697</v>
      </c>
      <c r="J450">
        <v>0.97227605205079903</v>
      </c>
      <c r="K450" s="8">
        <v>15.5714492519777</v>
      </c>
      <c r="L450" s="7">
        <v>32</v>
      </c>
      <c r="M450">
        <v>0.48990885416666602</v>
      </c>
      <c r="N450">
        <v>33.797508958775701</v>
      </c>
      <c r="O450">
        <v>0.97495494011976702</v>
      </c>
      <c r="P450">
        <v>16.012779256185699</v>
      </c>
      <c r="Q450">
        <v>36.988646514991103</v>
      </c>
      <c r="R450">
        <v>0.97954103202818799</v>
      </c>
      <c r="S450" s="1">
        <v>16.891162775374202</v>
      </c>
      <c r="T450" s="7"/>
      <c r="U450" s="1"/>
      <c r="V450" s="1"/>
      <c r="W450" s="8"/>
      <c r="X450" s="7"/>
      <c r="Y450" s="1"/>
      <c r="Z450" s="1"/>
      <c r="AA450" s="8"/>
      <c r="AB450" s="7">
        <v>16</v>
      </c>
      <c r="AC450">
        <v>0.60361735026041596</v>
      </c>
      <c r="AD450">
        <v>33.6674930774399</v>
      </c>
      <c r="AE450">
        <v>0.98117819454403898</v>
      </c>
      <c r="AF450">
        <v>17.253387198060501</v>
      </c>
      <c r="AG450">
        <v>36.817915977826701</v>
      </c>
      <c r="AH450">
        <v>0.98561987856021405</v>
      </c>
      <c r="AI450" s="1">
        <v>18.422374463310199</v>
      </c>
      <c r="AJ450" s="1">
        <v>6.4745941162109304</v>
      </c>
      <c r="AK450" s="1">
        <v>3.9717741012573198</v>
      </c>
      <c r="AL450" s="7"/>
      <c r="AM450" s="1"/>
      <c r="AN450" s="1"/>
      <c r="AO450" s="8"/>
      <c r="AP450" s="1"/>
      <c r="AQ450" s="1"/>
      <c r="AR450" s="1"/>
      <c r="AS450" s="8"/>
      <c r="AT450" s="7">
        <v>0.32</v>
      </c>
      <c r="AU450">
        <v>0.47231038411458298</v>
      </c>
      <c r="AV450">
        <v>29.8451322988562</v>
      </c>
      <c r="AW450">
        <v>0.98658823851670596</v>
      </c>
      <c r="AX450">
        <v>18.725141787304398</v>
      </c>
      <c r="AY450">
        <v>33.703809708493999</v>
      </c>
      <c r="AZ450">
        <v>0.98913698295591701</v>
      </c>
      <c r="BA450" s="1">
        <v>19.640495390543901</v>
      </c>
      <c r="BB450" s="1">
        <v>7.7401664257049498</v>
      </c>
      <c r="BC450" s="1">
        <v>6.3065309524536097</v>
      </c>
      <c r="BD450" s="7"/>
      <c r="BE450" s="1"/>
      <c r="BF450" s="1"/>
      <c r="BG450" s="8"/>
      <c r="BH450" s="1"/>
      <c r="BI450" s="1"/>
      <c r="BJ450" s="1"/>
      <c r="BK450" s="8"/>
    </row>
    <row r="451" spans="1:63">
      <c r="A451" s="49"/>
      <c r="B451" s="7" t="s">
        <v>18</v>
      </c>
      <c r="C451" s="17">
        <v>0.25</v>
      </c>
      <c r="D451" s="7">
        <v>39</v>
      </c>
      <c r="E451">
        <v>0.24637858072916599</v>
      </c>
      <c r="F451">
        <v>29.901248049367101</v>
      </c>
      <c r="G451">
        <v>0.93706738476816998</v>
      </c>
      <c r="H451">
        <v>12.0112422030793</v>
      </c>
      <c r="I451">
        <v>33.087550285469497</v>
      </c>
      <c r="J451">
        <v>0.94711083191745304</v>
      </c>
      <c r="K451" s="8">
        <v>12.7663326414004</v>
      </c>
      <c r="L451" s="7">
        <v>37</v>
      </c>
      <c r="M451">
        <v>0.23677571614583301</v>
      </c>
      <c r="N451">
        <v>30.722386367211602</v>
      </c>
      <c r="O451">
        <v>0.94642102887604396</v>
      </c>
      <c r="P451">
        <v>12.710056303970701</v>
      </c>
      <c r="Q451">
        <v>34.019548472310397</v>
      </c>
      <c r="R451">
        <v>0.953275007661325</v>
      </c>
      <c r="S451" s="1">
        <v>13.3045076115879</v>
      </c>
      <c r="T451" s="7"/>
      <c r="U451" s="1"/>
      <c r="V451" s="1"/>
      <c r="W451" s="8"/>
      <c r="X451" s="7"/>
      <c r="Y451" s="1"/>
      <c r="Z451" s="1"/>
      <c r="AA451" s="8"/>
      <c r="AB451" s="7">
        <v>8</v>
      </c>
      <c r="AC451">
        <v>0.38246663411458298</v>
      </c>
      <c r="AD451">
        <v>31.772235868412601</v>
      </c>
      <c r="AE451">
        <v>0.96886526750972302</v>
      </c>
      <c r="AF451">
        <v>15.067548613861501</v>
      </c>
      <c r="AG451">
        <v>35.050380235959999</v>
      </c>
      <c r="AH451">
        <v>0.97500132140653495</v>
      </c>
      <c r="AI451" s="1">
        <v>16.020829471172998</v>
      </c>
      <c r="AJ451" s="1">
        <v>5.5226466655731201</v>
      </c>
      <c r="AK451" s="1">
        <v>3.34060478210449</v>
      </c>
      <c r="AL451" s="7"/>
      <c r="AM451" s="1"/>
      <c r="AN451" s="1"/>
      <c r="AO451" s="8"/>
      <c r="AP451" s="1"/>
      <c r="AQ451" s="1"/>
      <c r="AR451" s="1"/>
      <c r="AS451" s="8"/>
      <c r="AT451" s="7">
        <v>0.16</v>
      </c>
      <c r="AU451">
        <v>0.33152262369791602</v>
      </c>
      <c r="AV451">
        <v>28.867643280570199</v>
      </c>
      <c r="AW451">
        <v>0.97924643644151199</v>
      </c>
      <c r="AX451">
        <v>16.829073205948401</v>
      </c>
      <c r="AY451">
        <v>32.621022317942398</v>
      </c>
      <c r="AZ451">
        <v>0.98280356092838805</v>
      </c>
      <c r="BA451" s="1">
        <v>17.645614747004299</v>
      </c>
      <c r="BB451" s="1">
        <v>6.6811442375183097</v>
      </c>
      <c r="BC451" s="1">
        <v>4.4681727886199898</v>
      </c>
      <c r="BD451" s="7"/>
      <c r="BE451" s="1"/>
      <c r="BF451" s="1"/>
      <c r="BG451" s="8"/>
      <c r="BH451" s="1"/>
      <c r="BI451" s="1"/>
      <c r="BJ451" s="1"/>
      <c r="BK451" s="8"/>
    </row>
    <row r="452" spans="1:63">
      <c r="A452" s="49"/>
      <c r="B452" s="7" t="s">
        <v>18</v>
      </c>
      <c r="C452" s="17">
        <v>0.12</v>
      </c>
      <c r="D452" s="7">
        <v>44</v>
      </c>
      <c r="E452">
        <v>0.10186767578125</v>
      </c>
      <c r="F452">
        <v>27.105432139273798</v>
      </c>
      <c r="G452">
        <v>0.88637990904394903</v>
      </c>
      <c r="H452">
        <v>9.4454486739378094</v>
      </c>
      <c r="I452">
        <v>30.329033730907</v>
      </c>
      <c r="J452">
        <v>0.90049864723661899</v>
      </c>
      <c r="K452" s="8">
        <v>10.0217101479519</v>
      </c>
      <c r="L452" s="7">
        <v>42</v>
      </c>
      <c r="M452">
        <v>0.103535970052083</v>
      </c>
      <c r="N452">
        <v>27.993817981322199</v>
      </c>
      <c r="O452">
        <v>0.90018653257084902</v>
      </c>
      <c r="P452">
        <v>10.008108571538299</v>
      </c>
      <c r="Q452">
        <v>31.403492866752298</v>
      </c>
      <c r="R452">
        <v>0.90926263819082698</v>
      </c>
      <c r="S452" s="1">
        <v>10.422138520082299</v>
      </c>
      <c r="T452" s="7"/>
      <c r="U452" s="1"/>
      <c r="V452" s="1"/>
      <c r="W452" s="8"/>
      <c r="X452" s="7"/>
      <c r="Y452" s="1"/>
      <c r="Z452" s="1"/>
      <c r="AA452" s="8"/>
      <c r="AB452" s="7">
        <v>4</v>
      </c>
      <c r="AC452">
        <v>0.23569742838541599</v>
      </c>
      <c r="AD452">
        <v>29.893840610672601</v>
      </c>
      <c r="AE452">
        <v>0.95114104061005</v>
      </c>
      <c r="AF452">
        <v>13.110557869740299</v>
      </c>
      <c r="AG452">
        <v>33.248955400972697</v>
      </c>
      <c r="AH452">
        <v>0.95877013663354005</v>
      </c>
      <c r="AI452" s="1">
        <v>13.847881044247099</v>
      </c>
      <c r="AJ452" s="1">
        <v>7.1524889469146702</v>
      </c>
      <c r="AK452" s="1">
        <v>4.97159671783447</v>
      </c>
      <c r="AL452" s="7"/>
      <c r="AM452" s="1"/>
      <c r="AN452" s="1"/>
      <c r="AO452" s="8"/>
      <c r="AP452" s="1"/>
      <c r="AQ452" s="1"/>
      <c r="AR452" s="1"/>
      <c r="AS452" s="8"/>
      <c r="AT452" s="7">
        <v>0.08</v>
      </c>
      <c r="AU452">
        <v>0.21974690755208301</v>
      </c>
      <c r="AV452">
        <v>27.885581971506699</v>
      </c>
      <c r="AW452">
        <v>0.96759876325162597</v>
      </c>
      <c r="AX452">
        <v>14.894384125482199</v>
      </c>
      <c r="AY452">
        <v>31.488870709144901</v>
      </c>
      <c r="AZ452">
        <v>0.97271506525012397</v>
      </c>
      <c r="BA452" s="1">
        <v>15.6407708046625</v>
      </c>
      <c r="BB452" s="1">
        <v>5.9444069862365696</v>
      </c>
      <c r="BC452" s="1">
        <v>3.8498764038085902</v>
      </c>
      <c r="BD452" s="7"/>
      <c r="BE452" s="1"/>
      <c r="BF452" s="1"/>
      <c r="BG452" s="8"/>
      <c r="BH452" s="1"/>
      <c r="BI452" s="1"/>
      <c r="BJ452" s="1"/>
      <c r="BK452" s="8"/>
    </row>
    <row r="453" spans="1:63">
      <c r="A453" s="49"/>
      <c r="B453" s="7" t="s">
        <v>18</v>
      </c>
      <c r="C453" s="17">
        <v>0.06</v>
      </c>
      <c r="D453" s="7">
        <v>47</v>
      </c>
      <c r="E453">
        <v>5.755615234375E-2</v>
      </c>
      <c r="F453">
        <v>25.664100730060401</v>
      </c>
      <c r="G453">
        <v>0.85048183418100598</v>
      </c>
      <c r="H453">
        <v>8.25306039207981</v>
      </c>
      <c r="I453">
        <v>28.890540246793002</v>
      </c>
      <c r="J453">
        <v>0.86665983966637905</v>
      </c>
      <c r="K453" s="8">
        <v>8.7503902699682996</v>
      </c>
      <c r="L453" s="7">
        <v>46</v>
      </c>
      <c r="M453">
        <v>5.3019205729166602E-2</v>
      </c>
      <c r="N453">
        <v>26.1809896381728</v>
      </c>
      <c r="O453">
        <v>0.86100980514684</v>
      </c>
      <c r="P453">
        <v>8.5701583623055697</v>
      </c>
      <c r="Q453">
        <v>29.5418204395848</v>
      </c>
      <c r="R453">
        <v>0.87231373733644502</v>
      </c>
      <c r="S453" s="1">
        <v>8.9385582450899292</v>
      </c>
      <c r="T453" s="7"/>
      <c r="U453" s="1"/>
      <c r="V453" s="1"/>
      <c r="W453" s="8"/>
      <c r="X453" s="7"/>
      <c r="Y453" s="1"/>
      <c r="Z453" s="1"/>
      <c r="AA453" s="8"/>
      <c r="AB453" s="7">
        <v>2</v>
      </c>
      <c r="AC453">
        <v>0.13584391276041599</v>
      </c>
      <c r="AD453">
        <v>28.2849045788534</v>
      </c>
      <c r="AE453">
        <v>0.92509183241603798</v>
      </c>
      <c r="AF453">
        <v>11.254708265828</v>
      </c>
      <c r="AG453">
        <v>31.696028446922099</v>
      </c>
      <c r="AH453">
        <v>0.93481402512948897</v>
      </c>
      <c r="AI453" s="1">
        <v>11.858458351202</v>
      </c>
      <c r="AJ453" s="1">
        <v>7.0630455017089799</v>
      </c>
      <c r="AK453" s="1">
        <v>5.0968418121337802</v>
      </c>
      <c r="AL453" s="7"/>
      <c r="AM453" s="1"/>
      <c r="AN453" s="1"/>
      <c r="AO453" s="8"/>
      <c r="AP453" s="1"/>
      <c r="AQ453" s="1"/>
      <c r="AR453" s="1"/>
      <c r="AS453" s="8"/>
      <c r="AT453" s="7">
        <v>0.04</v>
      </c>
      <c r="AU453">
        <v>0.13999430338541599</v>
      </c>
      <c r="AV453">
        <v>26.8133203795682</v>
      </c>
      <c r="AW453">
        <v>0.95073224755821395</v>
      </c>
      <c r="AX453">
        <v>13.074372494643701</v>
      </c>
      <c r="AY453">
        <v>30.281404856474001</v>
      </c>
      <c r="AZ453">
        <v>0.95838412204368595</v>
      </c>
      <c r="BA453" s="1">
        <v>13.8074093876837</v>
      </c>
      <c r="BB453" s="1">
        <v>6.3790488243103001</v>
      </c>
      <c r="BC453" s="1">
        <v>4.4259078502655003</v>
      </c>
      <c r="BD453" s="7"/>
      <c r="BE453" s="1"/>
      <c r="BF453" s="1"/>
      <c r="BG453" s="8"/>
      <c r="BH453" s="1"/>
      <c r="BI453" s="1"/>
      <c r="BJ453" s="1"/>
      <c r="BK453" s="8"/>
    </row>
    <row r="454" spans="1:63">
      <c r="A454" s="49"/>
      <c r="B454" s="7" t="s">
        <v>97</v>
      </c>
      <c r="C454" s="17">
        <v>1.5</v>
      </c>
      <c r="D454" s="7">
        <v>21</v>
      </c>
      <c r="E454">
        <v>1.3691813151041601</v>
      </c>
      <c r="F454">
        <v>42.561712120221898</v>
      </c>
      <c r="G454">
        <v>0.99383830991370903</v>
      </c>
      <c r="H454">
        <v>22.103001491217199</v>
      </c>
      <c r="I454">
        <v>45.777468303878898</v>
      </c>
      <c r="J454">
        <v>0.99657537428423504</v>
      </c>
      <c r="K454" s="8">
        <v>24.653868864958401</v>
      </c>
      <c r="L454" s="7">
        <v>18</v>
      </c>
      <c r="M454">
        <v>1.4092814127604101</v>
      </c>
      <c r="N454">
        <v>43.217269639832502</v>
      </c>
      <c r="O454">
        <v>0.994601460125354</v>
      </c>
      <c r="P454">
        <v>22.677236864976599</v>
      </c>
      <c r="Q454">
        <v>46.542226786845298</v>
      </c>
      <c r="R454">
        <v>0.99716926727379995</v>
      </c>
      <c r="S454" s="1">
        <v>25.481011341729701</v>
      </c>
      <c r="T454" s="13">
        <f>bdrate(E454:E457,F454:F457,M454:M457,N454:N457)</f>
        <v>-0.15097036260252772</v>
      </c>
      <c r="U454" s="12">
        <f>bdrate(E454:E457,H454:H457,M454:M457,P454:P457)</f>
        <v>-0.13476149188417463</v>
      </c>
      <c r="V454" s="12">
        <f>bdrate(E454:E457,I454:I457,M454:M457,Q454:Q457)</f>
        <v>-0.16101591296292039</v>
      </c>
      <c r="W454" s="14">
        <f>bdrate(E454:E457,K454:K457,M454:M457,S454:S457)</f>
        <v>-0.12728882962924093</v>
      </c>
      <c r="X454" s="13">
        <f>bdrate(E456:E459,F456:F459,M456:M459,N456:N459)</f>
        <v>-0.19757556159947021</v>
      </c>
      <c r="Y454" s="12">
        <f>bdrate(E456:E459,H456:H459,M456:M459,P456:P459)</f>
        <v>-0.15562932019952436</v>
      </c>
      <c r="Z454" s="12">
        <f>bdrate(E456:E459,I456:I459,M456:M459,Q456:Q459)</f>
        <v>-0.22213953075596626</v>
      </c>
      <c r="AA454" s="14">
        <f>bdrate(E456:E459,K456:K459,M456:M459,S456:S459)</f>
        <v>-0.13769851275562284</v>
      </c>
      <c r="AB454" s="7">
        <v>256</v>
      </c>
      <c r="AC454">
        <v>1.5829060872395799</v>
      </c>
      <c r="AD454">
        <v>43.817626493294497</v>
      </c>
      <c r="AE454">
        <v>0.99596879466210597</v>
      </c>
      <c r="AF454">
        <v>23.945650795837601</v>
      </c>
      <c r="AG454">
        <v>46.703027148289898</v>
      </c>
      <c r="AH454">
        <v>0.99742176753124601</v>
      </c>
      <c r="AI454" s="1">
        <v>25.886779266469599</v>
      </c>
      <c r="AJ454" s="1">
        <v>19.828734397888098</v>
      </c>
      <c r="AK454" s="1">
        <v>10.3971934318542</v>
      </c>
      <c r="AL454" s="13">
        <f>bdrate(E454:E457,F454:F457,AC454:AC457,AD454:AD457)</f>
        <v>-7.1637374184180036E-2</v>
      </c>
      <c r="AM454" s="12">
        <f>bdrate(E454:E457,H454:H457,AC454:AC457,AF454:AF457)</f>
        <v>-0.15306984702126192</v>
      </c>
      <c r="AN454" s="12">
        <f>bdrate(E454:E457,I454:I457,AC454:AC457,AG454:AG457)</f>
        <v>-4.5460424678869349E-2</v>
      </c>
      <c r="AO454" s="14">
        <f>bdrate(E454:E457,K454:K457,AC454:AC457,AI454:AI457)</f>
        <v>-5.1930861484939417E-2</v>
      </c>
      <c r="AP454" s="12">
        <f>bdrate(E456:E459,F456:F459,AC456:AC459,AD456:AD459)</f>
        <v>-8.6246982402352623E-2</v>
      </c>
      <c r="AQ454" s="12">
        <f>bdrate(E456:E459,H456:H459,AC456:AC459,AF456:AF459)</f>
        <v>-0.17942928834882299</v>
      </c>
      <c r="AR454" s="12">
        <f>bdrate(E456:E459,I456:I459,AC456:AC459,AG456:AG459)</f>
        <v>-8.2304386252654349E-2</v>
      </c>
      <c r="AS454" s="14">
        <f>bdrate(E456:E459,K456:K459,AC456:AC459,AI456:AI459)</f>
        <v>-0.11349978311570208</v>
      </c>
      <c r="AT454" s="7">
        <v>6.4</v>
      </c>
      <c r="AU454">
        <v>1.6111857096354101</v>
      </c>
      <c r="AV454">
        <v>40.507549584187302</v>
      </c>
      <c r="AW454">
        <v>0.99803375007779904</v>
      </c>
      <c r="AX454">
        <v>27.0636128155267</v>
      </c>
      <c r="AY454">
        <v>43.644475737289397</v>
      </c>
      <c r="AZ454">
        <v>0.99868191992128696</v>
      </c>
      <c r="BA454" s="1">
        <v>28.800582037887899</v>
      </c>
      <c r="BB454" s="1">
        <v>46.979210138320902</v>
      </c>
      <c r="BC454" s="1">
        <v>15.3144972324371</v>
      </c>
      <c r="BD454" s="13">
        <f>bdrate(E454:E457,F454:F457,AU454:AU457,AV454:AV457)</f>
        <v>1.0049408624741454</v>
      </c>
      <c r="BE454" s="12">
        <f>bdrate(E454:E457,H454:H457,AU454:AU457,AX454:AX457)</f>
        <v>-0.50524470432759161</v>
      </c>
      <c r="BF454" s="12">
        <f>bdrate(E454:E457,I454:I457,AU454:AU457,AY454:AY457)</f>
        <v>0.92053675891231301</v>
      </c>
      <c r="BG454" s="14">
        <f>bdrate(E454:E457,K454:K457,AU454:AU457,BA454:BA457)</f>
        <v>-0.42610882175640108</v>
      </c>
      <c r="BH454" s="12">
        <f>bdrate(E456:E459,F456:F459,AU456:AU459,AV456:AV459)</f>
        <v>1.4866550863247388</v>
      </c>
      <c r="BI454" s="12">
        <f>bdrate(E456:E459,H456:H459,AU456:AU459,AX456:AX459)</f>
        <v>-0.50908929313034568</v>
      </c>
      <c r="BJ454" s="12">
        <f>bdrate(E456:E459,I456:I459,AU456:AU459,AY456:AY459)</f>
        <v>1.269566760806232</v>
      </c>
      <c r="BK454" s="14">
        <f>bdrate(E456:E459,K456:K459,AU456:AU459,BA456:BA459)</f>
        <v>-0.47694072066482907</v>
      </c>
    </row>
    <row r="455" spans="1:63">
      <c r="A455" s="49"/>
      <c r="B455" s="7" t="s">
        <v>18</v>
      </c>
      <c r="C455" s="17">
        <v>1</v>
      </c>
      <c r="D455" s="7">
        <v>24</v>
      </c>
      <c r="E455">
        <v>0.96783447265625</v>
      </c>
      <c r="F455">
        <v>40.8077062543843</v>
      </c>
      <c r="G455">
        <v>0.99100873052910898</v>
      </c>
      <c r="H455">
        <v>20.461789862110901</v>
      </c>
      <c r="I455">
        <v>43.943063726174202</v>
      </c>
      <c r="J455">
        <v>0.99437534832673302</v>
      </c>
      <c r="K455" s="8">
        <v>22.499043676276901</v>
      </c>
      <c r="L455" s="7">
        <v>22</v>
      </c>
      <c r="M455">
        <v>0.89198811848958304</v>
      </c>
      <c r="N455">
        <v>41.073745678385599</v>
      </c>
      <c r="O455">
        <v>0.991336342464197</v>
      </c>
      <c r="P455">
        <v>20.622987231937302</v>
      </c>
      <c r="Q455">
        <v>44.256585285818304</v>
      </c>
      <c r="R455">
        <v>0.99466575142097602</v>
      </c>
      <c r="S455" s="1">
        <v>22.729267498041999</v>
      </c>
      <c r="T455" s="7"/>
      <c r="U455" s="1"/>
      <c r="V455" s="1"/>
      <c r="W455" s="8"/>
      <c r="X455" s="7"/>
      <c r="Y455" s="1"/>
      <c r="Z455" s="1"/>
      <c r="AA455" s="8"/>
      <c r="AB455" s="7">
        <v>128</v>
      </c>
      <c r="AC455">
        <v>1.08282470703125</v>
      </c>
      <c r="AD455">
        <v>41.812145682803902</v>
      </c>
      <c r="AE455">
        <v>0.99357616615837496</v>
      </c>
      <c r="AF455">
        <v>21.922057010106499</v>
      </c>
      <c r="AG455">
        <v>44.712921445660598</v>
      </c>
      <c r="AH455">
        <v>0.99541870992919002</v>
      </c>
      <c r="AI455" s="1">
        <v>23.390122093887499</v>
      </c>
      <c r="AJ455" s="1">
        <v>35.386584758758502</v>
      </c>
      <c r="AK455" s="1">
        <v>16.602845191955499</v>
      </c>
      <c r="AL455" s="7"/>
      <c r="AM455" s="1"/>
      <c r="AN455" s="1"/>
      <c r="AO455" s="8"/>
      <c r="AP455" s="1"/>
      <c r="AQ455" s="1"/>
      <c r="AR455" s="1"/>
      <c r="AS455" s="8"/>
      <c r="AT455" s="7">
        <v>3.2</v>
      </c>
      <c r="AU455">
        <v>1.15765380859375</v>
      </c>
      <c r="AV455">
        <v>38.7671163469996</v>
      </c>
      <c r="AW455">
        <v>0.99698245675544495</v>
      </c>
      <c r="AX455">
        <v>25.203464972913199</v>
      </c>
      <c r="AY455">
        <v>41.9830970943352</v>
      </c>
      <c r="AZ455">
        <v>0.99789840629939397</v>
      </c>
      <c r="BA455" s="1">
        <v>26.774512419902202</v>
      </c>
      <c r="BB455" s="1">
        <v>62.299242973327601</v>
      </c>
      <c r="BC455" s="1">
        <v>18.000527143478301</v>
      </c>
      <c r="BD455" s="7"/>
      <c r="BE455" s="1"/>
      <c r="BF455" s="1"/>
      <c r="BG455" s="8"/>
      <c r="BH455" s="1"/>
      <c r="BI455" s="1"/>
      <c r="BJ455" s="1"/>
      <c r="BK455" s="8"/>
    </row>
    <row r="456" spans="1:63">
      <c r="A456" s="49"/>
      <c r="B456" s="7" t="s">
        <v>18</v>
      </c>
      <c r="C456" s="17">
        <v>0.5</v>
      </c>
      <c r="D456" s="7">
        <v>30</v>
      </c>
      <c r="E456">
        <v>0.44118245442708298</v>
      </c>
      <c r="F456">
        <v>37.155162446055698</v>
      </c>
      <c r="G456">
        <v>0.97965372763505498</v>
      </c>
      <c r="H456">
        <v>16.915151461254499</v>
      </c>
      <c r="I456">
        <v>40.290794578888502</v>
      </c>
      <c r="J456">
        <v>0.98441432534947504</v>
      </c>
      <c r="K456" s="8">
        <v>18.072743938582001</v>
      </c>
      <c r="L456" s="7">
        <v>27</v>
      </c>
      <c r="M456">
        <v>0.47806803385416602</v>
      </c>
      <c r="N456">
        <v>38.279972664756698</v>
      </c>
      <c r="O456">
        <v>0.98404753845082504</v>
      </c>
      <c r="P456">
        <v>17.971722935008302</v>
      </c>
      <c r="Q456">
        <v>41.4591975866689</v>
      </c>
      <c r="R456">
        <v>0.98817791404306199</v>
      </c>
      <c r="S456" s="1">
        <v>19.273058872737199</v>
      </c>
      <c r="T456" s="7"/>
      <c r="U456" s="1"/>
      <c r="V456" s="1"/>
      <c r="W456" s="8"/>
      <c r="X456" s="7"/>
      <c r="Y456" s="1"/>
      <c r="Z456" s="1"/>
      <c r="AA456" s="8"/>
      <c r="AB456" s="7">
        <v>32</v>
      </c>
      <c r="AC456">
        <v>0.50897216796875</v>
      </c>
      <c r="AD456">
        <v>38.054458929532501</v>
      </c>
      <c r="AE456">
        <v>0.98478975423108905</v>
      </c>
      <c r="AF456">
        <v>18.178637685098401</v>
      </c>
      <c r="AG456">
        <v>41.090984588555102</v>
      </c>
      <c r="AH456">
        <v>0.98764109127034405</v>
      </c>
      <c r="AI456" s="1">
        <v>19.080198750087</v>
      </c>
      <c r="AJ456" s="1">
        <v>7.4970395565032897</v>
      </c>
      <c r="AK456" s="1">
        <v>3.5668413639068599</v>
      </c>
      <c r="AL456" s="7"/>
      <c r="AM456" s="1"/>
      <c r="AN456" s="1"/>
      <c r="AO456" s="8"/>
      <c r="AP456" s="1"/>
      <c r="AQ456" s="1"/>
      <c r="AR456" s="1"/>
      <c r="AS456" s="8"/>
      <c r="AT456" s="7">
        <v>0.64</v>
      </c>
      <c r="AU456">
        <v>0.52492268880208304</v>
      </c>
      <c r="AV456">
        <v>34.193415598107201</v>
      </c>
      <c r="AW456">
        <v>0.99189340611453103</v>
      </c>
      <c r="AX456">
        <v>20.911615832079502</v>
      </c>
      <c r="AY456">
        <v>37.868852578776</v>
      </c>
      <c r="AZ456">
        <v>0.993767023793938</v>
      </c>
      <c r="BA456" s="1">
        <v>22.0530453099277</v>
      </c>
      <c r="BB456" s="1">
        <v>8.6444261074066109</v>
      </c>
      <c r="BC456" s="1">
        <v>5.4327130317687899</v>
      </c>
      <c r="BD456" s="7"/>
      <c r="BE456" s="1"/>
      <c r="BF456" s="1"/>
      <c r="BG456" s="8"/>
      <c r="BH456" s="1"/>
      <c r="BI456" s="1"/>
      <c r="BJ456" s="1"/>
      <c r="BK456" s="8"/>
    </row>
    <row r="457" spans="1:63">
      <c r="A457" s="49"/>
      <c r="B457" s="7" t="s">
        <v>18</v>
      </c>
      <c r="C457" s="17">
        <v>0.25</v>
      </c>
      <c r="D457" s="7">
        <v>34</v>
      </c>
      <c r="E457">
        <v>0.24263509114583301</v>
      </c>
      <c r="F457">
        <v>34.904385366222797</v>
      </c>
      <c r="G457">
        <v>0.96569009099713499</v>
      </c>
      <c r="H457">
        <v>14.6458043378311</v>
      </c>
      <c r="I457">
        <v>38.088611314774397</v>
      </c>
      <c r="J457">
        <v>0.97161432287156801</v>
      </c>
      <c r="K457" s="8">
        <v>15.4690074140214</v>
      </c>
      <c r="L457" s="7">
        <v>32</v>
      </c>
      <c r="M457">
        <v>0.2359619140625</v>
      </c>
      <c r="N457">
        <v>35.506768654517003</v>
      </c>
      <c r="O457">
        <v>0.96900202453092998</v>
      </c>
      <c r="P457">
        <v>15.086666697568001</v>
      </c>
      <c r="Q457">
        <v>38.763003742748097</v>
      </c>
      <c r="R457">
        <v>0.974222920564775</v>
      </c>
      <c r="S457" s="1">
        <v>15.8876629012527</v>
      </c>
      <c r="T457" s="7"/>
      <c r="U457" s="1"/>
      <c r="V457" s="1"/>
      <c r="W457" s="8"/>
      <c r="X457" s="7"/>
      <c r="Y457" s="1"/>
      <c r="Z457" s="1"/>
      <c r="AA457" s="8"/>
      <c r="AB457" s="7">
        <v>8</v>
      </c>
      <c r="AC457">
        <v>0.20692952473958301</v>
      </c>
      <c r="AD457">
        <v>34.612051039695302</v>
      </c>
      <c r="AE457">
        <v>0.96628104984735796</v>
      </c>
      <c r="AF457">
        <v>14.7212595569653</v>
      </c>
      <c r="AG457">
        <v>37.7963793466879</v>
      </c>
      <c r="AH457">
        <v>0.97013607568884896</v>
      </c>
      <c r="AI457" s="1">
        <v>15.2485312378129</v>
      </c>
      <c r="AJ457" s="1">
        <v>5.80375051498413</v>
      </c>
      <c r="AK457" s="1">
        <v>3.3794493675231898</v>
      </c>
      <c r="AL457" s="7"/>
      <c r="AM457" s="1"/>
      <c r="AN457" s="1"/>
      <c r="AO457" s="8"/>
      <c r="AP457" s="1"/>
      <c r="AQ457" s="1"/>
      <c r="AR457" s="1"/>
      <c r="AS457" s="8"/>
      <c r="AT457" s="7">
        <v>0.16</v>
      </c>
      <c r="AU457">
        <v>0.24171956380208301</v>
      </c>
      <c r="AV457">
        <v>32.0067678267432</v>
      </c>
      <c r="AW457">
        <v>0.98145297088155703</v>
      </c>
      <c r="AX457">
        <v>17.3172564619972</v>
      </c>
      <c r="AY457">
        <v>35.446968763513503</v>
      </c>
      <c r="AZ457">
        <v>0.98456053854237502</v>
      </c>
      <c r="BA457" s="1">
        <v>18.1136785232029</v>
      </c>
      <c r="BB457" s="1">
        <v>6.9549577236175502</v>
      </c>
      <c r="BC457" s="1">
        <v>4.6551597118377597</v>
      </c>
      <c r="BD457" s="7"/>
      <c r="BE457" s="1"/>
      <c r="BF457" s="1"/>
      <c r="BG457" s="8"/>
      <c r="BH457" s="1"/>
      <c r="BI457" s="1"/>
      <c r="BJ457" s="1"/>
      <c r="BK457" s="8"/>
    </row>
    <row r="458" spans="1:63">
      <c r="A458" s="49"/>
      <c r="B458" s="7" t="s">
        <v>18</v>
      </c>
      <c r="C458" s="17">
        <v>0.12</v>
      </c>
      <c r="D458" s="7">
        <v>39</v>
      </c>
      <c r="E458">
        <v>0.110066731770833</v>
      </c>
      <c r="F458">
        <v>32.284083779024897</v>
      </c>
      <c r="G458">
        <v>0.93783115539188699</v>
      </c>
      <c r="H458">
        <v>12.0642720380739</v>
      </c>
      <c r="I458">
        <v>35.485145388184698</v>
      </c>
      <c r="J458">
        <v>0.94498278519418399</v>
      </c>
      <c r="K458" s="8">
        <v>12.595013991350299</v>
      </c>
      <c r="L458" s="7">
        <v>37</v>
      </c>
      <c r="M458">
        <v>0.10882568359375</v>
      </c>
      <c r="N458">
        <v>32.998226359089003</v>
      </c>
      <c r="O458">
        <v>0.94495711160292895</v>
      </c>
      <c r="P458">
        <v>12.592987844019801</v>
      </c>
      <c r="Q458">
        <v>36.311985172378698</v>
      </c>
      <c r="R458">
        <v>0.95109467321725805</v>
      </c>
      <c r="S458" s="1">
        <v>13.106438348158701</v>
      </c>
      <c r="T458" s="7"/>
      <c r="U458" s="1"/>
      <c r="V458" s="1"/>
      <c r="W458" s="8"/>
      <c r="X458" s="7"/>
      <c r="Y458" s="1"/>
      <c r="Z458" s="1"/>
      <c r="AA458" s="8"/>
      <c r="AB458" s="7">
        <v>4</v>
      </c>
      <c r="AC458">
        <v>0.12668863932291599</v>
      </c>
      <c r="AD458">
        <v>33.090794781462797</v>
      </c>
      <c r="AE458">
        <v>0.95184461802807796</v>
      </c>
      <c r="AF458">
        <v>13.1735516793534</v>
      </c>
      <c r="AG458">
        <v>36.273210555168902</v>
      </c>
      <c r="AH458">
        <v>0.95614421292645602</v>
      </c>
      <c r="AI458" s="1">
        <v>13.579730903646199</v>
      </c>
      <c r="AJ458" s="1">
        <v>6.9101612567901602</v>
      </c>
      <c r="AK458" s="1">
        <v>5.2934176921844402</v>
      </c>
      <c r="AL458" s="7"/>
      <c r="AM458" s="1"/>
      <c r="AN458" s="1"/>
      <c r="AO458" s="8"/>
      <c r="AP458" s="1"/>
      <c r="AQ458" s="1"/>
      <c r="AR458" s="1"/>
      <c r="AS458" s="8"/>
      <c r="AT458" s="7">
        <v>0.08</v>
      </c>
      <c r="AU458">
        <v>0.15574137369791599</v>
      </c>
      <c r="AV458">
        <v>30.589725235252399</v>
      </c>
      <c r="AW458">
        <v>0.97250110766637299</v>
      </c>
      <c r="AX458">
        <v>15.6068479937272</v>
      </c>
      <c r="AY458">
        <v>33.953505893173798</v>
      </c>
      <c r="AZ458">
        <v>0.97653917545541502</v>
      </c>
      <c r="BA458" s="1">
        <v>16.296567284152701</v>
      </c>
      <c r="BB458" s="1">
        <v>6.0585377216339102</v>
      </c>
      <c r="BC458" s="1">
        <v>3.7310721874236998</v>
      </c>
      <c r="BD458" s="7"/>
      <c r="BE458" s="1"/>
      <c r="BF458" s="1"/>
      <c r="BG458" s="8"/>
      <c r="BH458" s="1"/>
      <c r="BI458" s="1"/>
      <c r="BJ458" s="1"/>
      <c r="BK458" s="8"/>
    </row>
    <row r="459" spans="1:63">
      <c r="A459" s="49"/>
      <c r="B459" s="7" t="s">
        <v>18</v>
      </c>
      <c r="C459" s="17">
        <v>0.06</v>
      </c>
      <c r="D459" s="7">
        <v>43</v>
      </c>
      <c r="E459">
        <v>5.67626953125E-2</v>
      </c>
      <c r="F459">
        <v>30.389198018766098</v>
      </c>
      <c r="G459">
        <v>0.906656931185994</v>
      </c>
      <c r="H459">
        <v>10.299179250377501</v>
      </c>
      <c r="I459">
        <v>33.548869317583701</v>
      </c>
      <c r="J459">
        <v>0.91552124567353399</v>
      </c>
      <c r="K459" s="8">
        <v>10.7325249861152</v>
      </c>
      <c r="L459" s="7">
        <v>41</v>
      </c>
      <c r="M459">
        <v>5.8003743489583301E-2</v>
      </c>
      <c r="N459">
        <v>31.191001713652</v>
      </c>
      <c r="O459">
        <v>0.91729594229469902</v>
      </c>
      <c r="P459">
        <v>10.824731821549401</v>
      </c>
      <c r="Q459">
        <v>34.5258853567586</v>
      </c>
      <c r="R459">
        <v>0.92378211814935596</v>
      </c>
      <c r="S459" s="1">
        <v>11.179431247498799</v>
      </c>
      <c r="T459" s="7"/>
      <c r="U459" s="1"/>
      <c r="V459" s="1"/>
      <c r="W459" s="8"/>
      <c r="X459" s="7"/>
      <c r="Y459" s="1"/>
      <c r="Z459" s="1"/>
      <c r="AA459" s="8"/>
      <c r="AB459" s="7">
        <v>2</v>
      </c>
      <c r="AC459">
        <v>7.5337727864583301E-2</v>
      </c>
      <c r="AD459">
        <v>31.504040393689401</v>
      </c>
      <c r="AE459">
        <v>0.93324883751836996</v>
      </c>
      <c r="AF459">
        <v>11.755411665931801</v>
      </c>
      <c r="AG459">
        <v>34.685065510582398</v>
      </c>
      <c r="AH459">
        <v>0.93847410302855305</v>
      </c>
      <c r="AI459" s="1">
        <v>12.1094204610284</v>
      </c>
      <c r="AJ459" s="1">
        <v>6.4692714214324898</v>
      </c>
      <c r="AK459" s="1">
        <v>4.8317785263061497</v>
      </c>
      <c r="AL459" s="7"/>
      <c r="AM459" s="1"/>
      <c r="AN459" s="1"/>
      <c r="AO459" s="8"/>
      <c r="AP459" s="1"/>
      <c r="AQ459" s="1"/>
      <c r="AR459" s="1"/>
      <c r="AS459" s="8"/>
      <c r="AT459" s="7">
        <v>0.04</v>
      </c>
      <c r="AU459">
        <v>9.7025553385416602E-2</v>
      </c>
      <c r="AV459">
        <v>29.630718420935398</v>
      </c>
      <c r="AW459">
        <v>0.96027882956841804</v>
      </c>
      <c r="AX459">
        <v>14.009779629840899</v>
      </c>
      <c r="AY459">
        <v>32.712208845727098</v>
      </c>
      <c r="AZ459">
        <v>0.96557923599385398</v>
      </c>
      <c r="BA459" s="1">
        <v>14.6317949426497</v>
      </c>
      <c r="BB459" s="1">
        <v>6.3737714290618896</v>
      </c>
      <c r="BC459" s="1">
        <v>4.4951250553131104</v>
      </c>
      <c r="BD459" s="7"/>
      <c r="BE459" s="1"/>
      <c r="BF459" s="1"/>
      <c r="BG459" s="8"/>
      <c r="BH459" s="1"/>
      <c r="BI459" s="1"/>
      <c r="BJ459" s="1"/>
      <c r="BK459" s="8"/>
    </row>
    <row r="460" spans="1:63">
      <c r="A460" s="49"/>
      <c r="B460" s="7" t="s">
        <v>98</v>
      </c>
      <c r="C460" s="17">
        <v>1.5</v>
      </c>
      <c r="D460" s="7">
        <v>34</v>
      </c>
      <c r="E460">
        <v>1.3680826822916601</v>
      </c>
      <c r="F460">
        <v>30.721161931884598</v>
      </c>
      <c r="G460">
        <v>0.97805048074939804</v>
      </c>
      <c r="H460">
        <v>16.585749874536202</v>
      </c>
      <c r="I460">
        <v>33.960144982019898</v>
      </c>
      <c r="J460">
        <v>0.98575608347159405</v>
      </c>
      <c r="K460" s="8">
        <v>18.463705800244</v>
      </c>
      <c r="L460" s="7">
        <v>31</v>
      </c>
      <c r="M460">
        <v>1.4265950520833299</v>
      </c>
      <c r="N460">
        <v>32.031768567605504</v>
      </c>
      <c r="O460">
        <v>0.98395216042288203</v>
      </c>
      <c r="P460">
        <v>17.945834257444499</v>
      </c>
      <c r="Q460">
        <v>35.354232239399799</v>
      </c>
      <c r="R460">
        <v>0.98946099749123795</v>
      </c>
      <c r="S460" s="1">
        <v>19.7720049210645</v>
      </c>
      <c r="T460" s="13">
        <f>bdrate(E460:E463,F460:F463,M460:M463,N460:N463)</f>
        <v>-0.1602095406725742</v>
      </c>
      <c r="U460" s="12">
        <f>bdrate(E460:E463,H460:H463,M460:M463,P460:P463)</f>
        <v>-0.14873438747474332</v>
      </c>
      <c r="V460" s="12">
        <f>bdrate(E460:E463,I460:I463,M460:M463,Q460:Q463)</f>
        <v>-0.20509429047557015</v>
      </c>
      <c r="W460" s="14">
        <f>bdrate(E460:E463,K460:K463,M460:M463,S460:S463)</f>
        <v>-0.10837568670645881</v>
      </c>
      <c r="X460" s="13">
        <f>bdrate(E462:E465,F462:F465,M462:M465,N462:N465)</f>
        <v>-0.18214181422740605</v>
      </c>
      <c r="Y460" s="12">
        <f>bdrate(E462:E465,H462:H465,M462:M465,P462:P465)</f>
        <v>-0.13396506829254085</v>
      </c>
      <c r="Z460" s="12">
        <f>bdrate(E462:E465,I462:I465,M462:M465,Q462:Q465)</f>
        <v>-0.26398000390862353</v>
      </c>
      <c r="AA460" s="14">
        <f>bdrate(E462:E465,K462:K465,M462:M465,S462:S465)</f>
        <v>-0.10468638096645932</v>
      </c>
      <c r="AB460" s="7">
        <v>64</v>
      </c>
      <c r="AC460">
        <v>2.2548624674479099</v>
      </c>
      <c r="AD460">
        <v>33.807669342744497</v>
      </c>
      <c r="AE460">
        <v>0.99365368934420994</v>
      </c>
      <c r="AF460">
        <v>21.974786727346199</v>
      </c>
      <c r="AG460">
        <v>36.7670257489088</v>
      </c>
      <c r="AH460">
        <v>0.99639365446821204</v>
      </c>
      <c r="AI460" s="1">
        <v>24.429326649238298</v>
      </c>
      <c r="AJ460" s="1">
        <v>6.7114508152008003</v>
      </c>
      <c r="AK460" s="1">
        <v>3.6915395259857098</v>
      </c>
      <c r="AL460" s="13">
        <f>bdrate(E460:E463,F460:F463,AC460:AC463,AD460:AD463)</f>
        <v>0.18179060256783908</v>
      </c>
      <c r="AM460" s="12">
        <f>bdrate(E460:E463,H460:H463,AC460:AC463,AF460:AF463)</f>
        <v>-0.23520806230641156</v>
      </c>
      <c r="AN460" s="12">
        <f>bdrate(E460:E463,I460:I463,AC460:AC463,AG460:AG463)</f>
        <v>0.15823181953270815</v>
      </c>
      <c r="AO460" s="14">
        <f>bdrate(E460:E463,K460:K463,AC460:AC463,AI460:AI463)</f>
        <v>-0.16801322881829628</v>
      </c>
      <c r="AP460" s="12">
        <f>bdrate(E462:E465,F462:F465,AC462:AC465,AD462:AD465)</f>
        <v>0.211914247325383</v>
      </c>
      <c r="AQ460" s="12">
        <f>bdrate(E462:E465,H462:H465,AC462:AC465,AF462:AF465)</f>
        <v>-0.32921572384510611</v>
      </c>
      <c r="AR460" s="12">
        <f>bdrate(E462:E465,I462:I465,AC462:AC465,AG462:AG465)</f>
        <v>5.3724890134907222E-2</v>
      </c>
      <c r="AS460" s="14">
        <f>bdrate(E462:E465,K462:K465,AC462:AC465,AI462:AI465)</f>
        <v>-0.28750993807069436</v>
      </c>
      <c r="AT460" s="7">
        <v>1.28</v>
      </c>
      <c r="AU460">
        <v>1.3389689127604101</v>
      </c>
      <c r="AV460">
        <v>27.7915338235833</v>
      </c>
      <c r="AW460">
        <v>0.99301830878985098</v>
      </c>
      <c r="AX460">
        <v>21.560393632981199</v>
      </c>
      <c r="AY460">
        <v>32.014890670677303</v>
      </c>
      <c r="AZ460">
        <v>0.99431176387362996</v>
      </c>
      <c r="BA460" s="1">
        <v>22.450223837531802</v>
      </c>
      <c r="BB460" s="1">
        <v>11.1002268791198</v>
      </c>
      <c r="BC460" s="1">
        <v>4.2880651950836102</v>
      </c>
      <c r="BD460" s="13">
        <f>bdrate(E460:E463,F460:F463,AU460:AU463,AV460:AV463)</f>
        <v>0.76161785491382727</v>
      </c>
      <c r="BE460" s="12">
        <f>bdrate(E460:E463,H460:H463,AU460:AU463,AX460:AX463)</f>
        <v>-0.55885925051500385</v>
      </c>
      <c r="BF460" s="12">
        <f>bdrate(E460:E463,I460:I463,AU460:AU463,AY460:AY463)</f>
        <v>0.40099643373795146</v>
      </c>
      <c r="BG460" s="14">
        <f>bdrate(E460:E463,K460:K463,AU460:AU463,BA460:BA463)</f>
        <v>-0.48132718539686348</v>
      </c>
      <c r="BH460" s="12">
        <f>bdrate(E462:E465,F462:F465,AU462:AU465,AV462:AV465)</f>
        <v>0.7465556941524838</v>
      </c>
      <c r="BI460" s="12">
        <f>bdrate(E462:E465,H462:H465,AU462:AU465,AX462:AX465)</f>
        <v>0</v>
      </c>
      <c r="BJ460" s="12">
        <f>bdrate(E462:E465,I462:I465,AU462:AU465,AY462:AY465)</f>
        <v>0.34812715225800472</v>
      </c>
      <c r="BK460" s="14">
        <f>bdrate(E462:E465,K462:K465,AU462:AU465,BA462:BA465)</f>
        <v>0</v>
      </c>
    </row>
    <row r="461" spans="1:63">
      <c r="A461" s="49"/>
      <c r="B461" s="7" t="s">
        <v>18</v>
      </c>
      <c r="C461" s="17">
        <v>1</v>
      </c>
      <c r="D461" s="7">
        <v>37</v>
      </c>
      <c r="E461">
        <v>0.9180908203125</v>
      </c>
      <c r="F461">
        <v>28.282442039074599</v>
      </c>
      <c r="G461">
        <v>0.96041230937167998</v>
      </c>
      <c r="H461">
        <v>14.0243983233799</v>
      </c>
      <c r="I461">
        <v>31.634768909643501</v>
      </c>
      <c r="J461">
        <v>0.97080381659869996</v>
      </c>
      <c r="K461" s="8">
        <v>15.3467391691077</v>
      </c>
      <c r="L461" s="7">
        <v>34</v>
      </c>
      <c r="M461">
        <v>0.99806722005208304</v>
      </c>
      <c r="N461">
        <v>29.656067762732501</v>
      </c>
      <c r="O461">
        <v>0.97195161267902297</v>
      </c>
      <c r="P461">
        <v>15.520921040240401</v>
      </c>
      <c r="Q461">
        <v>33.113990425987602</v>
      </c>
      <c r="R461">
        <v>0.97898281048528002</v>
      </c>
      <c r="S461" s="1">
        <v>16.774253596614901</v>
      </c>
      <c r="T461" s="7"/>
      <c r="U461" s="1"/>
      <c r="V461" s="1"/>
      <c r="W461" s="8"/>
      <c r="X461" s="7"/>
      <c r="Y461" s="1"/>
      <c r="Z461" s="1"/>
      <c r="AA461" s="8"/>
      <c r="AB461" s="7">
        <v>32</v>
      </c>
      <c r="AC461">
        <v>1.7796834309895799</v>
      </c>
      <c r="AD461">
        <v>31.899669807410401</v>
      </c>
      <c r="AE461">
        <v>0.99000991615963496</v>
      </c>
      <c r="AF461">
        <v>20.004308670037599</v>
      </c>
      <c r="AG461">
        <v>34.961403485173399</v>
      </c>
      <c r="AH461">
        <v>0.99346864050290296</v>
      </c>
      <c r="AI461" s="1">
        <v>21.8499641127699</v>
      </c>
      <c r="AJ461" s="1">
        <v>7.41261887550354</v>
      </c>
      <c r="AK461" s="1">
        <v>3.7104732990264799</v>
      </c>
      <c r="AL461" s="7"/>
      <c r="AM461" s="1"/>
      <c r="AN461" s="1"/>
      <c r="AO461" s="8"/>
      <c r="AP461" s="1"/>
      <c r="AQ461" s="1"/>
      <c r="AR461" s="1"/>
      <c r="AS461" s="8"/>
      <c r="AT461" s="7">
        <v>0.64</v>
      </c>
      <c r="AU461">
        <v>0.96079508463541596</v>
      </c>
      <c r="AV461">
        <v>25.913214668078499</v>
      </c>
      <c r="AW461">
        <v>0.98835880711013901</v>
      </c>
      <c r="AX461">
        <v>19.340025146225699</v>
      </c>
      <c r="AY461">
        <v>30.2963838855866</v>
      </c>
      <c r="AZ461">
        <v>0.99032135527406295</v>
      </c>
      <c r="BA461" s="1">
        <v>20.1418545149888</v>
      </c>
      <c r="BB461" s="1">
        <v>9.8209352493286097</v>
      </c>
      <c r="BC461" s="1">
        <v>5.6627647876739502</v>
      </c>
      <c r="BD461" s="7"/>
      <c r="BE461" s="1"/>
      <c r="BF461" s="1"/>
      <c r="BG461" s="8"/>
      <c r="BH461" s="1"/>
      <c r="BI461" s="1"/>
      <c r="BJ461" s="1"/>
      <c r="BK461" s="8"/>
    </row>
    <row r="462" spans="1:63">
      <c r="A462" s="49"/>
      <c r="B462" s="7" t="s">
        <v>18</v>
      </c>
      <c r="C462" s="17">
        <v>0.5</v>
      </c>
      <c r="D462" s="7">
        <v>41</v>
      </c>
      <c r="E462">
        <v>0.48116048177083298</v>
      </c>
      <c r="F462">
        <v>25.368810786531501</v>
      </c>
      <c r="G462">
        <v>0.91693573910477799</v>
      </c>
      <c r="H462">
        <v>10.8058579492346</v>
      </c>
      <c r="I462">
        <v>28.906983518824401</v>
      </c>
      <c r="J462">
        <v>0.92954678041023298</v>
      </c>
      <c r="K462" s="8">
        <v>11.520991555976201</v>
      </c>
      <c r="L462" s="7">
        <v>39</v>
      </c>
      <c r="M462">
        <v>0.47465006510416602</v>
      </c>
      <c r="N462">
        <v>26.027936410844099</v>
      </c>
      <c r="O462">
        <v>0.928394716815506</v>
      </c>
      <c r="P462">
        <v>11.4505493337335</v>
      </c>
      <c r="Q462">
        <v>29.764930897452899</v>
      </c>
      <c r="R462">
        <v>0.93758684338627196</v>
      </c>
      <c r="S462" s="1">
        <v>12.047238519447401</v>
      </c>
      <c r="T462" s="7"/>
      <c r="U462" s="1"/>
      <c r="V462" s="1"/>
      <c r="W462" s="8"/>
      <c r="X462" s="7"/>
      <c r="Y462" s="1"/>
      <c r="Z462" s="1"/>
      <c r="AA462" s="8"/>
      <c r="AB462" s="7">
        <v>16</v>
      </c>
      <c r="AC462">
        <v>1.21051025390625</v>
      </c>
      <c r="AD462">
        <v>28.851866779328802</v>
      </c>
      <c r="AE462">
        <v>0.98115413499572401</v>
      </c>
      <c r="AF462">
        <v>17.247839241224501</v>
      </c>
      <c r="AG462">
        <v>32.233145224047298</v>
      </c>
      <c r="AH462">
        <v>0.98635117940952999</v>
      </c>
      <c r="AI462" s="1">
        <v>18.6490487486356</v>
      </c>
      <c r="AJ462" s="1">
        <v>6.3241586685180602</v>
      </c>
      <c r="AK462" s="1">
        <v>3.4007091522216699</v>
      </c>
      <c r="AL462" s="7"/>
      <c r="AM462" s="1"/>
      <c r="AN462" s="1"/>
      <c r="AO462" s="8"/>
      <c r="AP462" s="1"/>
      <c r="AQ462" s="1"/>
      <c r="AR462" s="1"/>
      <c r="AS462" s="8"/>
      <c r="AT462" s="7">
        <v>0.32</v>
      </c>
      <c r="AU462">
        <v>0.68963623046875</v>
      </c>
      <c r="AV462">
        <v>24.410309798495</v>
      </c>
      <c r="AW462">
        <v>0.98132781268196401</v>
      </c>
      <c r="AX462">
        <v>17.288048044659401</v>
      </c>
      <c r="AY462">
        <v>28.920188397882001</v>
      </c>
      <c r="AZ462">
        <v>0.98411111263295703</v>
      </c>
      <c r="BA462" s="1">
        <v>17.989065135712298</v>
      </c>
      <c r="BB462" s="1">
        <v>9.2005932331085205</v>
      </c>
      <c r="BC462" s="1">
        <v>6.1162438392639098</v>
      </c>
      <c r="BD462" s="7"/>
      <c r="BE462" s="1"/>
      <c r="BF462" s="1"/>
      <c r="BG462" s="8"/>
      <c r="BH462" s="1"/>
      <c r="BI462" s="1"/>
      <c r="BJ462" s="1"/>
      <c r="BK462" s="8"/>
    </row>
    <row r="463" spans="1:63">
      <c r="A463" s="49"/>
      <c r="B463" s="7" t="s">
        <v>18</v>
      </c>
      <c r="C463" s="17">
        <v>0.25</v>
      </c>
      <c r="D463" s="7">
        <v>45</v>
      </c>
      <c r="E463">
        <v>0.22757975260416599</v>
      </c>
      <c r="F463">
        <v>23.008705535170002</v>
      </c>
      <c r="G463">
        <v>0.85304751238417897</v>
      </c>
      <c r="H463">
        <v>8.3282305778000598</v>
      </c>
      <c r="I463">
        <v>26.7126421883505</v>
      </c>
      <c r="J463">
        <v>0.86400936291359698</v>
      </c>
      <c r="K463" s="8">
        <v>8.6649099164218697</v>
      </c>
      <c r="L463" s="7">
        <v>43</v>
      </c>
      <c r="M463">
        <v>0.23191324869791599</v>
      </c>
      <c r="N463">
        <v>23.635444311449099</v>
      </c>
      <c r="O463">
        <v>0.86781349098971095</v>
      </c>
      <c r="P463">
        <v>8.7881286679716908</v>
      </c>
      <c r="Q463">
        <v>27.573604975292199</v>
      </c>
      <c r="R463">
        <v>0.87589646443816005</v>
      </c>
      <c r="S463" s="1">
        <v>9.0621584579276799</v>
      </c>
      <c r="T463" s="7"/>
      <c r="U463" s="1"/>
      <c r="V463" s="1"/>
      <c r="W463" s="8"/>
      <c r="X463" s="7"/>
      <c r="Y463" s="1"/>
      <c r="Z463" s="1"/>
      <c r="AA463" s="8"/>
      <c r="AB463" s="7">
        <v>8</v>
      </c>
      <c r="AC463">
        <v>0.77077229817708304</v>
      </c>
      <c r="AD463">
        <v>26.5340865654242</v>
      </c>
      <c r="AE463">
        <v>0.96681561435394903</v>
      </c>
      <c r="AF463">
        <v>14.7906621819068</v>
      </c>
      <c r="AG463">
        <v>30.280624648819298</v>
      </c>
      <c r="AH463">
        <v>0.97279863057345595</v>
      </c>
      <c r="AI463" s="1">
        <v>15.654092312812301</v>
      </c>
      <c r="AJ463" s="1">
        <v>6.1298873424530003</v>
      </c>
      <c r="AK463" s="1">
        <v>3.8952717781066801</v>
      </c>
      <c r="AL463" s="7"/>
      <c r="AM463" s="1"/>
      <c r="AN463" s="1"/>
      <c r="AO463" s="8"/>
      <c r="AP463" s="1"/>
      <c r="AQ463" s="1"/>
      <c r="AR463" s="1"/>
      <c r="AS463" s="8"/>
      <c r="AT463" s="7">
        <v>0.16</v>
      </c>
      <c r="AU463">
        <v>0.51999918619791596</v>
      </c>
      <c r="AV463">
        <v>23.578770106660901</v>
      </c>
      <c r="AW463">
        <v>0.97271027128679699</v>
      </c>
      <c r="AX463">
        <v>15.6400078162378</v>
      </c>
      <c r="AY463">
        <v>28.007977641145398</v>
      </c>
      <c r="AZ463">
        <v>0.97640752673626796</v>
      </c>
      <c r="BA463" s="1">
        <v>16.272265284451699</v>
      </c>
      <c r="BB463" s="1">
        <v>6.5993947982787997</v>
      </c>
      <c r="BC463" s="1">
        <v>4.42964267730712</v>
      </c>
      <c r="BD463" s="7"/>
      <c r="BE463" s="1"/>
      <c r="BF463" s="1"/>
      <c r="BG463" s="8"/>
      <c r="BH463" s="1"/>
      <c r="BI463" s="1"/>
      <c r="BJ463" s="1"/>
      <c r="BK463" s="8"/>
    </row>
    <row r="464" spans="1:63">
      <c r="A464" s="49"/>
      <c r="B464" s="7" t="s">
        <v>18</v>
      </c>
      <c r="C464" s="17">
        <v>0.12</v>
      </c>
      <c r="D464" s="7">
        <v>48</v>
      </c>
      <c r="E464">
        <v>0.11883544921875</v>
      </c>
      <c r="F464">
        <v>21.537024402349498</v>
      </c>
      <c r="G464">
        <v>0.79190493479558899</v>
      </c>
      <c r="H464">
        <v>6.8173821858657204</v>
      </c>
      <c r="I464">
        <v>25.403039421635299</v>
      </c>
      <c r="J464">
        <v>0.80073736833977605</v>
      </c>
      <c r="K464" s="8">
        <v>7.00574138255819</v>
      </c>
      <c r="L464" s="7">
        <v>47</v>
      </c>
      <c r="M464">
        <v>0.1029052734375</v>
      </c>
      <c r="N464">
        <v>21.641769343581299</v>
      </c>
      <c r="O464">
        <v>0.79221061509916302</v>
      </c>
      <c r="P464">
        <v>6.8237664251870802</v>
      </c>
      <c r="Q464">
        <v>25.6977897359351</v>
      </c>
      <c r="R464">
        <v>0.79821835872818203</v>
      </c>
      <c r="S464" s="1">
        <v>6.95118349779196</v>
      </c>
      <c r="T464" s="7"/>
      <c r="U464" s="1"/>
      <c r="V464" s="1"/>
      <c r="W464" s="8"/>
      <c r="X464" s="7"/>
      <c r="Y464" s="1"/>
      <c r="Z464" s="1"/>
      <c r="AA464" s="8"/>
      <c r="AB464" s="7">
        <v>4</v>
      </c>
      <c r="AC464">
        <v>0.46010335286458298</v>
      </c>
      <c r="AD464">
        <v>24.459363502973101</v>
      </c>
      <c r="AE464">
        <v>0.93952044689356395</v>
      </c>
      <c r="AF464">
        <v>12.183914265697799</v>
      </c>
      <c r="AG464">
        <v>28.426576131735899</v>
      </c>
      <c r="AH464">
        <v>0.94675941541682196</v>
      </c>
      <c r="AI464" s="1">
        <v>12.7375718460505</v>
      </c>
      <c r="AJ464" s="1">
        <v>7.2544984817504803</v>
      </c>
      <c r="AK464" s="1">
        <v>4.96083307266235</v>
      </c>
      <c r="AL464" s="7"/>
      <c r="AM464" s="1"/>
      <c r="AN464" s="1"/>
      <c r="AO464" s="8"/>
      <c r="AP464" s="1"/>
      <c r="AQ464" s="1"/>
      <c r="AR464" s="1"/>
      <c r="AS464" s="8"/>
      <c r="AT464" s="7">
        <v>0.08</v>
      </c>
      <c r="AU464">
        <v>0.37868245442708298</v>
      </c>
      <c r="AV464">
        <v>22.9610604415567</v>
      </c>
      <c r="AW464">
        <v>0.95814047431828198</v>
      </c>
      <c r="AX464">
        <v>13.782056970431899</v>
      </c>
      <c r="AY464">
        <v>27.296818407286199</v>
      </c>
      <c r="AZ464">
        <v>0.96311212142357205</v>
      </c>
      <c r="BA464" s="1">
        <v>14.331163203504</v>
      </c>
      <c r="BB464" s="1">
        <v>5.6119031906127903</v>
      </c>
      <c r="BC464" s="1">
        <v>3.6354215145111</v>
      </c>
      <c r="BD464" s="7"/>
      <c r="BE464" s="1"/>
      <c r="BF464" s="1"/>
      <c r="BG464" s="8"/>
      <c r="BH464" s="1"/>
      <c r="BI464" s="1"/>
      <c r="BJ464" s="1"/>
      <c r="BK464" s="8"/>
    </row>
    <row r="465" spans="1:63">
      <c r="A465" s="49"/>
      <c r="B465" s="7" t="s">
        <v>18</v>
      </c>
      <c r="C465" s="17">
        <v>0.06</v>
      </c>
      <c r="D465" s="7">
        <v>51</v>
      </c>
      <c r="E465">
        <v>5.8146158854166602E-2</v>
      </c>
      <c r="F465">
        <v>20.305484275403501</v>
      </c>
      <c r="G465">
        <v>0.71922255957757597</v>
      </c>
      <c r="H465">
        <v>5.5163778932586496</v>
      </c>
      <c r="I465">
        <v>24.254871355246799</v>
      </c>
      <c r="J465">
        <v>0.72379618788169897</v>
      </c>
      <c r="K465" s="8">
        <v>5.5877033165703498</v>
      </c>
      <c r="L465" s="7">
        <v>50</v>
      </c>
      <c r="M465">
        <v>4.96826171875E-2</v>
      </c>
      <c r="N465">
        <v>20.350617994462301</v>
      </c>
      <c r="O465">
        <v>0.71215396458095603</v>
      </c>
      <c r="P465">
        <v>5.4083974782249902</v>
      </c>
      <c r="Q465">
        <v>24.446343445437002</v>
      </c>
      <c r="R465">
        <v>0.71392616167711298</v>
      </c>
      <c r="S465" s="1">
        <v>5.4352185695013002</v>
      </c>
      <c r="T465" s="7"/>
      <c r="U465" s="1"/>
      <c r="V465" s="1"/>
      <c r="W465" s="8"/>
      <c r="X465" s="7"/>
      <c r="Y465" s="1"/>
      <c r="Z465" s="1"/>
      <c r="AA465" s="8"/>
      <c r="AB465" s="7">
        <v>2</v>
      </c>
      <c r="AC465">
        <v>0.25185139973958298</v>
      </c>
      <c r="AD465">
        <v>22.882526904611002</v>
      </c>
      <c r="AE465">
        <v>0.89693231427618403</v>
      </c>
      <c r="AF465">
        <v>9.8687747546908806</v>
      </c>
      <c r="AG465">
        <v>27.0166369175329</v>
      </c>
      <c r="AH465">
        <v>0.90455728701073901</v>
      </c>
      <c r="AI465" s="1">
        <v>10.2025722420444</v>
      </c>
      <c r="AJ465" s="1">
        <v>6.8567299842834402</v>
      </c>
      <c r="AK465" s="1">
        <v>5.4041979312896702</v>
      </c>
      <c r="AL465" s="7"/>
      <c r="AM465" s="1"/>
      <c r="AN465" s="1"/>
      <c r="AO465" s="8"/>
      <c r="AP465" s="1"/>
      <c r="AQ465" s="1"/>
      <c r="AR465" s="1"/>
      <c r="AS465" s="8"/>
      <c r="AT465" s="7">
        <v>0.04</v>
      </c>
      <c r="AU465">
        <v>0.23284912109375</v>
      </c>
      <c r="AV465">
        <v>21.9762199813911</v>
      </c>
      <c r="AW465">
        <v>0.926623577676702</v>
      </c>
      <c r="AX465">
        <v>11.344434673297</v>
      </c>
      <c r="AY465">
        <v>26.257615047692301</v>
      </c>
      <c r="AZ465">
        <v>0.93339433258052795</v>
      </c>
      <c r="BA465" s="1">
        <v>11.764888155101101</v>
      </c>
      <c r="BB465" s="1">
        <v>6.3309223651885898</v>
      </c>
      <c r="BC465" s="1">
        <v>4.3150601387023899</v>
      </c>
      <c r="BD465" s="7"/>
      <c r="BE465" s="1"/>
      <c r="BF465" s="1"/>
      <c r="BG465" s="8"/>
      <c r="BH465" s="1"/>
      <c r="BI465" s="1"/>
      <c r="BJ465" s="1"/>
      <c r="BK465" s="8"/>
    </row>
    <row r="466" spans="1:63">
      <c r="A466" s="49"/>
      <c r="B466" s="7" t="s">
        <v>99</v>
      </c>
      <c r="C466" s="17">
        <v>1.5</v>
      </c>
      <c r="D466" s="7">
        <v>29</v>
      </c>
      <c r="E466">
        <v>1.3580118815104101</v>
      </c>
      <c r="F466">
        <v>35.713075068775503</v>
      </c>
      <c r="G466">
        <v>0.98900625873831105</v>
      </c>
      <c r="H466">
        <v>19.588544883947701</v>
      </c>
      <c r="I466">
        <v>38.797404570503197</v>
      </c>
      <c r="J466">
        <v>0.99243728524589103</v>
      </c>
      <c r="K466" s="8">
        <v>21.213222797510401</v>
      </c>
      <c r="L466" s="7">
        <v>26</v>
      </c>
      <c r="M466">
        <v>1.3766886393229101</v>
      </c>
      <c r="N466">
        <v>37.071093702385603</v>
      </c>
      <c r="O466">
        <v>0.99179806409061999</v>
      </c>
      <c r="P466">
        <v>20.860836286490699</v>
      </c>
      <c r="Q466">
        <v>40.235632770475704</v>
      </c>
      <c r="R466">
        <v>0.99434894905617699</v>
      </c>
      <c r="S466" s="1">
        <v>22.478707775505899</v>
      </c>
      <c r="T466" s="13">
        <f>bdrate(E466:E469,F466:F469,M466:M469,N466:N469)</f>
        <v>-0.20325757475342154</v>
      </c>
      <c r="U466" s="12">
        <f>bdrate(E466:E469,H466:H469,M466:M469,P466:P469)</f>
        <v>-0.1704417695758994</v>
      </c>
      <c r="V466" s="12">
        <f>bdrate(E466:E469,I466:I469,M466:M469,Q466:Q469)</f>
        <v>-0.22536243928614241</v>
      </c>
      <c r="W466" s="14">
        <f>bdrate(E466:E469,K466:K469,M466:M469,S466:S469)</f>
        <v>-0.14153563792211321</v>
      </c>
      <c r="X466" s="13">
        <f>bdrate(E468:E471,F468:F471,M468:M471,N468:N471)</f>
        <v>-0.23274267709447416</v>
      </c>
      <c r="Y466" s="12">
        <f>bdrate(E468:E471,H468:H471,M468:M471,P468:P471)</f>
        <v>-0.17324306615849216</v>
      </c>
      <c r="Z466" s="12">
        <f>bdrate(E468:E471,I468:I471,M468:M471,Q468:Q471)</f>
        <v>-0.26766069622994126</v>
      </c>
      <c r="AA466" s="14">
        <f>bdrate(E468:E471,K468:K471,M468:M471,S468:S471)</f>
        <v>-0.14895782925820567</v>
      </c>
      <c r="AB466" s="7">
        <v>64</v>
      </c>
      <c r="AC466">
        <v>1.5928751627604101</v>
      </c>
      <c r="AD466">
        <v>37.541725252216096</v>
      </c>
      <c r="AE466">
        <v>0.99468756177117001</v>
      </c>
      <c r="AF466">
        <v>22.747061067363301</v>
      </c>
      <c r="AG466">
        <v>40.420000957288302</v>
      </c>
      <c r="AH466">
        <v>0.99624029682588999</v>
      </c>
      <c r="AI466" s="1">
        <v>24.248464409592501</v>
      </c>
      <c r="AJ466" s="1">
        <v>7.9909143447875897</v>
      </c>
      <c r="AK466" s="1">
        <v>3.8031764030456499</v>
      </c>
      <c r="AL466" s="13">
        <f>bdrate(E466:E469,F466:F469,AC466:AC469,AD466:AD469)</f>
        <v>-0.10730655249752852</v>
      </c>
      <c r="AM466" s="12">
        <f>bdrate(E466:E469,H466:H469,AC466:AC469,AF466:AF469)</f>
        <v>-0.27078159964536819</v>
      </c>
      <c r="AN466" s="12">
        <f>bdrate(E466:E469,I466:I469,AC466:AC469,AG466:AG469)</f>
        <v>-9.1625274993015315E-2</v>
      </c>
      <c r="AO466" s="14">
        <f>bdrate(E466:E469,K466:K469,AC466:AC469,AI466:AI469)</f>
        <v>-0.22237895964108345</v>
      </c>
      <c r="AP466" s="12">
        <f>bdrate(E468:E471,F468:F471,AC468:AC471,AD468:AD471)</f>
        <v>-0.13174819847455288</v>
      </c>
      <c r="AQ466" s="12">
        <f>bdrate(E468:E471,H468:H471,AC468:AC471,AF468:AF471)</f>
        <v>-0.3106142662152287</v>
      </c>
      <c r="AR466" s="12">
        <f>bdrate(E468:E471,I468:I471,AC468:AC471,AG468:AG471)</f>
        <v>-0.11353826309340798</v>
      </c>
      <c r="AS466" s="14">
        <f>bdrate(E468:E471,K468:K471,AC468:AC471,AI468:AI471)</f>
        <v>-0.29922330147876131</v>
      </c>
      <c r="AT466" s="7">
        <v>3.2</v>
      </c>
      <c r="AU466">
        <v>1.5844930013020799</v>
      </c>
      <c r="AV466">
        <v>34.985349372174397</v>
      </c>
      <c r="AW466">
        <v>0.99712811992818295</v>
      </c>
      <c r="AX466">
        <v>25.4183369995757</v>
      </c>
      <c r="AY466">
        <v>38.080238992879501</v>
      </c>
      <c r="AZ466">
        <v>0.99778311004779197</v>
      </c>
      <c r="BA466" s="1">
        <v>26.5425586499783</v>
      </c>
      <c r="BB466" s="1">
        <v>62.909970760345402</v>
      </c>
      <c r="BC466" s="1">
        <v>18.592693328857401</v>
      </c>
      <c r="BD466" s="13">
        <f>bdrate(E466:E469,F466:F469,AU466:AU469,AV466:AV469)</f>
        <v>0.42981470742536221</v>
      </c>
      <c r="BE466" s="12">
        <f>bdrate(E466:E469,H466:H469,AU466:AU469,AX466:AX469)</f>
        <v>-0.5058377614558931</v>
      </c>
      <c r="BF466" s="12">
        <f>bdrate(E466:E469,I466:I469,AU466:AU469,AY466:AY469)</f>
        <v>0.36596963442573971</v>
      </c>
      <c r="BG466" s="14">
        <f>bdrate(E466:E469,K466:K469,AU466:AU469,BA466:BA469)</f>
        <v>-0.45176156583517557</v>
      </c>
      <c r="BH466" s="12">
        <f>bdrate(E468:E471,F468:F471,AU468:AU471,AV468:AV471)</f>
        <v>0.32210310396248798</v>
      </c>
      <c r="BI466" s="12">
        <f>bdrate(E468:E471,H468:H471,AU468:AU471,AX468:AX471)</f>
        <v>-0.50058683986702968</v>
      </c>
      <c r="BJ466" s="12">
        <f>bdrate(E468:E471,I468:I471,AU468:AU471,AY468:AY471)</f>
        <v>0.29423495219055429</v>
      </c>
      <c r="BK466" s="14">
        <f>bdrate(E468:E471,K468:K471,AU468:AU471,BA468:BA471)</f>
        <v>-0.47255400463852526</v>
      </c>
    </row>
    <row r="467" spans="1:63">
      <c r="A467" s="49"/>
      <c r="B467" s="7" t="s">
        <v>18</v>
      </c>
      <c r="C467" s="17">
        <v>1</v>
      </c>
      <c r="D467" s="7">
        <v>32</v>
      </c>
      <c r="E467">
        <v>0.9503173828125</v>
      </c>
      <c r="F467">
        <v>33.4449752707771</v>
      </c>
      <c r="G467">
        <v>0.98139541249876805</v>
      </c>
      <c r="H467">
        <v>17.303799546628699</v>
      </c>
      <c r="I467">
        <v>36.544371732117902</v>
      </c>
      <c r="J467">
        <v>0.98615218297056795</v>
      </c>
      <c r="K467" s="8">
        <v>18.5861868340772</v>
      </c>
      <c r="L467" s="7">
        <v>29</v>
      </c>
      <c r="M467">
        <v>0.98647054036458304</v>
      </c>
      <c r="N467">
        <v>34.8742148529819</v>
      </c>
      <c r="O467">
        <v>0.98639246596315999</v>
      </c>
      <c r="P467">
        <v>18.662205706986999</v>
      </c>
      <c r="Q467">
        <v>38.051676747347301</v>
      </c>
      <c r="R467">
        <v>0.98973890559450395</v>
      </c>
      <c r="S467" s="1">
        <v>19.888063167173499</v>
      </c>
      <c r="T467" s="7"/>
      <c r="U467" s="1"/>
      <c r="V467" s="1"/>
      <c r="W467" s="8"/>
      <c r="X467" s="7"/>
      <c r="Y467" s="1"/>
      <c r="Z467" s="1"/>
      <c r="AA467" s="8"/>
      <c r="AB467" s="7">
        <v>32</v>
      </c>
      <c r="AC467">
        <v>1.1641845703125</v>
      </c>
      <c r="AD467">
        <v>35.473181288531102</v>
      </c>
      <c r="AE467">
        <v>0.99102272618044995</v>
      </c>
      <c r="AF467">
        <v>20.468555280185299</v>
      </c>
      <c r="AG467">
        <v>38.4003971572795</v>
      </c>
      <c r="AH467">
        <v>0.99318585442012397</v>
      </c>
      <c r="AI467" s="1">
        <v>21.665885922443501</v>
      </c>
      <c r="AJ467" s="1">
        <v>6.7504096031188903</v>
      </c>
      <c r="AK467" s="1">
        <v>3.5319240093231201</v>
      </c>
      <c r="AL467" s="7"/>
      <c r="AM467" s="1"/>
      <c r="AN467" s="1"/>
      <c r="AO467" s="8"/>
      <c r="AP467" s="1"/>
      <c r="AQ467" s="1"/>
      <c r="AR467" s="1"/>
      <c r="AS467" s="8"/>
      <c r="AT467" s="7">
        <v>1.28</v>
      </c>
      <c r="AU467">
        <v>1.0656941731770799</v>
      </c>
      <c r="AV467">
        <v>31.967043165794301</v>
      </c>
      <c r="AW467">
        <v>0.99437381915532697</v>
      </c>
      <c r="AX467">
        <v>22.4978631223813</v>
      </c>
      <c r="AY467">
        <v>35.336402941645801</v>
      </c>
      <c r="AZ467">
        <v>0.99544596519016704</v>
      </c>
      <c r="BA467" s="1">
        <v>23.416036540765401</v>
      </c>
      <c r="BB467" s="1">
        <v>10.549710273742599</v>
      </c>
      <c r="BC467" s="1">
        <v>4.7187535762786803</v>
      </c>
      <c r="BD467" s="7"/>
      <c r="BE467" s="1"/>
      <c r="BF467" s="1"/>
      <c r="BG467" s="8"/>
      <c r="BH467" s="1"/>
      <c r="BI467" s="1"/>
      <c r="BJ467" s="1"/>
      <c r="BK467" s="8"/>
    </row>
    <row r="468" spans="1:63">
      <c r="A468" s="49"/>
      <c r="B468" s="7" t="s">
        <v>18</v>
      </c>
      <c r="C468" s="17">
        <v>0.5</v>
      </c>
      <c r="D468" s="7">
        <v>37</v>
      </c>
      <c r="E468">
        <v>0.47841389973958298</v>
      </c>
      <c r="F468">
        <v>29.921249022227201</v>
      </c>
      <c r="G468">
        <v>0.95704884360269504</v>
      </c>
      <c r="H468">
        <v>13.670251389291799</v>
      </c>
      <c r="I468">
        <v>33.067460105449101</v>
      </c>
      <c r="J468">
        <v>0.96477472328785496</v>
      </c>
      <c r="K468" s="8">
        <v>14.531455866050999</v>
      </c>
      <c r="L468" s="7">
        <v>35</v>
      </c>
      <c r="M468">
        <v>0.44991048177083298</v>
      </c>
      <c r="N468">
        <v>30.748240718598499</v>
      </c>
      <c r="O468">
        <v>0.96269110136518299</v>
      </c>
      <c r="P468">
        <v>14.281875712186601</v>
      </c>
      <c r="Q468">
        <v>34.043054899413299</v>
      </c>
      <c r="R468">
        <v>0.96851533818142499</v>
      </c>
      <c r="S468" s="1">
        <v>15.0190096715835</v>
      </c>
      <c r="T468" s="7"/>
      <c r="U468" s="1"/>
      <c r="V468" s="1"/>
      <c r="W468" s="8"/>
      <c r="X468" s="7"/>
      <c r="Y468" s="1"/>
      <c r="Z468" s="1"/>
      <c r="AA468" s="8"/>
      <c r="AB468" s="7">
        <v>16</v>
      </c>
      <c r="AC468">
        <v>0.78790283203125</v>
      </c>
      <c r="AD468">
        <v>32.945796748080397</v>
      </c>
      <c r="AE468">
        <v>0.98448166146340799</v>
      </c>
      <c r="AF468">
        <v>18.091547781174999</v>
      </c>
      <c r="AG468">
        <v>35.960377973205198</v>
      </c>
      <c r="AH468">
        <v>0.98753513987803099</v>
      </c>
      <c r="AI468" s="1">
        <v>19.043125906939299</v>
      </c>
      <c r="AJ468" s="1">
        <v>6.7205069065093896</v>
      </c>
      <c r="AK468" s="1">
        <v>3.87350273132324</v>
      </c>
      <c r="AL468" s="7"/>
      <c r="AM468" s="1"/>
      <c r="AN468" s="1"/>
      <c r="AO468" s="8"/>
      <c r="AP468" s="1"/>
      <c r="AQ468" s="1"/>
      <c r="AR468" s="1"/>
      <c r="AS468" s="8"/>
      <c r="AT468" s="7">
        <v>0.32</v>
      </c>
      <c r="AU468">
        <v>0.58559163411458304</v>
      </c>
      <c r="AV468">
        <v>29.1830446035877</v>
      </c>
      <c r="AW468">
        <v>0.986453655327859</v>
      </c>
      <c r="AX468">
        <v>18.681778784340299</v>
      </c>
      <c r="AY468">
        <v>32.608599562544697</v>
      </c>
      <c r="AZ468">
        <v>0.98855931599397795</v>
      </c>
      <c r="BA468" s="1">
        <v>19.415480095324501</v>
      </c>
      <c r="BB468" s="1">
        <v>9.5925960540771396</v>
      </c>
      <c r="BC468" s="1">
        <v>6.1308665275573704</v>
      </c>
      <c r="BD468" s="7"/>
      <c r="BE468" s="1"/>
      <c r="BF468" s="1"/>
      <c r="BG468" s="8"/>
      <c r="BH468" s="1"/>
      <c r="BI468" s="1"/>
      <c r="BJ468" s="1"/>
      <c r="BK468" s="8"/>
    </row>
    <row r="469" spans="1:63">
      <c r="A469" s="49"/>
      <c r="B469" s="7" t="s">
        <v>18</v>
      </c>
      <c r="C469" s="17">
        <v>0.25</v>
      </c>
      <c r="D469" s="7">
        <v>42</v>
      </c>
      <c r="E469">
        <v>0.21659342447916599</v>
      </c>
      <c r="F469">
        <v>26.947578395351702</v>
      </c>
      <c r="G469">
        <v>0.90758233924980503</v>
      </c>
      <c r="H469">
        <v>10.3424502841782</v>
      </c>
      <c r="I469">
        <v>30.1031394972774</v>
      </c>
      <c r="J469">
        <v>0.91989741130857405</v>
      </c>
      <c r="K469" s="8">
        <v>10.963534485070801</v>
      </c>
      <c r="L469" s="7">
        <v>39</v>
      </c>
      <c r="M469">
        <v>0.24684651692708301</v>
      </c>
      <c r="N469">
        <v>28.3251459533946</v>
      </c>
      <c r="O469">
        <v>0.93048134400795501</v>
      </c>
      <c r="P469">
        <v>11.578986327170499</v>
      </c>
      <c r="Q469">
        <v>31.6581726352807</v>
      </c>
      <c r="R469">
        <v>0.93901254585799199</v>
      </c>
      <c r="S469" s="1">
        <v>12.147594954364401</v>
      </c>
      <c r="T469" s="7"/>
      <c r="U469" s="1"/>
      <c r="V469" s="1"/>
      <c r="W469" s="8"/>
      <c r="X469" s="7"/>
      <c r="Y469" s="1"/>
      <c r="Z469" s="1"/>
      <c r="AA469" s="8"/>
      <c r="AB469" s="7">
        <v>8</v>
      </c>
      <c r="AC469">
        <v>0.52520751953125</v>
      </c>
      <c r="AD469">
        <v>31.013808147192801</v>
      </c>
      <c r="AE469">
        <v>0.97351382625268001</v>
      </c>
      <c r="AF469">
        <v>15.7698077633649</v>
      </c>
      <c r="AG469">
        <v>34.1062411406716</v>
      </c>
      <c r="AH469">
        <v>0.97787035890616703</v>
      </c>
      <c r="AI469" s="1">
        <v>16.550256295536201</v>
      </c>
      <c r="AJ469" s="1">
        <v>5.9510781764984104</v>
      </c>
      <c r="AK469" s="1">
        <v>3.5008060932159402</v>
      </c>
      <c r="AL469" s="7"/>
      <c r="AM469" s="1"/>
      <c r="AN469" s="1"/>
      <c r="AO469" s="8"/>
      <c r="AP469" s="1"/>
      <c r="AQ469" s="1"/>
      <c r="AR469" s="1"/>
      <c r="AS469" s="8"/>
      <c r="AT469" s="7">
        <v>0.16</v>
      </c>
      <c r="AU469">
        <v>0.42148844401041602</v>
      </c>
      <c r="AV469">
        <v>28.215827385835802</v>
      </c>
      <c r="AW469">
        <v>0.97834909049109597</v>
      </c>
      <c r="AX469">
        <v>16.6452385513502</v>
      </c>
      <c r="AY469">
        <v>31.515510157960598</v>
      </c>
      <c r="AZ469">
        <v>0.98147121888285305</v>
      </c>
      <c r="BA469" s="1">
        <v>17.321531490301599</v>
      </c>
      <c r="BB469" s="1">
        <v>6.9506456851959202</v>
      </c>
      <c r="BC469" s="1">
        <v>3.9699254035949698</v>
      </c>
      <c r="BD469" s="7"/>
      <c r="BE469" s="1"/>
      <c r="BF469" s="1"/>
      <c r="BG469" s="8"/>
      <c r="BH469" s="1"/>
      <c r="BI469" s="1"/>
      <c r="BJ469" s="1"/>
      <c r="BK469" s="8"/>
    </row>
    <row r="470" spans="1:63">
      <c r="A470" s="49"/>
      <c r="B470" s="7" t="s">
        <v>18</v>
      </c>
      <c r="C470" s="17">
        <v>0.12</v>
      </c>
      <c r="D470" s="7">
        <v>46</v>
      </c>
      <c r="E470">
        <v>0.11212158203125</v>
      </c>
      <c r="F470">
        <v>24.967119491520901</v>
      </c>
      <c r="G470">
        <v>0.851162698594779</v>
      </c>
      <c r="H470">
        <v>8.2728821284726699</v>
      </c>
      <c r="I470">
        <v>28.079502999850199</v>
      </c>
      <c r="J470">
        <v>0.86831814967125898</v>
      </c>
      <c r="K470" s="8">
        <v>8.8047407959599298</v>
      </c>
      <c r="L470" s="7">
        <v>44</v>
      </c>
      <c r="M470">
        <v>0.112141927083333</v>
      </c>
      <c r="N470">
        <v>25.736910567245101</v>
      </c>
      <c r="O470">
        <v>0.86882706733884096</v>
      </c>
      <c r="P470">
        <v>8.8215577173359598</v>
      </c>
      <c r="Q470">
        <v>29.020815700171401</v>
      </c>
      <c r="R470">
        <v>0.88248325235704805</v>
      </c>
      <c r="S470" s="1">
        <v>9.2990023645082101</v>
      </c>
      <c r="T470" s="7"/>
      <c r="U470" s="1"/>
      <c r="V470" s="1"/>
      <c r="W470" s="8"/>
      <c r="X470" s="7"/>
      <c r="Y470" s="1"/>
      <c r="Z470" s="1"/>
      <c r="AA470" s="8"/>
      <c r="AB470" s="7">
        <v>4</v>
      </c>
      <c r="AC470">
        <v>0.33327229817708298</v>
      </c>
      <c r="AD470">
        <v>28.980973610142701</v>
      </c>
      <c r="AE470">
        <v>0.95586119695542304</v>
      </c>
      <c r="AF470">
        <v>13.551794482061601</v>
      </c>
      <c r="AG470">
        <v>32.065184297090603</v>
      </c>
      <c r="AH470">
        <v>0.96257961686604299</v>
      </c>
      <c r="AI470" s="1">
        <v>14.2689177022694</v>
      </c>
      <c r="AJ470" s="1">
        <v>7.5126929283142001</v>
      </c>
      <c r="AK470" s="1">
        <v>5.4783964157104403</v>
      </c>
      <c r="AL470" s="7"/>
      <c r="AM470" s="1"/>
      <c r="AN470" s="1"/>
      <c r="AO470" s="8"/>
      <c r="AP470" s="1"/>
      <c r="AQ470" s="1"/>
      <c r="AR470" s="1"/>
      <c r="AS470" s="8"/>
      <c r="AT470" s="7">
        <v>0.08</v>
      </c>
      <c r="AU470">
        <v>0.28977457682291602</v>
      </c>
      <c r="AV470">
        <v>27.041286565163599</v>
      </c>
      <c r="AW470">
        <v>0.96443515752464604</v>
      </c>
      <c r="AX470">
        <v>14.489791105493101</v>
      </c>
      <c r="AY470">
        <v>30.236301189421201</v>
      </c>
      <c r="AZ470">
        <v>0.96896712619666803</v>
      </c>
      <c r="BA470" s="1">
        <v>15.0817800465631</v>
      </c>
      <c r="BB470" s="1">
        <v>5.3997173309326101</v>
      </c>
      <c r="BC470" s="1">
        <v>3.4031112194061199</v>
      </c>
      <c r="BD470" s="7"/>
      <c r="BE470" s="1"/>
      <c r="BF470" s="1"/>
      <c r="BG470" s="8"/>
      <c r="BH470" s="1"/>
      <c r="BI470" s="1"/>
      <c r="BJ470" s="1"/>
      <c r="BK470" s="8"/>
    </row>
    <row r="471" spans="1:63">
      <c r="A471" s="49"/>
      <c r="B471" s="7" t="s">
        <v>18</v>
      </c>
      <c r="C471" s="17">
        <v>0.06</v>
      </c>
      <c r="D471" s="7">
        <v>50</v>
      </c>
      <c r="E471">
        <v>5.5562337239583301E-2</v>
      </c>
      <c r="F471">
        <v>23.219570837801101</v>
      </c>
      <c r="G471">
        <v>0.77496871771237996</v>
      </c>
      <c r="H471">
        <v>6.4775710508617399</v>
      </c>
      <c r="I471">
        <v>26.2443922873925</v>
      </c>
      <c r="J471">
        <v>0.79886623870374995</v>
      </c>
      <c r="K471" s="8">
        <v>6.9651502480842504</v>
      </c>
      <c r="L471" s="7">
        <v>48</v>
      </c>
      <c r="M471">
        <v>5.8573404947916602E-2</v>
      </c>
      <c r="N471">
        <v>23.948730185050199</v>
      </c>
      <c r="O471">
        <v>0.80018831832023796</v>
      </c>
      <c r="P471">
        <v>6.9937912501516202</v>
      </c>
      <c r="Q471">
        <v>27.1226063325933</v>
      </c>
      <c r="R471">
        <v>0.81750240250079098</v>
      </c>
      <c r="S471" s="1">
        <v>7.3874284846616103</v>
      </c>
      <c r="T471" s="7"/>
      <c r="U471" s="1"/>
      <c r="V471" s="1"/>
      <c r="W471" s="8"/>
      <c r="X471" s="7"/>
      <c r="Y471" s="1"/>
      <c r="Z471" s="1"/>
      <c r="AA471" s="8"/>
      <c r="AB471" s="7">
        <v>2</v>
      </c>
      <c r="AC471">
        <v>0.19130452473958301</v>
      </c>
      <c r="AD471">
        <v>27.069110881902098</v>
      </c>
      <c r="AE471">
        <v>0.92760790042623398</v>
      </c>
      <c r="AF471">
        <v>11.403088274318099</v>
      </c>
      <c r="AG471">
        <v>30.139826201272399</v>
      </c>
      <c r="AH471">
        <v>0.93808101389769005</v>
      </c>
      <c r="AI471" s="1">
        <v>12.0817616365877</v>
      </c>
      <c r="AJ471" s="1">
        <v>9.2955083847045898</v>
      </c>
      <c r="AK471" s="1">
        <v>5.6309294700622496</v>
      </c>
      <c r="AL471" s="7"/>
      <c r="AM471" s="1"/>
      <c r="AN471" s="1"/>
      <c r="AO471" s="8"/>
      <c r="AP471" s="1"/>
      <c r="AQ471" s="1"/>
      <c r="AR471" s="1"/>
      <c r="AS471" s="8"/>
      <c r="AT471" s="7">
        <v>0.04</v>
      </c>
      <c r="AU471">
        <v>0.18292236328125</v>
      </c>
      <c r="AV471">
        <v>25.788381074378702</v>
      </c>
      <c r="AW471">
        <v>0.94349532522562196</v>
      </c>
      <c r="AX471">
        <v>12.4791562041541</v>
      </c>
      <c r="AY471">
        <v>28.8702392073948</v>
      </c>
      <c r="AZ471">
        <v>0.950095842730449</v>
      </c>
      <c r="BA471" s="1">
        <v>13.0186327393531</v>
      </c>
      <c r="BB471" s="1">
        <v>6.2350208759307799</v>
      </c>
      <c r="BC471" s="1">
        <v>4.3726928234100297</v>
      </c>
      <c r="BD471" s="7"/>
      <c r="BE471" s="1"/>
      <c r="BF471" s="1"/>
      <c r="BG471" s="8"/>
      <c r="BH471" s="1"/>
      <c r="BI471" s="1"/>
      <c r="BJ471" s="1"/>
      <c r="BK471" s="8"/>
    </row>
    <row r="472" spans="1:63">
      <c r="A472" s="49"/>
      <c r="B472" s="7" t="s">
        <v>100</v>
      </c>
      <c r="C472" s="17">
        <v>1.5</v>
      </c>
      <c r="D472" s="7">
        <v>22</v>
      </c>
      <c r="E472">
        <v>1.4704996744791601</v>
      </c>
      <c r="F472">
        <v>41.854692175571799</v>
      </c>
      <c r="G472">
        <v>0.99373733519494001</v>
      </c>
      <c r="H472">
        <v>22.0324083230451</v>
      </c>
      <c r="I472">
        <v>45.1691997151948</v>
      </c>
      <c r="J472">
        <v>0.99660613827219802</v>
      </c>
      <c r="K472" s="8">
        <v>24.693058556176901</v>
      </c>
      <c r="L472" s="7">
        <v>19</v>
      </c>
      <c r="M472">
        <v>1.4935506184895799</v>
      </c>
      <c r="N472">
        <v>42.688053668385301</v>
      </c>
      <c r="O472">
        <v>0.99462137622065405</v>
      </c>
      <c r="P472">
        <v>22.693288324179999</v>
      </c>
      <c r="Q472">
        <v>46.083922821077302</v>
      </c>
      <c r="R472">
        <v>0.99718060722381596</v>
      </c>
      <c r="S472" s="1">
        <v>25.498444173364</v>
      </c>
      <c r="T472" s="13">
        <f>bdrate(E472:E475,F472:F475,M472:M475,N472:N475)</f>
        <v>-0.18188935008247853</v>
      </c>
      <c r="U472" s="12">
        <f>bdrate(E472:E475,H472:H475,M472:M475,P472:P475)</f>
        <v>-0.1723823748437463</v>
      </c>
      <c r="V472" s="12">
        <f>bdrate(E472:E475,I472:I475,M472:M475,Q472:Q475)</f>
        <v>-0.17965374318990912</v>
      </c>
      <c r="W472" s="14">
        <f>bdrate(E472:E475,K472:K475,M472:M475,S472:S475)</f>
        <v>-0.13783896295968689</v>
      </c>
      <c r="X472" s="13">
        <f>bdrate(E474:E477,F474:F477,M474:M477,N474:N477)</f>
        <v>-0.26320123788132199</v>
      </c>
      <c r="Y472" s="12">
        <f>bdrate(E474:E477,H474:H477,M474:M477,P474:P477)</f>
        <v>-0.26676102260670131</v>
      </c>
      <c r="Z472" s="12">
        <f>bdrate(E474:E477,I474:I477,M474:M477,Q474:Q477)</f>
        <v>-0.26800136896790738</v>
      </c>
      <c r="AA472" s="14">
        <f>bdrate(E474:E477,K474:K477,M474:M477,S474:S477)</f>
        <v>-0.20824147001389437</v>
      </c>
      <c r="AB472" s="7">
        <v>256</v>
      </c>
      <c r="AC472">
        <v>1.66461181640625</v>
      </c>
      <c r="AD472">
        <v>42.923787929211201</v>
      </c>
      <c r="AE472">
        <v>0.99599553242925898</v>
      </c>
      <c r="AF472">
        <v>23.974552190206801</v>
      </c>
      <c r="AG472">
        <v>46.034038518412203</v>
      </c>
      <c r="AH472">
        <v>0.997751628699171</v>
      </c>
      <c r="AI472" s="1">
        <v>26.481319668639902</v>
      </c>
      <c r="AJ472" s="1">
        <v>20.410322189331001</v>
      </c>
      <c r="AK472" s="1">
        <v>10.7992496490478</v>
      </c>
      <c r="AL472" s="13">
        <f>bdrate(E472:E475,F472:F475,AC472:AC475,AD472:AD475)</f>
        <v>-5.6291022940707314E-2</v>
      </c>
      <c r="AM472" s="12">
        <f>bdrate(E472:E475,H472:H475,AC472:AC475,AF472:AF475)</f>
        <v>-0.23552495599247036</v>
      </c>
      <c r="AN472" s="12">
        <f>bdrate(E472:E475,I472:I475,AC472:AC475,AG472:AG475)</f>
        <v>-2.399939103627291E-2</v>
      </c>
      <c r="AO472" s="14">
        <f>bdrate(E472:E475,K472:K475,AC472:AC475,AI472:AI475)</f>
        <v>-0.16256752707004174</v>
      </c>
      <c r="AP472" s="12">
        <f>bdrate(E474:E477,F474:F477,AC474:AC477,AD474:AD477)</f>
        <v>-9.2940016843017337E-2</v>
      </c>
      <c r="AQ472" s="12">
        <f>bdrate(E474:E477,H474:H477,AC474:AC477,AF474:AF477)</f>
        <v>-0.31093811753910028</v>
      </c>
      <c r="AR472" s="12">
        <f>bdrate(E474:E477,I474:I477,AC474:AC477,AG474:AG477)</f>
        <v>-8.5980029045213735E-2</v>
      </c>
      <c r="AS472" s="14">
        <f>bdrate(E474:E477,K474:K477,AC474:AC477,AI474:AI477)</f>
        <v>-0.26378322006218802</v>
      </c>
      <c r="AT472" s="7">
        <v>6.4</v>
      </c>
      <c r="AU472">
        <v>1.63360595703125</v>
      </c>
      <c r="AV472">
        <v>39.124745191446401</v>
      </c>
      <c r="AW472">
        <v>0.99794134110622501</v>
      </c>
      <c r="AX472">
        <v>26.864156071573898</v>
      </c>
      <c r="AY472">
        <v>42.171165642160098</v>
      </c>
      <c r="AZ472">
        <v>0.99868000898843901</v>
      </c>
      <c r="BA472" s="1">
        <v>28.794290260994401</v>
      </c>
      <c r="BB472" s="1">
        <v>65.516998767852698</v>
      </c>
      <c r="BC472" s="1">
        <v>15.7058963775634</v>
      </c>
      <c r="BD472" s="13">
        <f>bdrate(E472:E475,F472:F475,AU472:AU475,AV472:AV475)</f>
        <v>1.1331279647018828</v>
      </c>
      <c r="BE472" s="12">
        <f>bdrate(E472:E475,H472:H475,AU472:AU475,AX472:AX475)</f>
        <v>-0.5434836104213514</v>
      </c>
      <c r="BF472" s="12">
        <f>bdrate(E472:E475,I472:I475,AU472:AU475,AY472:AY475)</f>
        <v>1.0808123118581872</v>
      </c>
      <c r="BG472" s="14">
        <f>bdrate(E472:E475,K472:K475,AU472:AU475,BA472:BA475)</f>
        <v>-0.47061753892911595</v>
      </c>
      <c r="BH472" s="12">
        <f>bdrate(E474:E477,F474:F477,AU474:AU477,AV474:AV477)</f>
        <v>1.448700812623092</v>
      </c>
      <c r="BI472" s="12">
        <f>bdrate(E474:E477,H474:H477,AU474:AU477,AX474:AX477)</f>
        <v>-0.55366259230930404</v>
      </c>
      <c r="BJ472" s="12">
        <f>bdrate(E474:E477,I474:I477,AU474:AU477,AY474:AY477)</f>
        <v>1.1713657136891023</v>
      </c>
      <c r="BK472" s="14">
        <f>bdrate(E474:E477,K474:K477,AU474:AU477,BA474:BA477)</f>
        <v>-0.51644505549396336</v>
      </c>
    </row>
    <row r="473" spans="1:63">
      <c r="A473" s="49"/>
      <c r="B473" s="7" t="s">
        <v>18</v>
      </c>
      <c r="C473" s="17">
        <v>1</v>
      </c>
      <c r="D473" s="7">
        <v>26</v>
      </c>
      <c r="E473">
        <v>0.93497721354166596</v>
      </c>
      <c r="F473">
        <v>39.263188493592502</v>
      </c>
      <c r="G473">
        <v>0.98966050490774604</v>
      </c>
      <c r="H473">
        <v>19.855006685923499</v>
      </c>
      <c r="I473">
        <v>42.448373291737497</v>
      </c>
      <c r="J473">
        <v>0.993738902906107</v>
      </c>
      <c r="K473" s="8">
        <v>22.033495613458602</v>
      </c>
      <c r="L473" s="7">
        <v>23</v>
      </c>
      <c r="M473">
        <v>0.9766845703125</v>
      </c>
      <c r="N473">
        <v>40.369487284302501</v>
      </c>
      <c r="O473">
        <v>0.99152575131988097</v>
      </c>
      <c r="P473">
        <v>20.718987956078099</v>
      </c>
      <c r="Q473">
        <v>43.5804706427827</v>
      </c>
      <c r="R473">
        <v>0.99496160272404799</v>
      </c>
      <c r="S473" s="1">
        <v>22.977075915120999</v>
      </c>
      <c r="T473" s="7"/>
      <c r="U473" s="1"/>
      <c r="V473" s="1"/>
      <c r="W473" s="8"/>
      <c r="X473" s="7"/>
      <c r="Y473" s="1"/>
      <c r="Z473" s="1"/>
      <c r="AA473" s="8"/>
      <c r="AB473" s="7">
        <v>64</v>
      </c>
      <c r="AC473">
        <v>0.86366780598958304</v>
      </c>
      <c r="AD473">
        <v>38.973063929887999</v>
      </c>
      <c r="AE473">
        <v>0.99123265244703695</v>
      </c>
      <c r="AF473">
        <v>20.571317769130001</v>
      </c>
      <c r="AG473">
        <v>41.9300377040014</v>
      </c>
      <c r="AH473">
        <v>0.99419575577293995</v>
      </c>
      <c r="AI473" s="1">
        <v>22.362543219006302</v>
      </c>
      <c r="AJ473" s="1">
        <v>7.6768307685851997</v>
      </c>
      <c r="AK473" s="1">
        <v>3.63599228858947</v>
      </c>
      <c r="AL473" s="7"/>
      <c r="AM473" s="1"/>
      <c r="AN473" s="1"/>
      <c r="AO473" s="8"/>
      <c r="AP473" s="1"/>
      <c r="AQ473" s="1"/>
      <c r="AR473" s="1"/>
      <c r="AS473" s="8"/>
      <c r="AT473" s="7">
        <v>3.2</v>
      </c>
      <c r="AU473">
        <v>1.2169392903645799</v>
      </c>
      <c r="AV473">
        <v>37.052514072013302</v>
      </c>
      <c r="AW473">
        <v>0.99694098156003397</v>
      </c>
      <c r="AX473">
        <v>25.144179050515199</v>
      </c>
      <c r="AY473">
        <v>40.2326943026615</v>
      </c>
      <c r="AZ473">
        <v>0.99797907950873299</v>
      </c>
      <c r="BA473" s="1">
        <v>26.9445077252308</v>
      </c>
      <c r="BB473" s="1">
        <v>76.677817583084106</v>
      </c>
      <c r="BC473" s="1">
        <v>18.121395111083899</v>
      </c>
      <c r="BD473" s="7"/>
      <c r="BE473" s="1"/>
      <c r="BF473" s="1"/>
      <c r="BG473" s="8"/>
      <c r="BH473" s="1"/>
      <c r="BI473" s="1"/>
      <c r="BJ473" s="1"/>
      <c r="BK473" s="8"/>
    </row>
    <row r="474" spans="1:63">
      <c r="A474" s="49"/>
      <c r="B474" s="7" t="s">
        <v>18</v>
      </c>
      <c r="C474" s="17">
        <v>0.5</v>
      </c>
      <c r="D474" s="7">
        <v>31</v>
      </c>
      <c r="E474">
        <v>0.49709065755208298</v>
      </c>
      <c r="F474">
        <v>36.090577721446699</v>
      </c>
      <c r="G474">
        <v>0.98065932774626097</v>
      </c>
      <c r="H474">
        <v>17.1352843454385</v>
      </c>
      <c r="I474">
        <v>39.212569065909797</v>
      </c>
      <c r="J474">
        <v>0.98660648730002198</v>
      </c>
      <c r="K474" s="8">
        <v>18.731055061733699</v>
      </c>
      <c r="L474" s="7">
        <v>29</v>
      </c>
      <c r="M474">
        <v>0.46219889322916602</v>
      </c>
      <c r="N474">
        <v>36.759888026013698</v>
      </c>
      <c r="O474">
        <v>0.98292321698702001</v>
      </c>
      <c r="P474">
        <v>17.6759393992924</v>
      </c>
      <c r="Q474">
        <v>39.875571344324101</v>
      </c>
      <c r="R474">
        <v>0.98779729735846999</v>
      </c>
      <c r="S474" s="1">
        <v>19.135439715946202</v>
      </c>
      <c r="T474" s="7"/>
      <c r="U474" s="1"/>
      <c r="V474" s="1"/>
      <c r="W474" s="8"/>
      <c r="X474" s="7"/>
      <c r="Y474" s="1"/>
      <c r="Z474" s="1"/>
      <c r="AA474" s="8"/>
      <c r="AB474" s="7">
        <v>32</v>
      </c>
      <c r="AC474">
        <v>0.58685302734375</v>
      </c>
      <c r="AD474">
        <v>37.2277216430655</v>
      </c>
      <c r="AE474">
        <v>0.98721984872724799</v>
      </c>
      <c r="AF474">
        <v>18.934640056038798</v>
      </c>
      <c r="AG474">
        <v>40.208628407941802</v>
      </c>
      <c r="AH474">
        <v>0.99089520505299999</v>
      </c>
      <c r="AI474" s="1">
        <v>20.4072983069162</v>
      </c>
      <c r="AJ474" s="1">
        <v>8.1176245212554896</v>
      </c>
      <c r="AK474" s="1">
        <v>3.4915699958801198</v>
      </c>
      <c r="AL474" s="7"/>
      <c r="AM474" s="1"/>
      <c r="AN474" s="1"/>
      <c r="AO474" s="8"/>
      <c r="AP474" s="1"/>
      <c r="AQ474" s="1"/>
      <c r="AR474" s="1"/>
      <c r="AS474" s="8"/>
      <c r="AT474" s="7">
        <v>0.64</v>
      </c>
      <c r="AU474">
        <v>0.50677490234375</v>
      </c>
      <c r="AV474">
        <v>32.272429703504301</v>
      </c>
      <c r="AW474">
        <v>0.99130868408314698</v>
      </c>
      <c r="AX474">
        <v>20.6091446380889</v>
      </c>
      <c r="AY474">
        <v>35.781145865389703</v>
      </c>
      <c r="AZ474">
        <v>0.99380901219843698</v>
      </c>
      <c r="BA474" s="1">
        <v>22.082400517001201</v>
      </c>
      <c r="BB474" s="1">
        <v>12.610659360885601</v>
      </c>
      <c r="BC474" s="1">
        <v>5.5589575767517001</v>
      </c>
      <c r="BD474" s="7"/>
      <c r="BE474" s="1"/>
      <c r="BF474" s="1"/>
      <c r="BG474" s="8"/>
      <c r="BH474" s="1"/>
      <c r="BI474" s="1"/>
      <c r="BJ474" s="1"/>
      <c r="BK474" s="8"/>
    </row>
    <row r="475" spans="1:63">
      <c r="A475" s="49"/>
      <c r="B475" s="7" t="s">
        <v>18</v>
      </c>
      <c r="C475" s="17">
        <v>0.25</v>
      </c>
      <c r="D475" s="7">
        <v>36</v>
      </c>
      <c r="E475">
        <v>0.23667399088541599</v>
      </c>
      <c r="F475">
        <v>33.0935946224999</v>
      </c>
      <c r="G475">
        <v>0.96363571946292303</v>
      </c>
      <c r="H475">
        <v>14.3932500047171</v>
      </c>
      <c r="I475">
        <v>36.205799109424198</v>
      </c>
      <c r="J475">
        <v>0.97211629824658996</v>
      </c>
      <c r="K475" s="8">
        <v>15.5464957116366</v>
      </c>
      <c r="L475" s="7">
        <v>34</v>
      </c>
      <c r="M475">
        <v>0.21830240885416599</v>
      </c>
      <c r="N475">
        <v>33.849767671197299</v>
      </c>
      <c r="O475">
        <v>0.96884048170440695</v>
      </c>
      <c r="P475">
        <v>15.064092648371799</v>
      </c>
      <c r="Q475">
        <v>36.992403058237898</v>
      </c>
      <c r="R475">
        <v>0.975074428278216</v>
      </c>
      <c r="S475" s="1">
        <v>16.0335487142078</v>
      </c>
      <c r="T475" s="7"/>
      <c r="U475" s="1"/>
      <c r="V475" s="1"/>
      <c r="W475" s="8"/>
      <c r="X475" s="7"/>
      <c r="Y475" s="1"/>
      <c r="Z475" s="1"/>
      <c r="AA475" s="8"/>
      <c r="AB475" s="7">
        <v>8</v>
      </c>
      <c r="AC475">
        <v>0.24017333984375</v>
      </c>
      <c r="AD475">
        <v>33.431412402738502</v>
      </c>
      <c r="AE475">
        <v>0.97254002253113603</v>
      </c>
      <c r="AF475">
        <v>15.612998234413</v>
      </c>
      <c r="AG475">
        <v>36.516259795104503</v>
      </c>
      <c r="AH475">
        <v>0.97863244132562599</v>
      </c>
      <c r="AI475" s="1">
        <v>16.702450948136899</v>
      </c>
      <c r="AJ475" s="1">
        <v>6.3205115795135498</v>
      </c>
      <c r="AK475" s="1">
        <v>3.3932566642761199</v>
      </c>
      <c r="AL475" s="7"/>
      <c r="AM475" s="1"/>
      <c r="AN475" s="1"/>
      <c r="AO475" s="8"/>
      <c r="AP475" s="1"/>
      <c r="AQ475" s="1"/>
      <c r="AR475" s="1"/>
      <c r="AS475" s="8"/>
      <c r="AT475" s="7">
        <v>0.16</v>
      </c>
      <c r="AU475">
        <v>0.23773193359375</v>
      </c>
      <c r="AV475">
        <v>30.152538329559501</v>
      </c>
      <c r="AW475">
        <v>0.98188293017189299</v>
      </c>
      <c r="AX475">
        <v>17.419120417799199</v>
      </c>
      <c r="AY475">
        <v>33.584799385655899</v>
      </c>
      <c r="AZ475">
        <v>0.98615504894417005</v>
      </c>
      <c r="BA475" s="1">
        <v>18.587085752178499</v>
      </c>
      <c r="BB475" s="1">
        <v>7.3056793212890598</v>
      </c>
      <c r="BC475" s="1">
        <v>4.4577035903930602</v>
      </c>
      <c r="BD475" s="7"/>
      <c r="BE475" s="1"/>
      <c r="BF475" s="1"/>
      <c r="BG475" s="8"/>
      <c r="BH475" s="1"/>
      <c r="BI475" s="1"/>
      <c r="BJ475" s="1"/>
      <c r="BK475" s="8"/>
    </row>
    <row r="476" spans="1:63">
      <c r="A476" s="49"/>
      <c r="B476" s="7" t="s">
        <v>18</v>
      </c>
      <c r="C476" s="17">
        <v>0.12</v>
      </c>
      <c r="D476" s="7">
        <v>41</v>
      </c>
      <c r="E476">
        <v>0.10107421875</v>
      </c>
      <c r="F476">
        <v>30.337717357769201</v>
      </c>
      <c r="G476">
        <v>0.93303561798673595</v>
      </c>
      <c r="H476">
        <v>11.7415613473534</v>
      </c>
      <c r="I476">
        <v>33.436067511750998</v>
      </c>
      <c r="J476">
        <v>0.94387371461664604</v>
      </c>
      <c r="K476" s="8">
        <v>12.5083369982371</v>
      </c>
      <c r="L476" s="7">
        <v>38</v>
      </c>
      <c r="M476">
        <v>0.11887613932291601</v>
      </c>
      <c r="N476">
        <v>31.855426007692198</v>
      </c>
      <c r="O476">
        <v>0.95257115328211595</v>
      </c>
      <c r="P476">
        <v>13.2395743554523</v>
      </c>
      <c r="Q476">
        <v>34.994671186685402</v>
      </c>
      <c r="R476">
        <v>0.95951612649081197</v>
      </c>
      <c r="S476" s="1">
        <v>13.927179407536199</v>
      </c>
      <c r="T476" s="7"/>
      <c r="U476" s="1"/>
      <c r="V476" s="1"/>
      <c r="W476" s="8"/>
      <c r="X476" s="7"/>
      <c r="Y476" s="1"/>
      <c r="Z476" s="1"/>
      <c r="AA476" s="8"/>
      <c r="AB476" s="7">
        <v>4</v>
      </c>
      <c r="AC476">
        <v>0.14760335286458301</v>
      </c>
      <c r="AD476">
        <v>31.937133783329202</v>
      </c>
      <c r="AE476">
        <v>0.96184260971690005</v>
      </c>
      <c r="AF476">
        <v>14.1842133586538</v>
      </c>
      <c r="AG476">
        <v>35.053745887037401</v>
      </c>
      <c r="AH476">
        <v>0.96877470813882605</v>
      </c>
      <c r="AI476" s="1">
        <v>15.0549349360699</v>
      </c>
      <c r="AJ476" s="1">
        <v>7.9736423492431596</v>
      </c>
      <c r="AK476" s="1">
        <v>5.4123430252075098</v>
      </c>
      <c r="AL476" s="7"/>
      <c r="AM476" s="1"/>
      <c r="AN476" s="1"/>
      <c r="AO476" s="8"/>
      <c r="AP476" s="1"/>
      <c r="AQ476" s="1"/>
      <c r="AR476" s="1"/>
      <c r="AS476" s="8"/>
      <c r="AT476" s="7">
        <v>0.08</v>
      </c>
      <c r="AU476">
        <v>0.15395100911458301</v>
      </c>
      <c r="AV476">
        <v>29.639032352509101</v>
      </c>
      <c r="AW476">
        <v>0.97299428739613902</v>
      </c>
      <c r="AX476">
        <v>15.685443584368</v>
      </c>
      <c r="AY476">
        <v>32.916262436476202</v>
      </c>
      <c r="AZ476">
        <v>0.97865318365429699</v>
      </c>
      <c r="BA476" s="1">
        <v>16.7066688628728</v>
      </c>
      <c r="BB476" s="1">
        <v>5.9831256866454998</v>
      </c>
      <c r="BC476" s="1">
        <v>3.9795854091644198</v>
      </c>
      <c r="BD476" s="7"/>
      <c r="BE476" s="1"/>
      <c r="BF476" s="1"/>
      <c r="BG476" s="8"/>
      <c r="BH476" s="1"/>
      <c r="BI476" s="1"/>
      <c r="BJ476" s="1"/>
      <c r="BK476" s="8"/>
    </row>
    <row r="477" spans="1:63">
      <c r="A477" s="49"/>
      <c r="B477" s="7" t="s">
        <v>18</v>
      </c>
      <c r="C477" s="17">
        <v>0.06</v>
      </c>
      <c r="D477" s="7">
        <v>45</v>
      </c>
      <c r="E477">
        <v>5.303955078125E-2</v>
      </c>
      <c r="F477">
        <v>28.612969771455798</v>
      </c>
      <c r="G477">
        <v>0.907693006119622</v>
      </c>
      <c r="H477">
        <v>10.347653922721999</v>
      </c>
      <c r="I477">
        <v>31.680535283046101</v>
      </c>
      <c r="J477">
        <v>0.92278669419923398</v>
      </c>
      <c r="K477" s="8">
        <v>11.1230785331816</v>
      </c>
      <c r="L477" s="7">
        <v>43</v>
      </c>
      <c r="M477">
        <v>5.3792317708333301E-2</v>
      </c>
      <c r="N477">
        <v>29.596065254184801</v>
      </c>
      <c r="O477">
        <v>0.92282226221828301</v>
      </c>
      <c r="P477">
        <v>11.125079555303101</v>
      </c>
      <c r="Q477">
        <v>32.681932157946399</v>
      </c>
      <c r="R477">
        <v>0.93122359284064704</v>
      </c>
      <c r="S477" s="1">
        <v>11.6256051521977</v>
      </c>
      <c r="T477" s="7"/>
      <c r="U477" s="1"/>
      <c r="V477" s="1"/>
      <c r="W477" s="8"/>
      <c r="X477" s="7"/>
      <c r="Y477" s="1"/>
      <c r="Z477" s="1"/>
      <c r="AA477" s="8"/>
      <c r="AB477" s="7">
        <v>2</v>
      </c>
      <c r="AC477">
        <v>8.9335123697916602E-2</v>
      </c>
      <c r="AD477">
        <v>30.424895970242801</v>
      </c>
      <c r="AE477">
        <v>0.94642927453326497</v>
      </c>
      <c r="AF477">
        <v>12.710724722743899</v>
      </c>
      <c r="AG477">
        <v>33.533526279832699</v>
      </c>
      <c r="AH477">
        <v>0.95428088751705198</v>
      </c>
      <c r="AI477" s="1">
        <v>13.399022088869801</v>
      </c>
      <c r="AJ477" s="1">
        <v>7.3884284496307302</v>
      </c>
      <c r="AK477" s="1">
        <v>5.2683823108673096</v>
      </c>
      <c r="AL477" s="7"/>
      <c r="AM477" s="1"/>
      <c r="AN477" s="1"/>
      <c r="AO477" s="8"/>
      <c r="AP477" s="1"/>
      <c r="AQ477" s="1"/>
      <c r="AR477" s="1"/>
      <c r="AS477" s="8"/>
      <c r="AT477" s="7">
        <v>0.04</v>
      </c>
      <c r="AU477">
        <v>9.356689453125E-2</v>
      </c>
      <c r="AV477">
        <v>28.0262730924123</v>
      </c>
      <c r="AW477">
        <v>0.96102231771142199</v>
      </c>
      <c r="AX477">
        <v>14.091839886972901</v>
      </c>
      <c r="AY477">
        <v>31.130728781645299</v>
      </c>
      <c r="AZ477">
        <v>0.96824902349506103</v>
      </c>
      <c r="BA477" s="1">
        <v>14.982429133898099</v>
      </c>
      <c r="BB477" s="1">
        <v>6.2993929386138898</v>
      </c>
      <c r="BC477" s="1">
        <v>4.48142409324646</v>
      </c>
      <c r="BD477" s="7"/>
      <c r="BE477" s="1"/>
      <c r="BF477" s="1"/>
      <c r="BG477" s="8"/>
      <c r="BH477" s="1"/>
      <c r="BI477" s="1"/>
      <c r="BJ477" s="1"/>
      <c r="BK477" s="8"/>
    </row>
    <row r="478" spans="1:63">
      <c r="A478" s="49"/>
      <c r="B478" s="7" t="s">
        <v>101</v>
      </c>
      <c r="C478" s="17">
        <v>1.5</v>
      </c>
      <c r="D478" s="7">
        <v>23</v>
      </c>
      <c r="E478">
        <v>1.41314697265625</v>
      </c>
      <c r="F478">
        <v>41.444131590354601</v>
      </c>
      <c r="G478">
        <v>0.99414447312603504</v>
      </c>
      <c r="H478">
        <v>22.324340214864499</v>
      </c>
      <c r="I478">
        <v>44.565815338568697</v>
      </c>
      <c r="J478">
        <v>0.99675277791955097</v>
      </c>
      <c r="K478" s="8">
        <v>24.884880085667898</v>
      </c>
      <c r="L478" s="7">
        <v>20</v>
      </c>
      <c r="M478">
        <v>1.41015625</v>
      </c>
      <c r="N478">
        <v>42.279444879293202</v>
      </c>
      <c r="O478">
        <v>0.995161784311696</v>
      </c>
      <c r="P478">
        <v>23.153147746364098</v>
      </c>
      <c r="Q478">
        <v>45.489617300735198</v>
      </c>
      <c r="R478">
        <v>0.99728618928534996</v>
      </c>
      <c r="S478" s="1">
        <v>25.6642044718843</v>
      </c>
      <c r="T478" s="13">
        <f>bdrate(E478:E481,F478:F481,M478:M481,N478:N481)</f>
        <v>-0.16565409426569455</v>
      </c>
      <c r="U478" s="12">
        <f>bdrate(E478:E481,H478:H481,M478:M481,P478:P481)</f>
        <v>-0.17417382915684665</v>
      </c>
      <c r="V478" s="12">
        <f>bdrate(E478:E481,I478:I481,M478:M481,Q478:Q481)</f>
        <v>-0.18842130097469756</v>
      </c>
      <c r="W478" s="14">
        <f>bdrate(E478:E481,K478:K481,M478:M481,S478:S481)</f>
        <v>-0.11849577144049384</v>
      </c>
      <c r="X478" s="13">
        <f>bdrate(E480:E483,F480:F483,M480:M483,N480:N483)</f>
        <v>-0.1953384460857035</v>
      </c>
      <c r="Y478" s="12">
        <f>bdrate(E480:E483,H480:H483,M480:M483,P480:P483)</f>
        <v>-0.18120881825351043</v>
      </c>
      <c r="Z478" s="12">
        <f>bdrate(E480:E483,I480:I483,M480:M483,Q480:Q483)</f>
        <v>-0.26407908067133279</v>
      </c>
      <c r="AA478" s="14">
        <f>bdrate(E480:E483,K480:K483,M480:M483,S480:S483)</f>
        <v>-0.12836049398961413</v>
      </c>
      <c r="AB478" s="7">
        <v>128</v>
      </c>
      <c r="AC478">
        <v>1.3298543294270799</v>
      </c>
      <c r="AD478">
        <v>41.9156421960625</v>
      </c>
      <c r="AE478">
        <v>0.99526727295770701</v>
      </c>
      <c r="AF478">
        <v>23.2488854253067</v>
      </c>
      <c r="AG478">
        <v>44.780920246046797</v>
      </c>
      <c r="AH478">
        <v>0.99676546454715698</v>
      </c>
      <c r="AI478" s="1">
        <v>24.901880843165099</v>
      </c>
      <c r="AJ478" s="1">
        <v>35.375831365585299</v>
      </c>
      <c r="AK478" s="1">
        <v>15.680012464523299</v>
      </c>
      <c r="AL478" s="13">
        <f>bdrate(E478:E481,F478:F481,AC478:AC481,AD478:AD481)</f>
        <v>-6.0571683611387317E-2</v>
      </c>
      <c r="AM478" s="12">
        <f>bdrate(E478:E481,H478:H481,AC478:AC481,AF478:AF481)</f>
        <v>-0.21230206355267045</v>
      </c>
      <c r="AN478" s="12">
        <f>bdrate(E478:E481,I478:I481,AC478:AC481,AG478:AG481)</f>
        <v>-7.1758653186411614E-2</v>
      </c>
      <c r="AO478" s="14">
        <f>bdrate(E478:E481,K478:K481,AC478:AC481,AI478:AI481)</f>
        <v>-0.10581568426696564</v>
      </c>
      <c r="AP478" s="12">
        <f>bdrate(E480:E483,F480:F483,AC480:AC483,AD480:AD483)</f>
        <v>-8.5174519214342159E-2</v>
      </c>
      <c r="AQ478" s="12">
        <f>bdrate(E480:E483,H480:H483,AC480:AC483,AF480:AF483)</f>
        <v>-0.23668818643394429</v>
      </c>
      <c r="AR478" s="12">
        <f>bdrate(E480:E483,I480:I483,AC480:AC483,AG480:AG483)</f>
        <v>-0.15902466336360854</v>
      </c>
      <c r="AS478" s="14">
        <f>bdrate(E480:E483,K480:K483,AC480:AC483,AI480:AI483)</f>
        <v>-0.15800021257305763</v>
      </c>
      <c r="AT478" s="7">
        <v>6.4</v>
      </c>
      <c r="AU478">
        <v>1.6482950846354101</v>
      </c>
      <c r="AV478">
        <v>39.859066769203103</v>
      </c>
      <c r="AW478">
        <v>0.99816596207415997</v>
      </c>
      <c r="AX478">
        <v>27.365916878520899</v>
      </c>
      <c r="AY478">
        <v>43.161329021332101</v>
      </c>
      <c r="AZ478">
        <v>0.99874147507284705</v>
      </c>
      <c r="BA478" s="1">
        <v>29.0013817811524</v>
      </c>
      <c r="BB478" s="1">
        <v>49.983174085617001</v>
      </c>
      <c r="BC478" s="1">
        <v>16.698816061019802</v>
      </c>
      <c r="BD478" s="13">
        <f>bdrate(E478:E481,F478:F481,AU478:AU481,AV478:AV481)</f>
        <v>0.9122335332217133</v>
      </c>
      <c r="BE478" s="12">
        <f>bdrate(E478:E481,H478:H481,AU478:AU481,AX478:AX481)</f>
        <v>-0.49704141792701639</v>
      </c>
      <c r="BF478" s="12">
        <f>bdrate(E478:E481,I478:I481,AU478:AU481,AY478:AY481)</f>
        <v>0.68229898501789354</v>
      </c>
      <c r="BG478" s="14">
        <f>bdrate(E478:E481,K478:K481,AU478:AU481,BA478:BA481)</f>
        <v>-0.39718382404707486</v>
      </c>
      <c r="BH478" s="12">
        <f>bdrate(E480:E483,F480:F483,AU480:AU483,AV480:AV483)</f>
        <v>1.1476531505513292</v>
      </c>
      <c r="BI478" s="12">
        <f>bdrate(E480:E483,H480:H483,AU480:AU483,AX480:AX483)</f>
        <v>-0.52011242198045493</v>
      </c>
      <c r="BJ478" s="12">
        <f>bdrate(E480:E483,I480:I483,AU480:AU483,AY480:AY483)</f>
        <v>0.71144778050692503</v>
      </c>
      <c r="BK478" s="14">
        <f>bdrate(E480:E483,K480:K483,AU480:AU483,BA480:BA483)</f>
        <v>-0.46506123976341851</v>
      </c>
    </row>
    <row r="479" spans="1:63">
      <c r="A479" s="49"/>
      <c r="B479" s="7" t="s">
        <v>18</v>
      </c>
      <c r="C479" s="17">
        <v>1</v>
      </c>
      <c r="D479" s="7">
        <v>27</v>
      </c>
      <c r="E479">
        <v>0.93123372395833304</v>
      </c>
      <c r="F479">
        <v>38.783091499658397</v>
      </c>
      <c r="G479">
        <v>0.98980827233648605</v>
      </c>
      <c r="H479">
        <v>19.917521897784901</v>
      </c>
      <c r="I479">
        <v>41.864698013154097</v>
      </c>
      <c r="J479">
        <v>0.99349927312630204</v>
      </c>
      <c r="K479" s="8">
        <v>21.870380803438199</v>
      </c>
      <c r="L479" s="7">
        <v>24</v>
      </c>
      <c r="M479">
        <v>0.94883219401041596</v>
      </c>
      <c r="N479">
        <v>39.898457578937403</v>
      </c>
      <c r="O479">
        <v>0.99213741704677505</v>
      </c>
      <c r="P479">
        <v>21.044347595514498</v>
      </c>
      <c r="Q479">
        <v>43.040674728269899</v>
      </c>
      <c r="R479">
        <v>0.99481864766472805</v>
      </c>
      <c r="S479" s="1">
        <v>22.855568744062499</v>
      </c>
      <c r="T479" s="7"/>
      <c r="U479" s="1"/>
      <c r="V479" s="1"/>
      <c r="W479" s="8"/>
      <c r="X479" s="7"/>
      <c r="Y479" s="1"/>
      <c r="Z479" s="1"/>
      <c r="AA479" s="8"/>
      <c r="AB479" s="7">
        <v>64</v>
      </c>
      <c r="AC479">
        <v>0.97633870442708304</v>
      </c>
      <c r="AD479">
        <v>39.5564497702468</v>
      </c>
      <c r="AE479">
        <v>0.99273880948340698</v>
      </c>
      <c r="AF479">
        <v>21.389921682256801</v>
      </c>
      <c r="AG479">
        <v>42.544816963954901</v>
      </c>
      <c r="AH479">
        <v>0.99467149718900905</v>
      </c>
      <c r="AI479" s="1">
        <v>22.733948007793298</v>
      </c>
      <c r="AJ479" s="1">
        <v>6.6394722461700404</v>
      </c>
      <c r="AK479" s="1">
        <v>3.3430151939392001</v>
      </c>
      <c r="AL479" s="7"/>
      <c r="AM479" s="1"/>
      <c r="AN479" s="1"/>
      <c r="AO479" s="8"/>
      <c r="AP479" s="1"/>
      <c r="AQ479" s="1"/>
      <c r="AR479" s="1"/>
      <c r="AS479" s="8"/>
      <c r="AT479" s="7">
        <v>1.28</v>
      </c>
      <c r="AU479">
        <v>0.79404703776041596</v>
      </c>
      <c r="AV479">
        <v>34.013864435657297</v>
      </c>
      <c r="AW479">
        <v>0.99456067375726798</v>
      </c>
      <c r="AX479">
        <v>22.6445489206384</v>
      </c>
      <c r="AY479">
        <v>38.0832114068767</v>
      </c>
      <c r="AZ479">
        <v>0.99579163454730002</v>
      </c>
      <c r="BA479" s="1">
        <v>23.7588655326518</v>
      </c>
      <c r="BB479" s="1">
        <v>11.157106399536101</v>
      </c>
      <c r="BC479" s="1">
        <v>4.4466519355773899</v>
      </c>
      <c r="BD479" s="7"/>
      <c r="BE479" s="1"/>
      <c r="BF479" s="1"/>
      <c r="BG479" s="8"/>
      <c r="BH479" s="1"/>
      <c r="BI479" s="1"/>
      <c r="BJ479" s="1"/>
      <c r="BK479" s="8"/>
    </row>
    <row r="480" spans="1:63">
      <c r="A480" s="49"/>
      <c r="B480" s="7" t="s">
        <v>18</v>
      </c>
      <c r="C480" s="17">
        <v>0.5</v>
      </c>
      <c r="D480" s="7">
        <v>32</v>
      </c>
      <c r="E480">
        <v>0.49778238932291602</v>
      </c>
      <c r="F480">
        <v>35.345325012701501</v>
      </c>
      <c r="G480">
        <v>0.97824932813251897</v>
      </c>
      <c r="H480">
        <v>16.6252732336071</v>
      </c>
      <c r="I480">
        <v>38.556452842675803</v>
      </c>
      <c r="J480">
        <v>0.98355136801562404</v>
      </c>
      <c r="K480" s="8">
        <v>17.8387021603269</v>
      </c>
      <c r="L480" s="7">
        <v>30</v>
      </c>
      <c r="M480">
        <v>0.47117106119791602</v>
      </c>
      <c r="N480">
        <v>36.024948011453297</v>
      </c>
      <c r="O480">
        <v>0.98152732177982605</v>
      </c>
      <c r="P480">
        <v>17.3347013477518</v>
      </c>
      <c r="Q480">
        <v>39.363608696780901</v>
      </c>
      <c r="R480">
        <v>0.98514525636721095</v>
      </c>
      <c r="S480" s="1">
        <v>18.281348389680701</v>
      </c>
      <c r="T480" s="7"/>
      <c r="U480" s="1"/>
      <c r="V480" s="1"/>
      <c r="W480" s="8"/>
      <c r="X480" s="7"/>
      <c r="Y480" s="1"/>
      <c r="Z480" s="1"/>
      <c r="AA480" s="8"/>
      <c r="AB480" s="7">
        <v>16</v>
      </c>
      <c r="AC480">
        <v>0.45367431640625</v>
      </c>
      <c r="AD480">
        <v>35.074337395715702</v>
      </c>
      <c r="AE480">
        <v>0.98192678619747398</v>
      </c>
      <c r="AF480">
        <v>17.4296461375896</v>
      </c>
      <c r="AG480">
        <v>38.468418323452497</v>
      </c>
      <c r="AH480">
        <v>0.98465945879188599</v>
      </c>
      <c r="AI480" s="1">
        <v>18.141593183824099</v>
      </c>
      <c r="AJ480" s="1">
        <v>6.1551761627197203</v>
      </c>
      <c r="AK480" s="1">
        <v>3.70796775817871</v>
      </c>
      <c r="AL480" s="7"/>
      <c r="AM480" s="1"/>
      <c r="AN480" s="1"/>
      <c r="AO480" s="8"/>
      <c r="AP480" s="1"/>
      <c r="AQ480" s="1"/>
      <c r="AR480" s="1"/>
      <c r="AS480" s="8"/>
      <c r="AT480" s="7">
        <v>0.64</v>
      </c>
      <c r="AU480">
        <v>0.55706787109375</v>
      </c>
      <c r="AV480">
        <v>32.402292951699401</v>
      </c>
      <c r="AW480">
        <v>0.99178293521957395</v>
      </c>
      <c r="AX480">
        <v>20.852832891891602</v>
      </c>
      <c r="AY480">
        <v>36.5883232178969</v>
      </c>
      <c r="AZ480">
        <v>0.99340636517409897</v>
      </c>
      <c r="BA480" s="1">
        <v>21.808751089805501</v>
      </c>
      <c r="BB480" s="1">
        <v>9.4680557250976491</v>
      </c>
      <c r="BC480" s="1">
        <v>5.2865588665008501</v>
      </c>
      <c r="BD480" s="7"/>
      <c r="BE480" s="1"/>
      <c r="BF480" s="1"/>
      <c r="BG480" s="8"/>
      <c r="BH480" s="1"/>
      <c r="BI480" s="1"/>
      <c r="BJ480" s="1"/>
      <c r="BK480" s="8"/>
    </row>
    <row r="481" spans="1:63">
      <c r="A481" s="49"/>
      <c r="B481" s="7" t="s">
        <v>18</v>
      </c>
      <c r="C481" s="17">
        <v>0.25</v>
      </c>
      <c r="D481" s="7">
        <v>37</v>
      </c>
      <c r="E481">
        <v>0.23158772786458301</v>
      </c>
      <c r="F481">
        <v>32.181117700036097</v>
      </c>
      <c r="G481">
        <v>0.95441134953419204</v>
      </c>
      <c r="H481">
        <v>13.411432637736301</v>
      </c>
      <c r="I481">
        <v>35.5675846795273</v>
      </c>
      <c r="J481">
        <v>0.96105022925682304</v>
      </c>
      <c r="K481" s="8">
        <v>14.0949509422418</v>
      </c>
      <c r="L481" s="7">
        <v>35</v>
      </c>
      <c r="M481">
        <v>0.22971598307291599</v>
      </c>
      <c r="N481">
        <v>32.901061172193302</v>
      </c>
      <c r="O481">
        <v>0.96115014759371398</v>
      </c>
      <c r="P481">
        <v>14.106106267795999</v>
      </c>
      <c r="Q481">
        <v>36.498930522057002</v>
      </c>
      <c r="R481">
        <v>0.965379104809026</v>
      </c>
      <c r="S481" s="1">
        <v>14.60661706782</v>
      </c>
      <c r="T481" s="7"/>
      <c r="U481" s="1"/>
      <c r="V481" s="1"/>
      <c r="W481" s="8"/>
      <c r="X481" s="7"/>
      <c r="Y481" s="1"/>
      <c r="Z481" s="1"/>
      <c r="AA481" s="8"/>
      <c r="AB481" s="7">
        <v>8</v>
      </c>
      <c r="AC481">
        <v>0.28525797526041602</v>
      </c>
      <c r="AD481">
        <v>33.299637950758701</v>
      </c>
      <c r="AE481">
        <v>0.97064957911735605</v>
      </c>
      <c r="AF481">
        <v>15.3238566662423</v>
      </c>
      <c r="AG481">
        <v>36.893701458352403</v>
      </c>
      <c r="AH481">
        <v>0.97356338329012004</v>
      </c>
      <c r="AI481" s="1">
        <v>15.777941255195</v>
      </c>
      <c r="AJ481" s="1">
        <v>6.2192649841308496</v>
      </c>
      <c r="AK481" s="1">
        <v>3.6513755321502601</v>
      </c>
      <c r="AL481" s="7"/>
      <c r="AM481" s="1"/>
      <c r="AN481" s="1"/>
      <c r="AO481" s="8"/>
      <c r="AP481" s="1"/>
      <c r="AQ481" s="1"/>
      <c r="AR481" s="1"/>
      <c r="AS481" s="8"/>
      <c r="AT481" s="7">
        <v>0.16</v>
      </c>
      <c r="AU481">
        <v>0.28098551432291602</v>
      </c>
      <c r="AV481">
        <v>30.292694414471701</v>
      </c>
      <c r="AW481">
        <v>0.98113464252280602</v>
      </c>
      <c r="AX481">
        <v>17.243349609956301</v>
      </c>
      <c r="AY481">
        <v>34.431872506412702</v>
      </c>
      <c r="AZ481">
        <v>0.98363181564106605</v>
      </c>
      <c r="BA481" s="1">
        <v>17.859994920375499</v>
      </c>
      <c r="BB481" s="1">
        <v>6.5901606082916198</v>
      </c>
      <c r="BC481" s="1">
        <v>4.5123074054718</v>
      </c>
      <c r="BD481" s="7"/>
      <c r="BE481" s="1"/>
      <c r="BF481" s="1"/>
      <c r="BG481" s="8"/>
      <c r="BH481" s="1"/>
      <c r="BI481" s="1"/>
      <c r="BJ481" s="1"/>
      <c r="BK481" s="8"/>
    </row>
    <row r="482" spans="1:63">
      <c r="A482" s="49"/>
      <c r="B482" s="7" t="s">
        <v>18</v>
      </c>
      <c r="C482" s="17">
        <v>0.12</v>
      </c>
      <c r="D482" s="7">
        <v>41</v>
      </c>
      <c r="E482">
        <v>0.11468505859375</v>
      </c>
      <c r="F482">
        <v>29.9719847359924</v>
      </c>
      <c r="G482">
        <v>0.92082682133903004</v>
      </c>
      <c r="H482">
        <v>11.0142191856658</v>
      </c>
      <c r="I482">
        <v>33.4330135253865</v>
      </c>
      <c r="J482">
        <v>0.92868632784057603</v>
      </c>
      <c r="K482" s="8">
        <v>11.468271998231801</v>
      </c>
      <c r="L482" s="7">
        <v>39</v>
      </c>
      <c r="M482">
        <v>0.11578369140625</v>
      </c>
      <c r="N482">
        <v>30.6703802546599</v>
      </c>
      <c r="O482">
        <v>0.93214388108929902</v>
      </c>
      <c r="P482">
        <v>11.6841098382836</v>
      </c>
      <c r="Q482">
        <v>34.424259055240803</v>
      </c>
      <c r="R482">
        <v>0.93664715431299495</v>
      </c>
      <c r="S482" s="1">
        <v>11.982338726762499</v>
      </c>
      <c r="T482" s="7"/>
      <c r="U482" s="1"/>
      <c r="V482" s="1"/>
      <c r="W482" s="8"/>
      <c r="X482" s="7"/>
      <c r="Y482" s="1"/>
      <c r="Z482" s="1"/>
      <c r="AA482" s="8"/>
      <c r="AB482" s="7">
        <v>4</v>
      </c>
      <c r="AC482">
        <v>0.17665608723958301</v>
      </c>
      <c r="AD482">
        <v>31.5783516253925</v>
      </c>
      <c r="AE482">
        <v>0.95416122649420498</v>
      </c>
      <c r="AF482">
        <v>13.3876701117137</v>
      </c>
      <c r="AG482">
        <v>35.295331655527299</v>
      </c>
      <c r="AH482">
        <v>0.95720467702701795</v>
      </c>
      <c r="AI482" s="1">
        <v>13.6860369168811</v>
      </c>
      <c r="AJ482" s="1">
        <v>7.1836011409759504</v>
      </c>
      <c r="AK482" s="1">
        <v>5.0159173011779696</v>
      </c>
      <c r="AL482" s="7"/>
      <c r="AM482" s="1"/>
      <c r="AN482" s="1"/>
      <c r="AO482" s="8"/>
      <c r="AP482" s="1"/>
      <c r="AQ482" s="1"/>
      <c r="AR482" s="1"/>
      <c r="AS482" s="8"/>
      <c r="AT482" s="7">
        <v>0.08</v>
      </c>
      <c r="AU482">
        <v>0.18760172526041599</v>
      </c>
      <c r="AV482">
        <v>29.480959926199599</v>
      </c>
      <c r="AW482">
        <v>0.97199790027168798</v>
      </c>
      <c r="AX482">
        <v>15.5280940200674</v>
      </c>
      <c r="AY482">
        <v>33.429213685843997</v>
      </c>
      <c r="AZ482">
        <v>0.97492527828752595</v>
      </c>
      <c r="BA482" s="1">
        <v>16.0076387822409</v>
      </c>
      <c r="BB482" s="1">
        <v>5.4588959217071498</v>
      </c>
      <c r="BC482" s="1">
        <v>3.2030324935913002</v>
      </c>
      <c r="BD482" s="7"/>
      <c r="BE482" s="1"/>
      <c r="BF482" s="1"/>
      <c r="BG482" s="8"/>
      <c r="BH482" s="1"/>
      <c r="BI482" s="1"/>
      <c r="BJ482" s="1"/>
      <c r="BK482" s="8"/>
    </row>
    <row r="483" spans="1:63">
      <c r="A483" s="49"/>
      <c r="B483" s="7" t="s">
        <v>18</v>
      </c>
      <c r="C483" s="17">
        <v>0.06</v>
      </c>
      <c r="D483" s="7">
        <v>45</v>
      </c>
      <c r="E483">
        <v>5.01708984375E-2</v>
      </c>
      <c r="F483">
        <v>28.020991283452599</v>
      </c>
      <c r="G483">
        <v>0.87070036334784195</v>
      </c>
      <c r="H483">
        <v>8.8840269553866698</v>
      </c>
      <c r="I483">
        <v>31.593174955699901</v>
      </c>
      <c r="J483">
        <v>0.87896257482348605</v>
      </c>
      <c r="K483" s="8">
        <v>9.1708032361281102</v>
      </c>
      <c r="L483" s="7">
        <v>43</v>
      </c>
      <c r="M483">
        <v>5.3019205729166602E-2</v>
      </c>
      <c r="N483">
        <v>28.659842886369699</v>
      </c>
      <c r="O483">
        <v>0.88879476600858698</v>
      </c>
      <c r="P483">
        <v>9.5387477174591098</v>
      </c>
      <c r="Q483">
        <v>32.508946854805103</v>
      </c>
      <c r="R483">
        <v>0.89356513632854795</v>
      </c>
      <c r="S483" s="1">
        <v>9.7291609177725196</v>
      </c>
      <c r="T483" s="7"/>
      <c r="U483" s="1"/>
      <c r="V483" s="1"/>
      <c r="W483" s="8"/>
      <c r="X483" s="7"/>
      <c r="Y483" s="1"/>
      <c r="Z483" s="1"/>
      <c r="AA483" s="8"/>
      <c r="AB483" s="7">
        <v>2</v>
      </c>
      <c r="AC483">
        <v>9.613037109375E-2</v>
      </c>
      <c r="AD483">
        <v>29.7824728329891</v>
      </c>
      <c r="AE483">
        <v>0.92669179825669201</v>
      </c>
      <c r="AF483">
        <v>11.348474336454199</v>
      </c>
      <c r="AG483">
        <v>33.619737396793496</v>
      </c>
      <c r="AH483">
        <v>0.93008078472203604</v>
      </c>
      <c r="AI483" s="1">
        <v>11.554034545493201</v>
      </c>
      <c r="AJ483" s="1">
        <v>7.2684440612792898</v>
      </c>
      <c r="AK483" s="1">
        <v>5.6600360870361301</v>
      </c>
      <c r="AL483" s="7"/>
      <c r="AM483" s="1"/>
      <c r="AN483" s="1"/>
      <c r="AO483" s="8"/>
      <c r="AP483" s="1"/>
      <c r="AQ483" s="1"/>
      <c r="AR483" s="1"/>
      <c r="AS483" s="8"/>
      <c r="AT483" s="7">
        <v>0.04</v>
      </c>
      <c r="AU483">
        <v>0.124165852864583</v>
      </c>
      <c r="AV483">
        <v>28.8117644958052</v>
      </c>
      <c r="AW483">
        <v>0.95886051653934401</v>
      </c>
      <c r="AX483">
        <v>13.857411655240201</v>
      </c>
      <c r="AY483">
        <v>32.662180568760498</v>
      </c>
      <c r="AZ483">
        <v>0.96228574529592603</v>
      </c>
      <c r="BA483" s="1">
        <v>14.234944702390701</v>
      </c>
      <c r="BB483" s="1">
        <v>6.2805795669555602</v>
      </c>
      <c r="BC483" s="1">
        <v>4.39033722877502</v>
      </c>
      <c r="BD483" s="7"/>
      <c r="BE483" s="1"/>
      <c r="BF483" s="1"/>
      <c r="BG483" s="8"/>
      <c r="BH483" s="1"/>
      <c r="BI483" s="1"/>
      <c r="BJ483" s="1"/>
      <c r="BK483" s="8"/>
    </row>
    <row r="484" spans="1:63">
      <c r="A484" s="49"/>
      <c r="B484" s="7" t="s">
        <v>102</v>
      </c>
      <c r="C484" s="17">
        <v>1.5</v>
      </c>
      <c r="D484" s="7">
        <v>22</v>
      </c>
      <c r="E484">
        <v>1.4500935872395799</v>
      </c>
      <c r="F484">
        <v>41.601143975009798</v>
      </c>
      <c r="G484">
        <v>0.99494673317069604</v>
      </c>
      <c r="H484">
        <v>22.964277689625298</v>
      </c>
      <c r="I484">
        <v>44.752085496482003</v>
      </c>
      <c r="J484">
        <v>0.99704461127786803</v>
      </c>
      <c r="K484" s="8">
        <v>25.293853882941299</v>
      </c>
      <c r="L484" s="7">
        <v>19</v>
      </c>
      <c r="M484">
        <v>1.4518636067708299</v>
      </c>
      <c r="N484">
        <v>42.258647217343899</v>
      </c>
      <c r="O484">
        <v>0.99556298143831501</v>
      </c>
      <c r="P484">
        <v>23.529087544656701</v>
      </c>
      <c r="Q484">
        <v>45.551091891483601</v>
      </c>
      <c r="R484">
        <v>0.99753963920086897</v>
      </c>
      <c r="S484" s="1">
        <v>26.090012011966301</v>
      </c>
      <c r="T484" s="13">
        <f>bdrate(E484:E487,F484:F487,M484:M487,N484:N487)</f>
        <v>-0.1892830040080854</v>
      </c>
      <c r="U484" s="12">
        <f>bdrate(E484:E487,H484:H487,M484:M487,P484:P487)</f>
        <v>-0.16912212430367624</v>
      </c>
      <c r="V484" s="12">
        <f>bdrate(E484:E487,I484:I487,M484:M487,Q484:Q487)</f>
        <v>-0.20575512112519168</v>
      </c>
      <c r="W484" s="14">
        <f>bdrate(E484:E487,K484:K487,M484:M487,S484:S487)</f>
        <v>-0.15241308955269284</v>
      </c>
      <c r="X484" s="13">
        <f>bdrate(E486:E489,F486:F489,M486:M489,N486:N489)</f>
        <v>-0.22822262072629906</v>
      </c>
      <c r="Y484" s="12">
        <f>bdrate(E486:E489,H486:H489,M486:M489,P486:P489)</f>
        <v>-0.16465937664637309</v>
      </c>
      <c r="Z484" s="12">
        <f>bdrate(E486:E489,I486:I489,M486:M489,Q486:Q489)</f>
        <v>-0.26857983410024766</v>
      </c>
      <c r="AA484" s="14">
        <f>bdrate(E486:E489,K486:K489,M486:M489,S486:S489)</f>
        <v>-0.14095854144577558</v>
      </c>
      <c r="AB484" s="7">
        <v>256</v>
      </c>
      <c r="AC484">
        <v>1.7057088216145799</v>
      </c>
      <c r="AD484">
        <v>43.023845338810098</v>
      </c>
      <c r="AE484">
        <v>0.99688642325183796</v>
      </c>
      <c r="AF484">
        <v>25.067404246616</v>
      </c>
      <c r="AG484">
        <v>45.895190497022099</v>
      </c>
      <c r="AH484">
        <v>0.99802963078882601</v>
      </c>
      <c r="AI484" s="1">
        <v>27.054523873655899</v>
      </c>
      <c r="AJ484" s="1">
        <v>20.123765707015899</v>
      </c>
      <c r="AK484" s="1">
        <v>10.207640409469599</v>
      </c>
      <c r="AL484" s="13">
        <f>bdrate(E484:E487,F484:F487,AC484:AC487,AD484:AD487)</f>
        <v>-6.3062457037178499E-2</v>
      </c>
      <c r="AM484" s="12">
        <f>bdrate(E484:E487,H484:H487,AC484:AC487,AF484:AF487)</f>
        <v>-0.23543616899494346</v>
      </c>
      <c r="AN484" s="12">
        <f>bdrate(E484:E487,I484:I487,AC484:AC487,AG484:AG487)</f>
        <v>-4.7181713848960971E-2</v>
      </c>
      <c r="AO484" s="14">
        <f>bdrate(E484:E487,K484:K487,AC484:AC487,AI484:AI487)</f>
        <v>-0.15690907355934802</v>
      </c>
      <c r="AP484" s="12">
        <f>bdrate(E486:E489,F486:F489,AC486:AC489,AD486:AD489)</f>
        <v>-9.4271085040337543E-2</v>
      </c>
      <c r="AQ484" s="12">
        <f>bdrate(E486:E489,H486:H489,AC486:AC489,AF486:AF489)</f>
        <v>-0.27482117020584773</v>
      </c>
      <c r="AR484" s="12">
        <f>bdrate(E486:E489,I486:I489,AC486:AC489,AG486:AG489)</f>
        <v>-0.12633848092247468</v>
      </c>
      <c r="AS484" s="14">
        <f>bdrate(E486:E489,K486:K489,AC486:AC489,AI486:AI489)</f>
        <v>-0.22054302571443141</v>
      </c>
      <c r="AT484" s="7">
        <v>6.4</v>
      </c>
      <c r="AU484">
        <v>1.54193115234375</v>
      </c>
      <c r="AV484">
        <v>39.420381301154698</v>
      </c>
      <c r="AW484">
        <v>0.99806058414559995</v>
      </c>
      <c r="AX484">
        <v>27.123290584266599</v>
      </c>
      <c r="AY484">
        <v>42.535737652512502</v>
      </c>
      <c r="AZ484">
        <v>0.99864375711470199</v>
      </c>
      <c r="BA484" s="1">
        <v>28.6766252706289</v>
      </c>
      <c r="BB484" s="1">
        <v>52.011567115783599</v>
      </c>
      <c r="BC484" s="1">
        <v>16.482507705688398</v>
      </c>
      <c r="BD484" s="13">
        <f>bdrate(E484:E487,F484:F487,AU484:AU487,AV484:AV487)</f>
        <v>0.65512920687411169</v>
      </c>
      <c r="BE484" s="12">
        <f>bdrate(E484:E487,H484:H487,AU484:AU487,AX484:AX487)</f>
        <v>-0.51320881680381403</v>
      </c>
      <c r="BF484" s="12">
        <f>bdrate(E484:E487,I484:I487,AU484:AU487,AY484:AY487)</f>
        <v>0.55777572267399322</v>
      </c>
      <c r="BG484" s="14">
        <f>bdrate(E484:E487,K484:K487,AU484:AU487,BA484:BA487)</f>
        <v>-0.44272364409197362</v>
      </c>
      <c r="BH484" s="12">
        <f>bdrate(E486:E489,F486:F489,AU486:AU489,AV486:AV489)</f>
        <v>0.42205985107560351</v>
      </c>
      <c r="BI484" s="12">
        <f>bdrate(E486:E489,H486:H489,AU486:AU489,AX486:AX489)</f>
        <v>-0.50449168614542605</v>
      </c>
      <c r="BJ484" s="12">
        <f>bdrate(E486:E489,I486:I489,AU486:AU489,AY486:AY489)</f>
        <v>0.30248582157309678</v>
      </c>
      <c r="BK484" s="14">
        <f>bdrate(E486:E489,K486:K489,AU486:AU489,BA486:BA489)</f>
        <v>-0.46991533055417278</v>
      </c>
    </row>
    <row r="485" spans="1:63">
      <c r="A485" s="49"/>
      <c r="B485" s="7" t="s">
        <v>18</v>
      </c>
      <c r="C485" s="17">
        <v>1</v>
      </c>
      <c r="D485" s="7">
        <v>26</v>
      </c>
      <c r="E485">
        <v>0.94386800130208304</v>
      </c>
      <c r="F485">
        <v>39.273306303789099</v>
      </c>
      <c r="G485">
        <v>0.99196763630918405</v>
      </c>
      <c r="H485">
        <v>20.9515663568977</v>
      </c>
      <c r="I485">
        <v>42.370763261112202</v>
      </c>
      <c r="J485">
        <v>0.994784675418666</v>
      </c>
      <c r="K485" s="8">
        <v>22.827186576122099</v>
      </c>
      <c r="L485" s="7">
        <v>23</v>
      </c>
      <c r="M485">
        <v>0.94053141276041596</v>
      </c>
      <c r="N485">
        <v>40.155352407567896</v>
      </c>
      <c r="O485">
        <v>0.99321309804880797</v>
      </c>
      <c r="P485">
        <v>21.683284249154799</v>
      </c>
      <c r="Q485">
        <v>43.343364966451198</v>
      </c>
      <c r="R485">
        <v>0.99569601923407902</v>
      </c>
      <c r="S485" s="1">
        <v>23.661296781579701</v>
      </c>
      <c r="T485" s="7"/>
      <c r="U485" s="1"/>
      <c r="V485" s="1"/>
      <c r="W485" s="8"/>
      <c r="X485" s="7"/>
      <c r="Y485" s="1"/>
      <c r="Z485" s="1"/>
      <c r="AA485" s="8"/>
      <c r="AB485" s="7">
        <v>64</v>
      </c>
      <c r="AC485">
        <v>0.86505126953125</v>
      </c>
      <c r="AD485">
        <v>39.086594432803501</v>
      </c>
      <c r="AE485">
        <v>0.99323720401030602</v>
      </c>
      <c r="AF485">
        <v>21.698737135485999</v>
      </c>
      <c r="AG485">
        <v>42.034983917723601</v>
      </c>
      <c r="AH485">
        <v>0.995086878716265</v>
      </c>
      <c r="AI485" s="1">
        <v>23.086425148786699</v>
      </c>
      <c r="AJ485" s="1">
        <v>7.0284242630004803</v>
      </c>
      <c r="AK485" s="1">
        <v>4.2962272167205802</v>
      </c>
      <c r="AL485" s="7"/>
      <c r="AM485" s="1"/>
      <c r="AN485" s="1"/>
      <c r="AO485" s="8"/>
      <c r="AP485" s="1"/>
      <c r="AQ485" s="1"/>
      <c r="AR485" s="1"/>
      <c r="AS485" s="8"/>
      <c r="AT485" s="7">
        <v>3.2</v>
      </c>
      <c r="AU485">
        <v>1.1071573893229101</v>
      </c>
      <c r="AV485">
        <v>37.5707113866806</v>
      </c>
      <c r="AW485">
        <v>0.99713319279594803</v>
      </c>
      <c r="AX485">
        <v>25.426015128546901</v>
      </c>
      <c r="AY485">
        <v>40.821304656178199</v>
      </c>
      <c r="AZ485">
        <v>0.99795282193483403</v>
      </c>
      <c r="BA485" s="1">
        <v>26.888443804172802</v>
      </c>
      <c r="BB485" s="1">
        <v>58.0856258869171</v>
      </c>
      <c r="BC485" s="1">
        <v>17.998246431350701</v>
      </c>
      <c r="BD485" s="7"/>
      <c r="BE485" s="1"/>
      <c r="BF485" s="1"/>
      <c r="BG485" s="8"/>
      <c r="BH485" s="1"/>
      <c r="BI485" s="1"/>
      <c r="BJ485" s="1"/>
      <c r="BK485" s="8"/>
    </row>
    <row r="486" spans="1:63">
      <c r="A486" s="49"/>
      <c r="B486" s="7" t="s">
        <v>18</v>
      </c>
      <c r="C486" s="17">
        <v>0.5</v>
      </c>
      <c r="D486" s="7">
        <v>32</v>
      </c>
      <c r="E486">
        <v>0.46714274088541602</v>
      </c>
      <c r="F486">
        <v>35.596516236072702</v>
      </c>
      <c r="G486">
        <v>0.98230481472935705</v>
      </c>
      <c r="H486">
        <v>17.521448858890601</v>
      </c>
      <c r="I486">
        <v>38.711435450566299</v>
      </c>
      <c r="J486">
        <v>0.98662066178996899</v>
      </c>
      <c r="K486" s="8">
        <v>18.735653677968799</v>
      </c>
      <c r="L486" s="7">
        <v>29</v>
      </c>
      <c r="M486">
        <v>0.47593180338541602</v>
      </c>
      <c r="N486">
        <v>36.826633050660497</v>
      </c>
      <c r="O486">
        <v>0.98610158836092199</v>
      </c>
      <c r="P486">
        <v>18.570348296595402</v>
      </c>
      <c r="Q486">
        <v>40.028807971527499</v>
      </c>
      <c r="R486">
        <v>0.98963406287641398</v>
      </c>
      <c r="S486" s="1">
        <v>19.843914297780501</v>
      </c>
      <c r="T486" s="7"/>
      <c r="U486" s="1"/>
      <c r="V486" s="1"/>
      <c r="W486" s="8"/>
      <c r="X486" s="7"/>
      <c r="Y486" s="1"/>
      <c r="Z486" s="1"/>
      <c r="AA486" s="8"/>
      <c r="AB486" s="7">
        <v>16</v>
      </c>
      <c r="AC486">
        <v>0.40838623046875</v>
      </c>
      <c r="AD486">
        <v>35.303765855324798</v>
      </c>
      <c r="AE486">
        <v>0.98503430577169504</v>
      </c>
      <c r="AF486">
        <v>18.249031323133401</v>
      </c>
      <c r="AG486">
        <v>38.4278554607912</v>
      </c>
      <c r="AH486">
        <v>0.98784903723428896</v>
      </c>
      <c r="AI486" s="1">
        <v>19.153893099446499</v>
      </c>
      <c r="AJ486" s="1">
        <v>6.9357147216796804</v>
      </c>
      <c r="AK486" s="1">
        <v>3.48344826698303</v>
      </c>
      <c r="AL486" s="7"/>
      <c r="AM486" s="1"/>
      <c r="AN486" s="1"/>
      <c r="AO486" s="8"/>
      <c r="AP486" s="1"/>
      <c r="AQ486" s="1"/>
      <c r="AR486" s="1"/>
      <c r="AS486" s="8"/>
      <c r="AT486" s="7">
        <v>0.64</v>
      </c>
      <c r="AU486">
        <v>0.50978597005208304</v>
      </c>
      <c r="AV486">
        <v>33.507454364791499</v>
      </c>
      <c r="AW486">
        <v>0.99282921353471099</v>
      </c>
      <c r="AX486">
        <v>21.4443320991045</v>
      </c>
      <c r="AY486">
        <v>37.073879949928802</v>
      </c>
      <c r="AZ486">
        <v>0.994468945383437</v>
      </c>
      <c r="BA486" s="1">
        <v>22.571920530559499</v>
      </c>
      <c r="BB486" s="1">
        <v>9.9353182315826398</v>
      </c>
      <c r="BC486" s="1">
        <v>5.7091691493988002</v>
      </c>
      <c r="BD486" s="7"/>
      <c r="BE486" s="1"/>
      <c r="BF486" s="1"/>
      <c r="BG486" s="8"/>
      <c r="BH486" s="1"/>
      <c r="BI486" s="1"/>
      <c r="BJ486" s="1"/>
      <c r="BK486" s="8"/>
    </row>
    <row r="487" spans="1:63">
      <c r="A487" s="49"/>
      <c r="B487" s="7" t="s">
        <v>18</v>
      </c>
      <c r="C487" s="17">
        <v>0.25</v>
      </c>
      <c r="D487" s="7">
        <v>37</v>
      </c>
      <c r="E487">
        <v>0.24210611979166599</v>
      </c>
      <c r="F487">
        <v>32.6037997715692</v>
      </c>
      <c r="G487">
        <v>0.96579131342669999</v>
      </c>
      <c r="H487">
        <v>14.658636000306201</v>
      </c>
      <c r="I487">
        <v>35.779505693161298</v>
      </c>
      <c r="J487">
        <v>0.97156058590959304</v>
      </c>
      <c r="K487" s="8">
        <v>15.460793551969999</v>
      </c>
      <c r="L487" s="7">
        <v>35</v>
      </c>
      <c r="M487">
        <v>0.22686767578125</v>
      </c>
      <c r="N487">
        <v>33.459940430760597</v>
      </c>
      <c r="O487">
        <v>0.96971248015007006</v>
      </c>
      <c r="P487">
        <v>15.1873628822506</v>
      </c>
      <c r="Q487">
        <v>36.785766984848301</v>
      </c>
      <c r="R487">
        <v>0.97426936111692197</v>
      </c>
      <c r="S487" s="1">
        <v>15.895494302704</v>
      </c>
      <c r="T487" s="7"/>
      <c r="U487" s="1"/>
      <c r="V487" s="1"/>
      <c r="W487" s="8"/>
      <c r="X487" s="7"/>
      <c r="Y487" s="1"/>
      <c r="Z487" s="1"/>
      <c r="AA487" s="8"/>
      <c r="AB487" s="7">
        <v>8</v>
      </c>
      <c r="AC487">
        <v>0.27374267578125</v>
      </c>
      <c r="AD487">
        <v>33.541469703559201</v>
      </c>
      <c r="AE487">
        <v>0.97757168286856599</v>
      </c>
      <c r="AF487">
        <v>16.4920331170241</v>
      </c>
      <c r="AG487">
        <v>36.815367935227897</v>
      </c>
      <c r="AH487">
        <v>0.98077180507468797</v>
      </c>
      <c r="AI487" s="1">
        <v>17.160614838723799</v>
      </c>
      <c r="AJ487" s="1">
        <v>6.3079307079315097</v>
      </c>
      <c r="AK487" s="1">
        <v>3.5170934200286799</v>
      </c>
      <c r="AL487" s="7"/>
      <c r="AM487" s="1"/>
      <c r="AN487" s="1"/>
      <c r="AO487" s="8"/>
      <c r="AP487" s="1"/>
      <c r="AQ487" s="1"/>
      <c r="AR487" s="1"/>
      <c r="AS487" s="8"/>
      <c r="AT487" s="7">
        <v>0.16</v>
      </c>
      <c r="AU487">
        <v>0.25445556640625</v>
      </c>
      <c r="AV487">
        <v>31.397757403681702</v>
      </c>
      <c r="AW487">
        <v>0.98428148276275895</v>
      </c>
      <c r="AX487">
        <v>18.035884243307301</v>
      </c>
      <c r="AY487">
        <v>34.993663732635497</v>
      </c>
      <c r="AZ487">
        <v>0.98688742331488699</v>
      </c>
      <c r="BA487" s="1">
        <v>18.823119589452901</v>
      </c>
      <c r="BB487" s="1">
        <v>6.6578254699706996</v>
      </c>
      <c r="BC487" s="1">
        <v>4.0691475868225098</v>
      </c>
      <c r="BD487" s="7"/>
      <c r="BE487" s="1"/>
      <c r="BF487" s="1"/>
      <c r="BG487" s="8"/>
      <c r="BH487" s="1"/>
      <c r="BI487" s="1"/>
      <c r="BJ487" s="1"/>
      <c r="BK487" s="8"/>
    </row>
    <row r="488" spans="1:63">
      <c r="A488" s="49"/>
      <c r="B488" s="7" t="s">
        <v>18</v>
      </c>
      <c r="C488" s="17">
        <v>0.12</v>
      </c>
      <c r="D488" s="7">
        <v>42</v>
      </c>
      <c r="E488">
        <v>0.119140625</v>
      </c>
      <c r="F488">
        <v>29.859361025565399</v>
      </c>
      <c r="G488">
        <v>0.93727425465286296</v>
      </c>
      <c r="H488">
        <v>12.0255416941988</v>
      </c>
      <c r="I488">
        <v>33.143617457599902</v>
      </c>
      <c r="J488">
        <v>0.94412698441116005</v>
      </c>
      <c r="K488" s="8">
        <v>12.527978881843101</v>
      </c>
      <c r="L488" s="7">
        <v>40</v>
      </c>
      <c r="M488">
        <v>0.11503092447916601</v>
      </c>
      <c r="N488">
        <v>30.686375541517101</v>
      </c>
      <c r="O488">
        <v>0.94400437147332905</v>
      </c>
      <c r="P488">
        <v>12.5184587622325</v>
      </c>
      <c r="Q488">
        <v>34.169060776594797</v>
      </c>
      <c r="R488">
        <v>0.94951690568659897</v>
      </c>
      <c r="S488" s="1">
        <v>12.968540332795801</v>
      </c>
      <c r="T488" s="7"/>
      <c r="U488" s="1"/>
      <c r="V488" s="1"/>
      <c r="W488" s="8"/>
      <c r="X488" s="7"/>
      <c r="Y488" s="1"/>
      <c r="Z488" s="1"/>
      <c r="AA488" s="8"/>
      <c r="AB488" s="7">
        <v>4</v>
      </c>
      <c r="AC488">
        <v>0.18076578776041599</v>
      </c>
      <c r="AD488">
        <v>31.814309927193602</v>
      </c>
      <c r="AE488">
        <v>0.96679676498853595</v>
      </c>
      <c r="AF488">
        <v>14.7881960065792</v>
      </c>
      <c r="AG488">
        <v>35.200612660830899</v>
      </c>
      <c r="AH488">
        <v>0.97049928942511599</v>
      </c>
      <c r="AI488" s="1">
        <v>15.3016752317321</v>
      </c>
      <c r="AJ488" s="1">
        <v>7.5083630084991402</v>
      </c>
      <c r="AK488" s="1">
        <v>5.29290294647216</v>
      </c>
      <c r="AL488" s="7"/>
      <c r="AM488" s="1"/>
      <c r="AN488" s="1"/>
      <c r="AO488" s="8"/>
      <c r="AP488" s="1"/>
      <c r="AQ488" s="1"/>
      <c r="AR488" s="1"/>
      <c r="AS488" s="8"/>
      <c r="AT488" s="7">
        <v>0.08</v>
      </c>
      <c r="AU488">
        <v>0.17490641276041599</v>
      </c>
      <c r="AV488">
        <v>30.231512194918899</v>
      </c>
      <c r="AW488">
        <v>0.97622894775924995</v>
      </c>
      <c r="AX488">
        <v>16.239515935247798</v>
      </c>
      <c r="AY488">
        <v>33.763256501102902</v>
      </c>
      <c r="AZ488">
        <v>0.97966860951465295</v>
      </c>
      <c r="BA488" s="1">
        <v>16.918329184862699</v>
      </c>
      <c r="BB488" s="1">
        <v>5.3366904258728001</v>
      </c>
      <c r="BC488" s="1">
        <v>3.22689485549926</v>
      </c>
      <c r="BD488" s="7"/>
      <c r="BE488" s="1"/>
      <c r="BF488" s="1"/>
      <c r="BG488" s="8"/>
      <c r="BH488" s="1"/>
      <c r="BI488" s="1"/>
      <c r="BJ488" s="1"/>
      <c r="BK488" s="8"/>
    </row>
    <row r="489" spans="1:63">
      <c r="A489" s="49"/>
      <c r="B489" s="7" t="s">
        <v>18</v>
      </c>
      <c r="C489" s="17">
        <v>0.06</v>
      </c>
      <c r="D489" s="7">
        <v>47</v>
      </c>
      <c r="E489">
        <v>5.560302734375E-2</v>
      </c>
      <c r="F489">
        <v>27.282150267047498</v>
      </c>
      <c r="G489">
        <v>0.88913579327753001</v>
      </c>
      <c r="H489">
        <v>9.5520864620456205</v>
      </c>
      <c r="I489">
        <v>30.678963694903199</v>
      </c>
      <c r="J489">
        <v>0.896470698577299</v>
      </c>
      <c r="K489" s="8">
        <v>9.8493671643692995</v>
      </c>
      <c r="L489" s="7">
        <v>45</v>
      </c>
      <c r="M489">
        <v>5.56640625E-2</v>
      </c>
      <c r="N489">
        <v>28.105784070177499</v>
      </c>
      <c r="O489">
        <v>0.89917538411036801</v>
      </c>
      <c r="P489">
        <v>9.9643342384383704</v>
      </c>
      <c r="Q489">
        <v>31.700314924592799</v>
      </c>
      <c r="R489">
        <v>0.90505361152696995</v>
      </c>
      <c r="S489" s="1">
        <v>10.2252155010615</v>
      </c>
      <c r="T489" s="7"/>
      <c r="U489" s="1"/>
      <c r="V489" s="1"/>
      <c r="W489" s="8"/>
      <c r="X489" s="7"/>
      <c r="Y489" s="1"/>
      <c r="Z489" s="1"/>
      <c r="AA489" s="8"/>
      <c r="AB489" s="7">
        <v>2</v>
      </c>
      <c r="AC489">
        <v>0.11301676432291601</v>
      </c>
      <c r="AD489">
        <v>30.162838958633301</v>
      </c>
      <c r="AE489">
        <v>0.95069662060541005</v>
      </c>
      <c r="AF489">
        <v>13.0712331191703</v>
      </c>
      <c r="AG489">
        <v>33.642813097320598</v>
      </c>
      <c r="AH489">
        <v>0.954957594152678</v>
      </c>
      <c r="AI489" s="1">
        <v>13.4637842059206</v>
      </c>
      <c r="AJ489" s="1">
        <v>7.4124898910522399</v>
      </c>
      <c r="AK489" s="1">
        <v>5.1998186111450098</v>
      </c>
      <c r="AL489" s="7"/>
      <c r="AM489" s="1"/>
      <c r="AN489" s="1"/>
      <c r="AO489" s="8"/>
      <c r="AP489" s="1"/>
      <c r="AQ489" s="1"/>
      <c r="AR489" s="1"/>
      <c r="AS489" s="8"/>
      <c r="AT489" s="7">
        <v>0.04</v>
      </c>
      <c r="AU489">
        <v>0.115620930989583</v>
      </c>
      <c r="AV489">
        <v>29.000913591088501</v>
      </c>
      <c r="AW489">
        <v>0.96440190922895597</v>
      </c>
      <c r="AX489">
        <v>14.485732938764301</v>
      </c>
      <c r="AY489">
        <v>32.388143152817797</v>
      </c>
      <c r="AZ489">
        <v>0.96864432409496803</v>
      </c>
      <c r="BA489" s="1">
        <v>15.036838331070401</v>
      </c>
      <c r="BB489" s="1">
        <v>6.4486365318298304</v>
      </c>
      <c r="BC489" s="1">
        <v>4.1326317787170401</v>
      </c>
      <c r="BD489" s="7"/>
      <c r="BE489" s="1"/>
      <c r="BF489" s="1"/>
      <c r="BG489" s="8"/>
      <c r="BH489" s="1"/>
      <c r="BI489" s="1"/>
      <c r="BJ489" s="1"/>
      <c r="BK489" s="8"/>
    </row>
    <row r="490" spans="1:63">
      <c r="A490" s="49"/>
      <c r="B490" s="7" t="s">
        <v>103</v>
      </c>
      <c r="C490" s="17">
        <v>1.5</v>
      </c>
      <c r="D490" s="7">
        <v>29</v>
      </c>
      <c r="E490">
        <v>1.39495849609375</v>
      </c>
      <c r="F490">
        <v>35.607091142117703</v>
      </c>
      <c r="G490">
        <v>0.98643259041116504</v>
      </c>
      <c r="H490">
        <v>18.6750306381158</v>
      </c>
      <c r="I490">
        <v>38.697627825214603</v>
      </c>
      <c r="J490">
        <v>0.99145728647090003</v>
      </c>
      <c r="K490" s="8">
        <v>20.6840415700085</v>
      </c>
      <c r="L490" s="7">
        <v>26</v>
      </c>
      <c r="M490">
        <v>1.4036661783854101</v>
      </c>
      <c r="N490">
        <v>36.638593565214897</v>
      </c>
      <c r="O490">
        <v>0.98897904030080197</v>
      </c>
      <c r="P490">
        <v>19.5778058570944</v>
      </c>
      <c r="Q490">
        <v>39.793087306822201</v>
      </c>
      <c r="R490">
        <v>0.99313946834661704</v>
      </c>
      <c r="S490" s="1">
        <v>21.636422275609199</v>
      </c>
      <c r="T490" s="13">
        <f>bdrate(E490:E493,F490:F493,M490:M493,N490:N493)</f>
        <v>-0.17148010167975547</v>
      </c>
      <c r="U490" s="12">
        <f>bdrate(E490:E493,H490:H493,M490:M493,P490:P493)</f>
        <v>-0.17695175859210699</v>
      </c>
      <c r="V490" s="12">
        <f>bdrate(E490:E493,I490:I493,M490:M493,Q490:Q493)</f>
        <v>-0.18157343653777247</v>
      </c>
      <c r="W490" s="14">
        <f>bdrate(E490:E493,K490:K493,M490:M493,S490:S493)</f>
        <v>-0.13825745295691116</v>
      </c>
      <c r="X490" s="13">
        <f>bdrate(E492:E495,F492:F495,M492:M495,N492:N495)</f>
        <v>-0.18637962114436457</v>
      </c>
      <c r="Y490" s="12">
        <f>bdrate(E492:E495,H492:H495,M492:M495,P492:P495)</f>
        <v>-0.16749149167744304</v>
      </c>
      <c r="Z490" s="12">
        <f>bdrate(E492:E495,I492:I495,M492:M495,Q492:Q495)</f>
        <v>-0.21226308970246999</v>
      </c>
      <c r="AA490" s="14">
        <f>bdrate(E492:E495,K492:K495,M492:M495,S492:S495)</f>
        <v>-0.12758888408379976</v>
      </c>
      <c r="AB490" s="7">
        <v>64</v>
      </c>
      <c r="AC490">
        <v>1.5040486653645799</v>
      </c>
      <c r="AD490">
        <v>36.0233528089746</v>
      </c>
      <c r="AE490">
        <v>0.99168991198395795</v>
      </c>
      <c r="AF490">
        <v>20.803943763749</v>
      </c>
      <c r="AG490">
        <v>38.845672395814397</v>
      </c>
      <c r="AH490">
        <v>0.99479937622666903</v>
      </c>
      <c r="AI490" s="1">
        <v>22.8394456308278</v>
      </c>
      <c r="AJ490" s="1">
        <v>8.3847973346710205</v>
      </c>
      <c r="AK490" s="1">
        <v>3.67115926742553</v>
      </c>
      <c r="AL490" s="13">
        <f>bdrate(E490:E493,F490:F493,AC490:AC493,AD490:AD493)</f>
        <v>-7.8369338081785145E-4</v>
      </c>
      <c r="AM490" s="12">
        <f>bdrate(E490:E493,H490:H493,AC490:AC493,AF490:AF493)</f>
        <v>-0.2718692599774043</v>
      </c>
      <c r="AN490" s="12">
        <f>bdrate(E490:E493,I490:I493,AC490:AC493,AG490:AG493)</f>
        <v>2.6342200209758637E-2</v>
      </c>
      <c r="AO490" s="14">
        <f>bdrate(E490:E493,K490:K493,AC490:AC493,AI490:AI493)</f>
        <v>-0.22289028766540608</v>
      </c>
      <c r="AP490" s="12">
        <f>bdrate(E492:E495,F492:F495,AC492:AC495,AD492:AD495)</f>
        <v>4.9699591871235516E-2</v>
      </c>
      <c r="AQ490" s="12">
        <f>bdrate(E492:E495,H492:H495,AC492:AC495,AF492:AF495)</f>
        <v>-0.3491344193133803</v>
      </c>
      <c r="AR490" s="12">
        <f>bdrate(E492:E495,I492:I495,AC492:AC495,AG492:AG495)</f>
        <v>1.2813373284983998E-2</v>
      </c>
      <c r="AS490" s="14">
        <f>bdrate(E492:E495,K492:K495,AC492:AC495,AI492:AI495)</f>
        <v>-0.29275551098797914</v>
      </c>
      <c r="AT490" s="7">
        <v>3.2</v>
      </c>
      <c r="AU490">
        <v>1.67926025390625</v>
      </c>
      <c r="AV490">
        <v>34.1026143795726</v>
      </c>
      <c r="AW490">
        <v>0.99647262194986796</v>
      </c>
      <c r="AX490">
        <v>24.525479919096899</v>
      </c>
      <c r="AY490">
        <v>37.325635769848503</v>
      </c>
      <c r="AZ490">
        <v>0.99749524488777297</v>
      </c>
      <c r="BA490" s="1">
        <v>26.012347283226799</v>
      </c>
      <c r="BB490" s="1">
        <v>63.190165519714299</v>
      </c>
      <c r="BC490" s="1">
        <v>17.8219814300537</v>
      </c>
      <c r="BD490" s="13">
        <f>bdrate(E490:E493,F490:F493,AU490:AU493,AV490:AV493)</f>
        <v>0.62744530591059644</v>
      </c>
      <c r="BE490" s="12">
        <f>bdrate(E490:E493,H490:H493,AU490:AU493,AX490:AX493)</f>
        <v>-0.5387349852517922</v>
      </c>
      <c r="BF490" s="12">
        <f>bdrate(E490:E493,I490:I493,AU490:AU493,AY490:AY493)</f>
        <v>0.49239782021680178</v>
      </c>
      <c r="BG490" s="14">
        <f>bdrate(E490:E493,K490:K493,AU490:AU493,BA490:BA493)</f>
        <v>-0.4697645429939159</v>
      </c>
      <c r="BH490" s="12">
        <f>bdrate(E492:E495,F492:F495,AU492:AU495,AV492:AV495)</f>
        <v>0.3831579124875617</v>
      </c>
      <c r="BI490" s="12">
        <f>bdrate(E492:E495,H492:H495,AU492:AU495,AX492:AX495)</f>
        <v>-0.53186773972106594</v>
      </c>
      <c r="BJ490" s="12">
        <f>bdrate(E492:E495,I492:I495,AU492:AU495,AY492:AY495)</f>
        <v>0.25142541616599368</v>
      </c>
      <c r="BK490" s="14">
        <f>bdrate(E492:E495,K492:K495,AU492:AU495,BA492:BA495)</f>
        <v>-0.47833411839536033</v>
      </c>
    </row>
    <row r="491" spans="1:63">
      <c r="A491" s="49"/>
      <c r="B491" s="7" t="s">
        <v>18</v>
      </c>
      <c r="C491" s="17">
        <v>1</v>
      </c>
      <c r="D491" s="7">
        <v>33</v>
      </c>
      <c r="E491">
        <v>0.89853922526041596</v>
      </c>
      <c r="F491">
        <v>32.814660051971998</v>
      </c>
      <c r="G491">
        <v>0.97624599308997195</v>
      </c>
      <c r="H491">
        <v>16.242631215281001</v>
      </c>
      <c r="I491">
        <v>35.869080685646303</v>
      </c>
      <c r="J491">
        <v>0.98446550154143897</v>
      </c>
      <c r="K491" s="8">
        <v>18.0870276366397</v>
      </c>
      <c r="L491" s="7">
        <v>30</v>
      </c>
      <c r="M491">
        <v>0.92685953776041596</v>
      </c>
      <c r="N491">
        <v>34.060919977704302</v>
      </c>
      <c r="O491">
        <v>0.98171886438984501</v>
      </c>
      <c r="P491">
        <v>17.3799682972335</v>
      </c>
      <c r="Q491">
        <v>37.163727534326497</v>
      </c>
      <c r="R491">
        <v>0.98774116052203198</v>
      </c>
      <c r="S491" s="1">
        <v>19.1155064174019</v>
      </c>
      <c r="T491" s="7"/>
      <c r="U491" s="1"/>
      <c r="V491" s="1"/>
      <c r="W491" s="8"/>
      <c r="X491" s="7"/>
      <c r="Y491" s="1"/>
      <c r="Z491" s="1"/>
      <c r="AA491" s="8"/>
      <c r="AB491" s="7">
        <v>32</v>
      </c>
      <c r="AC491">
        <v>1.11468505859375</v>
      </c>
      <c r="AD491">
        <v>34.319305424702399</v>
      </c>
      <c r="AE491">
        <v>0.98749078045140404</v>
      </c>
      <c r="AF491">
        <v>19.0276978513564</v>
      </c>
      <c r="AG491">
        <v>37.148960355967397</v>
      </c>
      <c r="AH491">
        <v>0.99159945795498605</v>
      </c>
      <c r="AI491" s="1">
        <v>20.7569269018055</v>
      </c>
      <c r="AJ491" s="1">
        <v>7.1093437671661297</v>
      </c>
      <c r="AK491" s="1">
        <v>3.6086156368255602</v>
      </c>
      <c r="AL491" s="7"/>
      <c r="AM491" s="1"/>
      <c r="AN491" s="1"/>
      <c r="AO491" s="8"/>
      <c r="AP491" s="1"/>
      <c r="AQ491" s="1"/>
      <c r="AR491" s="1"/>
      <c r="AS491" s="8"/>
      <c r="AT491" s="7">
        <v>1.28</v>
      </c>
      <c r="AU491">
        <v>1.11602783203125</v>
      </c>
      <c r="AV491">
        <v>31.393052157465402</v>
      </c>
      <c r="AW491">
        <v>0.99345316915387005</v>
      </c>
      <c r="AX491">
        <v>21.8396888002525</v>
      </c>
      <c r="AY491">
        <v>34.833086736148601</v>
      </c>
      <c r="AZ491">
        <v>0.995196933921903</v>
      </c>
      <c r="BA491" s="1">
        <v>23.184814385213301</v>
      </c>
      <c r="BB491" s="1">
        <v>11.6476624011993</v>
      </c>
      <c r="BC491" s="1">
        <v>4.3493473529815603</v>
      </c>
      <c r="BD491" s="7"/>
      <c r="BE491" s="1"/>
      <c r="BF491" s="1"/>
      <c r="BG491" s="8"/>
      <c r="BH491" s="1"/>
      <c r="BI491" s="1"/>
      <c r="BJ491" s="1"/>
      <c r="BK491" s="8"/>
    </row>
    <row r="492" spans="1:63">
      <c r="A492" s="49"/>
      <c r="B492" s="7" t="s">
        <v>18</v>
      </c>
      <c r="C492" s="17">
        <v>0.5</v>
      </c>
      <c r="D492" s="7">
        <v>38</v>
      </c>
      <c r="E492">
        <v>0.461669921875</v>
      </c>
      <c r="F492">
        <v>29.4154260048889</v>
      </c>
      <c r="G492">
        <v>0.95059429169756904</v>
      </c>
      <c r="H492">
        <v>13.062228700839301</v>
      </c>
      <c r="I492">
        <v>32.463792758630198</v>
      </c>
      <c r="J492">
        <v>0.96431824091409701</v>
      </c>
      <c r="K492" s="8">
        <v>14.475537433522801</v>
      </c>
      <c r="L492" s="7">
        <v>36</v>
      </c>
      <c r="M492">
        <v>0.44222005208333298</v>
      </c>
      <c r="N492">
        <v>30.115903486556402</v>
      </c>
      <c r="O492">
        <v>0.958084307504245</v>
      </c>
      <c r="P492">
        <v>13.7762335439848</v>
      </c>
      <c r="Q492">
        <v>33.233221194103798</v>
      </c>
      <c r="R492">
        <v>0.968561866187439</v>
      </c>
      <c r="S492" s="1">
        <v>15.0254324186168</v>
      </c>
      <c r="T492" s="7"/>
      <c r="U492" s="1"/>
      <c r="V492" s="1"/>
      <c r="W492" s="8"/>
      <c r="X492" s="7"/>
      <c r="Y492" s="1"/>
      <c r="Z492" s="1"/>
      <c r="AA492" s="8"/>
      <c r="AB492" s="7">
        <v>16</v>
      </c>
      <c r="AC492">
        <v>0.76702880859375</v>
      </c>
      <c r="AD492">
        <v>31.846469944969101</v>
      </c>
      <c r="AE492">
        <v>0.98022482239055497</v>
      </c>
      <c r="AF492">
        <v>17.038796072257099</v>
      </c>
      <c r="AG492">
        <v>34.7523619542932</v>
      </c>
      <c r="AH492">
        <v>0.98620246454705396</v>
      </c>
      <c r="AI492" s="1">
        <v>18.601984813359898</v>
      </c>
      <c r="AJ492" s="1">
        <v>6.7937102317809996</v>
      </c>
      <c r="AK492" s="1">
        <v>3.8042025566100999</v>
      </c>
      <c r="AL492" s="7"/>
      <c r="AM492" s="1"/>
      <c r="AN492" s="1"/>
      <c r="AO492" s="8"/>
      <c r="AP492" s="1"/>
      <c r="AQ492" s="1"/>
      <c r="AR492" s="1"/>
      <c r="AS492" s="8"/>
      <c r="AT492" s="7">
        <v>0.32</v>
      </c>
      <c r="AU492">
        <v>0.58253987630208304</v>
      </c>
      <c r="AV492">
        <v>28.166572244091402</v>
      </c>
      <c r="AW492">
        <v>0.98444861644838499</v>
      </c>
      <c r="AX492">
        <v>18.082309672736599</v>
      </c>
      <c r="AY492">
        <v>31.741208325890099</v>
      </c>
      <c r="AZ492">
        <v>0.98809349499453603</v>
      </c>
      <c r="BA492" s="1">
        <v>19.242157011194799</v>
      </c>
      <c r="BB492" s="1">
        <v>10.3815112113952</v>
      </c>
      <c r="BC492" s="1">
        <v>6.19921374320983</v>
      </c>
      <c r="BD492" s="7"/>
      <c r="BE492" s="1"/>
      <c r="BF492" s="1"/>
      <c r="BG492" s="8"/>
      <c r="BH492" s="1"/>
      <c r="BI492" s="1"/>
      <c r="BJ492" s="1"/>
      <c r="BK492" s="8"/>
    </row>
    <row r="493" spans="1:63">
      <c r="A493" s="49"/>
      <c r="B493" s="7" t="s">
        <v>18</v>
      </c>
      <c r="C493" s="17">
        <v>0.25</v>
      </c>
      <c r="D493" s="7">
        <v>42</v>
      </c>
      <c r="E493">
        <v>0.23720296223958301</v>
      </c>
      <c r="F493">
        <v>26.8785779144511</v>
      </c>
      <c r="G493">
        <v>0.91096235686413496</v>
      </c>
      <c r="H493">
        <v>10.5042634448012</v>
      </c>
      <c r="I493">
        <v>29.976491893664701</v>
      </c>
      <c r="J493">
        <v>0.92871731844390804</v>
      </c>
      <c r="K493" s="8">
        <v>11.470159711049</v>
      </c>
      <c r="L493" s="7">
        <v>40</v>
      </c>
      <c r="M493">
        <v>0.23600260416666599</v>
      </c>
      <c r="N493">
        <v>27.553723452909999</v>
      </c>
      <c r="O493">
        <v>0.92399469148498403</v>
      </c>
      <c r="P493">
        <v>11.191560737946601</v>
      </c>
      <c r="Q493">
        <v>30.7255611175637</v>
      </c>
      <c r="R493">
        <v>0.93779223199976502</v>
      </c>
      <c r="S493" s="1">
        <v>12.061553807594199</v>
      </c>
      <c r="T493" s="7"/>
      <c r="U493" s="1"/>
      <c r="V493" s="1"/>
      <c r="W493" s="8"/>
      <c r="X493" s="7"/>
      <c r="Y493" s="1"/>
      <c r="Z493" s="1"/>
      <c r="AA493" s="8"/>
      <c r="AB493" s="7">
        <v>8</v>
      </c>
      <c r="AC493">
        <v>0.50644938151041596</v>
      </c>
      <c r="AD493">
        <v>29.6712915322307</v>
      </c>
      <c r="AE493">
        <v>0.96986402049504405</v>
      </c>
      <c r="AF493">
        <v>15.2091468816208</v>
      </c>
      <c r="AG493">
        <v>32.7473583919001</v>
      </c>
      <c r="AH493">
        <v>0.97747006707673401</v>
      </c>
      <c r="AI493" s="1">
        <v>16.472401012677</v>
      </c>
      <c r="AJ493" s="1">
        <v>6.3329594135284397</v>
      </c>
      <c r="AK493" s="1">
        <v>3.28717637062072</v>
      </c>
      <c r="AL493" s="7"/>
      <c r="AM493" s="1"/>
      <c r="AN493" s="1"/>
      <c r="AO493" s="8"/>
      <c r="AP493" s="1"/>
      <c r="AQ493" s="1"/>
      <c r="AR493" s="1"/>
      <c r="AS493" s="8"/>
      <c r="AT493" s="7">
        <v>0.16</v>
      </c>
      <c r="AU493">
        <v>0.41448974609375</v>
      </c>
      <c r="AV493">
        <v>27.433319142881199</v>
      </c>
      <c r="AW493">
        <v>0.97631684200665803</v>
      </c>
      <c r="AX493">
        <v>16.255603877752101</v>
      </c>
      <c r="AY493">
        <v>30.917213122745299</v>
      </c>
      <c r="AZ493">
        <v>0.98157695255742505</v>
      </c>
      <c r="BA493" s="1">
        <v>17.3463852951236</v>
      </c>
      <c r="BB493" s="1">
        <v>7.0402724742889404</v>
      </c>
      <c r="BC493" s="1">
        <v>4.5707826614379803</v>
      </c>
      <c r="BD493" s="7"/>
      <c r="BE493" s="1"/>
      <c r="BF493" s="1"/>
      <c r="BG493" s="8"/>
      <c r="BH493" s="1"/>
      <c r="BI493" s="1"/>
      <c r="BJ493" s="1"/>
      <c r="BK493" s="8"/>
    </row>
    <row r="494" spans="1:63">
      <c r="A494" s="49"/>
      <c r="B494" s="7" t="s">
        <v>18</v>
      </c>
      <c r="C494" s="17">
        <v>0.12</v>
      </c>
      <c r="D494" s="7">
        <v>46</v>
      </c>
      <c r="E494">
        <v>0.10508219401041601</v>
      </c>
      <c r="F494">
        <v>24.690328779944601</v>
      </c>
      <c r="G494">
        <v>0.84425740086822998</v>
      </c>
      <c r="H494">
        <v>8.0759258179624602</v>
      </c>
      <c r="I494">
        <v>27.823156760793101</v>
      </c>
      <c r="J494">
        <v>0.86526533543948103</v>
      </c>
      <c r="K494" s="8">
        <v>8.7052065453272203</v>
      </c>
      <c r="L494" s="7">
        <v>44</v>
      </c>
      <c r="M494">
        <v>0.112325032552083</v>
      </c>
      <c r="N494">
        <v>25.3353401083655</v>
      </c>
      <c r="O494">
        <v>0.86447599256561503</v>
      </c>
      <c r="P494">
        <v>8.6798376476936205</v>
      </c>
      <c r="Q494">
        <v>28.558364435788398</v>
      </c>
      <c r="R494">
        <v>0.88104975410040398</v>
      </c>
      <c r="S494" s="1">
        <v>9.2463465583161408</v>
      </c>
      <c r="T494" s="7"/>
      <c r="U494" s="1"/>
      <c r="V494" s="1"/>
      <c r="W494" s="8"/>
      <c r="X494" s="7"/>
      <c r="Y494" s="1"/>
      <c r="Z494" s="1"/>
      <c r="AA494" s="8"/>
      <c r="AB494" s="7">
        <v>4</v>
      </c>
      <c r="AC494">
        <v>0.31813557942708298</v>
      </c>
      <c r="AD494">
        <v>27.636905780893301</v>
      </c>
      <c r="AE494">
        <v>0.95199966384164803</v>
      </c>
      <c r="AF494">
        <v>13.1875572114095</v>
      </c>
      <c r="AG494">
        <v>30.854107663999802</v>
      </c>
      <c r="AH494">
        <v>0.96190861202213795</v>
      </c>
      <c r="AI494" s="1">
        <v>14.1917320218431</v>
      </c>
      <c r="AJ494" s="1">
        <v>7.94722175598144</v>
      </c>
      <c r="AK494" s="1">
        <v>5.1549923419952304</v>
      </c>
      <c r="AL494" s="7"/>
      <c r="AM494" s="1"/>
      <c r="AN494" s="1"/>
      <c r="AO494" s="8"/>
      <c r="AP494" s="1"/>
      <c r="AQ494" s="1"/>
      <c r="AR494" s="1"/>
      <c r="AS494" s="8"/>
      <c r="AT494" s="7">
        <v>0.08</v>
      </c>
      <c r="AU494">
        <v>0.28692626953125</v>
      </c>
      <c r="AV494">
        <v>26.621237111168899</v>
      </c>
      <c r="AW494">
        <v>0.96350684475920101</v>
      </c>
      <c r="AX494">
        <v>14.3778858540412</v>
      </c>
      <c r="AY494">
        <v>30.023167313392701</v>
      </c>
      <c r="AZ494">
        <v>0.970589675887921</v>
      </c>
      <c r="BA494" s="1">
        <v>15.315001893891599</v>
      </c>
      <c r="BB494" s="1">
        <v>5.8006653785705504</v>
      </c>
      <c r="BC494" s="1">
        <v>3.7631967067718501</v>
      </c>
      <c r="BD494" s="7"/>
      <c r="BE494" s="1"/>
      <c r="BF494" s="1"/>
      <c r="BG494" s="8"/>
      <c r="BH494" s="1"/>
      <c r="BI494" s="1"/>
      <c r="BJ494" s="1"/>
      <c r="BK494" s="8"/>
    </row>
    <row r="495" spans="1:63">
      <c r="A495" s="49"/>
      <c r="B495" s="7" t="s">
        <v>18</v>
      </c>
      <c r="C495" s="17">
        <v>0.06</v>
      </c>
      <c r="D495" s="7">
        <v>49</v>
      </c>
      <c r="E495">
        <v>5.3324381510416602E-2</v>
      </c>
      <c r="F495">
        <v>23.395555249804701</v>
      </c>
      <c r="G495">
        <v>0.78353440734565205</v>
      </c>
      <c r="H495">
        <v>6.6461112521308303</v>
      </c>
      <c r="I495">
        <v>26.535380332913899</v>
      </c>
      <c r="J495">
        <v>0.80308920930362004</v>
      </c>
      <c r="K495" s="8">
        <v>7.0573048390512296</v>
      </c>
      <c r="L495" s="7">
        <v>47</v>
      </c>
      <c r="M495">
        <v>5.8003743489583301E-2</v>
      </c>
      <c r="N495">
        <v>23.915758977084199</v>
      </c>
      <c r="O495">
        <v>0.80512000573124798</v>
      </c>
      <c r="P495">
        <v>7.1023274181943501</v>
      </c>
      <c r="Q495">
        <v>27.1567317895888</v>
      </c>
      <c r="R495">
        <v>0.82220453784253</v>
      </c>
      <c r="S495" s="1">
        <v>7.5007932764656999</v>
      </c>
      <c r="T495" s="7"/>
      <c r="U495" s="1"/>
      <c r="V495" s="1"/>
      <c r="W495" s="8"/>
      <c r="X495" s="7"/>
      <c r="Y495" s="1"/>
      <c r="Z495" s="1"/>
      <c r="AA495" s="8"/>
      <c r="AB495" s="7">
        <v>2</v>
      </c>
      <c r="AC495">
        <v>0.18267822265625</v>
      </c>
      <c r="AD495">
        <v>26.078294960741498</v>
      </c>
      <c r="AE495">
        <v>0.92358368892659704</v>
      </c>
      <c r="AF495">
        <v>11.1681393130521</v>
      </c>
      <c r="AG495">
        <v>29.356080219776899</v>
      </c>
      <c r="AH495">
        <v>0.93603314769423995</v>
      </c>
      <c r="AI495" s="1">
        <v>11.940450196102899</v>
      </c>
      <c r="AJ495" s="1">
        <v>7.0978441238403303</v>
      </c>
      <c r="AK495" s="1">
        <v>5.2979037761688197</v>
      </c>
      <c r="AL495" s="7"/>
      <c r="AM495" s="1"/>
      <c r="AN495" s="1"/>
      <c r="AO495" s="8"/>
      <c r="AP495" s="1"/>
      <c r="AQ495" s="1"/>
      <c r="AR495" s="1"/>
      <c r="AS495" s="8"/>
      <c r="AT495" s="7">
        <v>0.04</v>
      </c>
      <c r="AU495">
        <v>0.18166097005208301</v>
      </c>
      <c r="AV495">
        <v>25.425148170515001</v>
      </c>
      <c r="AW495">
        <v>0.94123671701637102</v>
      </c>
      <c r="AX495">
        <v>12.308939490654801</v>
      </c>
      <c r="AY495">
        <v>28.749329871673499</v>
      </c>
      <c r="AZ495">
        <v>0.95106101772341101</v>
      </c>
      <c r="BA495" s="1">
        <v>13.1034506637485</v>
      </c>
      <c r="BB495" s="1">
        <v>6.28812551498413</v>
      </c>
      <c r="BC495" s="1">
        <v>4.1371679306030202</v>
      </c>
      <c r="BD495" s="7"/>
      <c r="BE495" s="1"/>
      <c r="BF495" s="1"/>
      <c r="BG495" s="8"/>
      <c r="BH495" s="1"/>
      <c r="BI495" s="1"/>
      <c r="BJ495" s="1"/>
      <c r="BK495" s="8"/>
    </row>
    <row r="496" spans="1:63">
      <c r="A496" s="49"/>
      <c r="B496" s="7" t="s">
        <v>104</v>
      </c>
      <c r="C496" s="17">
        <v>1.5</v>
      </c>
      <c r="D496" s="7">
        <v>25</v>
      </c>
      <c r="E496">
        <v>1.3686319986979101</v>
      </c>
      <c r="F496">
        <v>39.390285661982702</v>
      </c>
      <c r="G496">
        <v>0.99131476773148297</v>
      </c>
      <c r="H496">
        <v>20.612185627567499</v>
      </c>
      <c r="I496">
        <v>42.488954156895403</v>
      </c>
      <c r="J496">
        <v>0.99505779748405598</v>
      </c>
      <c r="K496" s="8">
        <v>23.060794625448999</v>
      </c>
      <c r="L496" s="7">
        <v>21</v>
      </c>
      <c r="M496">
        <v>1.49871826171875</v>
      </c>
      <c r="N496">
        <v>40.767193651418303</v>
      </c>
      <c r="O496">
        <v>0.99346157157721604</v>
      </c>
      <c r="P496">
        <v>21.845266261914201</v>
      </c>
      <c r="Q496">
        <v>43.973509169804402</v>
      </c>
      <c r="R496">
        <v>0.99637307416125598</v>
      </c>
      <c r="S496" s="1">
        <v>24.404613245280601</v>
      </c>
      <c r="T496" s="13">
        <f>bdrate(E496:E499,F496:F499,M496:M499,N496:N499)</f>
        <v>-0.19641598849467323</v>
      </c>
      <c r="U496" s="12">
        <f>bdrate(E496:E499,H496:H499,M496:M499,P496:P499)</f>
        <v>-0.22074097243652613</v>
      </c>
      <c r="V496" s="12">
        <f>bdrate(E496:E499,I496:I499,M496:M499,Q496:Q499)</f>
        <v>-0.21554550835988551</v>
      </c>
      <c r="W496" s="14">
        <f>bdrate(E496:E499,K496:K499,M496:M499,S496:S499)</f>
        <v>-0.13639847418420625</v>
      </c>
      <c r="X496" s="13">
        <f>bdrate(E498:E501,F498:F501,M498:M501,N498:N501)</f>
        <v>-0.26944825225426683</v>
      </c>
      <c r="Y496" s="12">
        <f>bdrate(E498:E501,H498:H501,M498:M501,P498:P501)</f>
        <v>-0.23890432466668887</v>
      </c>
      <c r="Z496" s="12">
        <f>bdrate(E498:E501,I498:I501,M498:M501,Q498:Q501)</f>
        <v>-0.32449067340930604</v>
      </c>
      <c r="AA496" s="14">
        <f>bdrate(E498:E501,K498:K501,M498:M501,S498:S501)</f>
        <v>-0.17234692351910552</v>
      </c>
      <c r="AB496" s="7">
        <v>128</v>
      </c>
      <c r="AC496">
        <v>1.5476277669270799</v>
      </c>
      <c r="AD496">
        <v>40.685182321655503</v>
      </c>
      <c r="AE496">
        <v>0.99396975762167405</v>
      </c>
      <c r="AF496">
        <v>22.1966523156565</v>
      </c>
      <c r="AG496">
        <v>43.512520280703001</v>
      </c>
      <c r="AH496">
        <v>0.99626577943064298</v>
      </c>
      <c r="AI496" s="1">
        <v>24.278000331396399</v>
      </c>
      <c r="AJ496" s="1">
        <v>37.719119310379</v>
      </c>
      <c r="AK496" s="1">
        <v>16.100401401519701</v>
      </c>
      <c r="AL496" s="13">
        <f>bdrate(E496:E499,F496:F499,AC496:AC499,AD496:AD499)</f>
        <v>-2.7749235784760962E-2</v>
      </c>
      <c r="AM496" s="12">
        <f>bdrate(E496:E499,H496:H499,AC496:AC499,AF496:AF499)</f>
        <v>-0.19460661540637558</v>
      </c>
      <c r="AN496" s="12">
        <f>bdrate(E496:E499,I496:I499,AC496:AC499,AG496:AG499)</f>
        <v>-1.3931834883006311E-2</v>
      </c>
      <c r="AO496" s="14">
        <f>bdrate(E496:E499,K496:K499,AC496:AC499,AI496:AI499)</f>
        <v>-7.5504711227646126E-2</v>
      </c>
      <c r="AP496" s="12">
        <f>bdrate(E498:E501,F498:F501,AC498:AC501,AD498:AD501)</f>
        <v>-0.10101580887295358</v>
      </c>
      <c r="AQ496" s="12">
        <f>bdrate(E498:E501,H498:H501,AC498:AC501,AF498:AF501)</f>
        <v>-0.26295072259713603</v>
      </c>
      <c r="AR496" s="12">
        <f>bdrate(E498:E501,I498:I501,AC498:AC501,AG498:AG501)</f>
        <v>-0.12512917433480697</v>
      </c>
      <c r="AS496" s="14">
        <f>bdrate(E498:E501,K498:K501,AC498:AC501,AI498:AI501)</f>
        <v>-0.16708786769678396</v>
      </c>
      <c r="AT496" s="7">
        <v>3.2</v>
      </c>
      <c r="AU496">
        <v>1.32611083984375</v>
      </c>
      <c r="AV496">
        <v>36.277153698459699</v>
      </c>
      <c r="AW496">
        <v>0.99677832635474395</v>
      </c>
      <c r="AX496">
        <v>24.919184556123898</v>
      </c>
      <c r="AY496">
        <v>39.464606994284203</v>
      </c>
      <c r="AZ496">
        <v>0.99775799921688002</v>
      </c>
      <c r="BA496" s="1">
        <v>26.493642400441001</v>
      </c>
      <c r="BB496" s="1">
        <v>59.110479116439798</v>
      </c>
      <c r="BC496" s="1">
        <v>17.869141101837101</v>
      </c>
      <c r="BD496" s="13">
        <f>bdrate(E496:E499,F496:F499,AU496:AU499,AV496:AV499)</f>
        <v>0.82900247272031624</v>
      </c>
      <c r="BE496" s="12">
        <f>bdrate(E496:E499,H496:H499,AU496:AU499,AX496:AX499)</f>
        <v>-0.5650979070359502</v>
      </c>
      <c r="BF496" s="12">
        <f>bdrate(E496:E499,I496:I499,AU496:AU499,AY496:AY499)</f>
        <v>0.68162827712159446</v>
      </c>
      <c r="BG496" s="14">
        <f>bdrate(E496:E499,K496:K499,AU496:AU499,BA496:BA499)</f>
        <v>-0.46743467099074565</v>
      </c>
      <c r="BH496" s="12">
        <f>bdrate(E498:E501,F498:F501,AU498:AU501,AV498:AV501)</f>
        <v>1.0880351183607173</v>
      </c>
      <c r="BI496" s="12">
        <f>bdrate(E498:E501,H498:H501,AU498:AU501,AX498:AX501)</f>
        <v>-0.55371893409323736</v>
      </c>
      <c r="BJ496" s="12">
        <f>bdrate(E498:E501,I498:I501,AU498:AU501,AY498:AY501)</f>
        <v>0.843305661915555</v>
      </c>
      <c r="BK496" s="14">
        <f>bdrate(E498:E501,K498:K501,AU498:AU501,BA498:BA501)</f>
        <v>-0.50601141894116886</v>
      </c>
    </row>
    <row r="497" spans="1:63">
      <c r="A497" s="49"/>
      <c r="B497" s="7" t="s">
        <v>18</v>
      </c>
      <c r="C497" s="17">
        <v>1</v>
      </c>
      <c r="D497" s="7">
        <v>28</v>
      </c>
      <c r="E497">
        <v>0.9881591796875</v>
      </c>
      <c r="F497">
        <v>37.3862695937637</v>
      </c>
      <c r="G497">
        <v>0.98737762560127096</v>
      </c>
      <c r="H497">
        <v>18.988589421385399</v>
      </c>
      <c r="I497">
        <v>40.439587440441898</v>
      </c>
      <c r="J497">
        <v>0.99221571273847298</v>
      </c>
      <c r="K497" s="8">
        <v>21.087811457877802</v>
      </c>
      <c r="L497" s="7">
        <v>26</v>
      </c>
      <c r="M497">
        <v>0.89532470703125</v>
      </c>
      <c r="N497">
        <v>37.885988850520903</v>
      </c>
      <c r="O497">
        <v>0.98898751901687898</v>
      </c>
      <c r="P497">
        <v>19.5811482853975</v>
      </c>
      <c r="Q497">
        <v>40.9902583290366</v>
      </c>
      <c r="R497">
        <v>0.99261548645063202</v>
      </c>
      <c r="S497" s="1">
        <v>21.316781083118801</v>
      </c>
      <c r="T497" s="7"/>
      <c r="U497" s="1"/>
      <c r="V497" s="1"/>
      <c r="W497" s="8"/>
      <c r="X497" s="7"/>
      <c r="Y497" s="1"/>
      <c r="Z497" s="1"/>
      <c r="AA497" s="8"/>
      <c r="AB497" s="7">
        <v>64</v>
      </c>
      <c r="AC497">
        <v>1.11663818359375</v>
      </c>
      <c r="AD497">
        <v>38.203109642201298</v>
      </c>
      <c r="AE497">
        <v>0.99109801644997797</v>
      </c>
      <c r="AF497">
        <v>20.505132125856601</v>
      </c>
      <c r="AG497">
        <v>41.082941871047701</v>
      </c>
      <c r="AH497">
        <v>0.99393886954435695</v>
      </c>
      <c r="AI497" s="1">
        <v>22.174463684308201</v>
      </c>
      <c r="AJ497" s="1">
        <v>8.2460350990295392</v>
      </c>
      <c r="AK497" s="1">
        <v>3.6715528964996298</v>
      </c>
      <c r="AL497" s="7"/>
      <c r="AM497" s="1"/>
      <c r="AN497" s="1"/>
      <c r="AO497" s="8"/>
      <c r="AP497" s="1"/>
      <c r="AQ497" s="1"/>
      <c r="AR497" s="1"/>
      <c r="AS497" s="8"/>
      <c r="AT497" s="7">
        <v>1.28</v>
      </c>
      <c r="AU497">
        <v>0.88295491536458304</v>
      </c>
      <c r="AV497">
        <v>33.433288306423997</v>
      </c>
      <c r="AW497">
        <v>0.99425030598177599</v>
      </c>
      <c r="AX497">
        <v>22.4035526656827</v>
      </c>
      <c r="AY497">
        <v>36.949957155665999</v>
      </c>
      <c r="AZ497">
        <v>0.995764506720346</v>
      </c>
      <c r="BA497" s="1">
        <v>23.730960030058998</v>
      </c>
      <c r="BB497" s="1">
        <v>10.7972948551177</v>
      </c>
      <c r="BC497" s="1">
        <v>4.82415723800659</v>
      </c>
      <c r="BD497" s="7"/>
      <c r="BE497" s="1"/>
      <c r="BF497" s="1"/>
      <c r="BG497" s="8"/>
      <c r="BH497" s="1"/>
      <c r="BI497" s="1"/>
      <c r="BJ497" s="1"/>
      <c r="BK497" s="8"/>
    </row>
    <row r="498" spans="1:63">
      <c r="A498" s="49"/>
      <c r="B498" s="7" t="s">
        <v>18</v>
      </c>
      <c r="C498" s="17">
        <v>0.5</v>
      </c>
      <c r="D498" s="7">
        <v>34</v>
      </c>
      <c r="E498">
        <v>0.44179280598958298</v>
      </c>
      <c r="F498">
        <v>33.296178812749197</v>
      </c>
      <c r="G498">
        <v>0.97128567693011802</v>
      </c>
      <c r="H498">
        <v>15.4190141760257</v>
      </c>
      <c r="I498">
        <v>36.4275019659067</v>
      </c>
      <c r="J498">
        <v>0.97869124125102003</v>
      </c>
      <c r="K498" s="8">
        <v>16.714418475250699</v>
      </c>
      <c r="L498" s="7">
        <v>31</v>
      </c>
      <c r="M498">
        <v>0.47267659505208298</v>
      </c>
      <c r="N498">
        <v>34.662743282606797</v>
      </c>
      <c r="O498">
        <v>0.97928200693488798</v>
      </c>
      <c r="P498">
        <v>16.836523166373201</v>
      </c>
      <c r="Q498">
        <v>37.879881851315098</v>
      </c>
      <c r="R498">
        <v>0.98352570884707902</v>
      </c>
      <c r="S498" s="1">
        <v>17.831932629250201</v>
      </c>
      <c r="T498" s="7"/>
      <c r="U498" s="1"/>
      <c r="V498" s="1"/>
      <c r="W498" s="8"/>
      <c r="X498" s="7"/>
      <c r="Y498" s="1"/>
      <c r="Z498" s="1"/>
      <c r="AA498" s="8"/>
      <c r="AB498" s="7">
        <v>16</v>
      </c>
      <c r="AC498">
        <v>0.53143310546875</v>
      </c>
      <c r="AD498">
        <v>34.290431972331</v>
      </c>
      <c r="AE498">
        <v>0.98082355189996895</v>
      </c>
      <c r="AF498">
        <v>17.172318306068199</v>
      </c>
      <c r="AG498">
        <v>37.387462230750899</v>
      </c>
      <c r="AH498">
        <v>0.98455604043019795</v>
      </c>
      <c r="AI498" s="1">
        <v>18.1124134397073</v>
      </c>
      <c r="AJ498" s="1">
        <v>33.542927980422903</v>
      </c>
      <c r="AK498" s="1">
        <v>4.0040926933288503</v>
      </c>
      <c r="AL498" s="7"/>
      <c r="AM498" s="1"/>
      <c r="AN498" s="1"/>
      <c r="AO498" s="8"/>
      <c r="AP498" s="1"/>
      <c r="AQ498" s="1"/>
      <c r="AR498" s="1"/>
      <c r="AS498" s="8"/>
      <c r="AT498" s="7">
        <v>0.32</v>
      </c>
      <c r="AU498">
        <v>0.40346272786458298</v>
      </c>
      <c r="AV498">
        <v>30.7911875829266</v>
      </c>
      <c r="AW498">
        <v>0.98657332310500301</v>
      </c>
      <c r="AX498">
        <v>18.7203146199607</v>
      </c>
      <c r="AY498">
        <v>34.385122590436801</v>
      </c>
      <c r="AZ498">
        <v>0.98935178176115801</v>
      </c>
      <c r="BA498" s="1">
        <v>19.727230564295599</v>
      </c>
      <c r="BB498" s="1">
        <v>10.1509816646575</v>
      </c>
      <c r="BC498" s="1">
        <v>6.4837989807128897</v>
      </c>
      <c r="BD498" s="7"/>
      <c r="BE498" s="1"/>
      <c r="BF498" s="1"/>
      <c r="BG498" s="8"/>
      <c r="BH498" s="1"/>
      <c r="BI498" s="1"/>
      <c r="BJ498" s="1"/>
      <c r="BK498" s="8"/>
    </row>
    <row r="499" spans="1:63">
      <c r="A499" s="49"/>
      <c r="B499" s="7" t="s">
        <v>18</v>
      </c>
      <c r="C499" s="17">
        <v>0.25</v>
      </c>
      <c r="D499" s="7">
        <v>38</v>
      </c>
      <c r="E499">
        <v>0.22977701822916599</v>
      </c>
      <c r="F499">
        <v>30.8182003575759</v>
      </c>
      <c r="G499">
        <v>0.94845677546043705</v>
      </c>
      <c r="H499">
        <v>12.878284155108799</v>
      </c>
      <c r="I499">
        <v>34.057634654564097</v>
      </c>
      <c r="J499">
        <v>0.95687420122978994</v>
      </c>
      <c r="K499" s="8">
        <v>13.652628479005401</v>
      </c>
      <c r="L499" s="7">
        <v>36</v>
      </c>
      <c r="M499">
        <v>0.21445719401041599</v>
      </c>
      <c r="N499">
        <v>31.554542545574101</v>
      </c>
      <c r="O499">
        <v>0.955848115597148</v>
      </c>
      <c r="P499">
        <v>13.5505075599817</v>
      </c>
      <c r="Q499">
        <v>34.999967724441397</v>
      </c>
      <c r="R499">
        <v>0.96063095485920502</v>
      </c>
      <c r="S499" s="1">
        <v>14.048451184867</v>
      </c>
      <c r="T499" s="7"/>
      <c r="U499" s="1"/>
      <c r="V499" s="1"/>
      <c r="W499" s="8"/>
      <c r="X499" s="7"/>
      <c r="Y499" s="1"/>
      <c r="Z499" s="1"/>
      <c r="AA499" s="8"/>
      <c r="AB499" s="7">
        <v>8</v>
      </c>
      <c r="AC499">
        <v>0.33852132161458298</v>
      </c>
      <c r="AD499">
        <v>32.619992939665003</v>
      </c>
      <c r="AE499">
        <v>0.97140175156619202</v>
      </c>
      <c r="AF499">
        <v>15.436605654313301</v>
      </c>
      <c r="AG499">
        <v>35.903914272484002</v>
      </c>
      <c r="AH499">
        <v>0.97502746018011399</v>
      </c>
      <c r="AI499" s="1">
        <v>16.025372856956</v>
      </c>
      <c r="AJ499" s="1">
        <v>6.4956998825073198</v>
      </c>
      <c r="AK499" s="1">
        <v>3.4966254234313898</v>
      </c>
      <c r="AL499" s="7"/>
      <c r="AM499" s="1"/>
      <c r="AN499" s="1"/>
      <c r="AO499" s="8"/>
      <c r="AP499" s="1"/>
      <c r="AQ499" s="1"/>
      <c r="AR499" s="1"/>
      <c r="AS499" s="8"/>
      <c r="AT499" s="7">
        <v>0.16</v>
      </c>
      <c r="AU499">
        <v>0.28448486328125</v>
      </c>
      <c r="AV499">
        <v>28.952848510313601</v>
      </c>
      <c r="AW499">
        <v>0.98078804114572304</v>
      </c>
      <c r="AX499">
        <v>17.164283521486201</v>
      </c>
      <c r="AY499">
        <v>32.704179409056103</v>
      </c>
      <c r="AZ499">
        <v>0.98431025349201096</v>
      </c>
      <c r="BA499" s="1">
        <v>18.0438407305239</v>
      </c>
      <c r="BB499" s="1">
        <v>6.5497891902923504</v>
      </c>
      <c r="BC499" s="1">
        <v>4.5783593654632497</v>
      </c>
      <c r="BD499" s="7"/>
      <c r="BE499" s="1"/>
      <c r="BF499" s="1"/>
      <c r="BG499" s="8"/>
      <c r="BH499" s="1"/>
      <c r="BI499" s="1"/>
      <c r="BJ499" s="1"/>
      <c r="BK499" s="8"/>
    </row>
    <row r="500" spans="1:63">
      <c r="A500" s="49"/>
      <c r="B500" s="7" t="s">
        <v>18</v>
      </c>
      <c r="C500" s="17">
        <v>0.12</v>
      </c>
      <c r="D500" s="7">
        <v>43</v>
      </c>
      <c r="E500">
        <v>0.1060791015625</v>
      </c>
      <c r="F500">
        <v>28.411185918326002</v>
      </c>
      <c r="G500">
        <v>0.90289891575133696</v>
      </c>
      <c r="H500">
        <v>10.1277592065242</v>
      </c>
      <c r="I500">
        <v>31.683503877434099</v>
      </c>
      <c r="J500">
        <v>0.91205982258006202</v>
      </c>
      <c r="K500" s="8">
        <v>10.558126625231999</v>
      </c>
      <c r="L500" s="7">
        <v>40</v>
      </c>
      <c r="M500">
        <v>0.111470540364583</v>
      </c>
      <c r="N500">
        <v>29.606698705093301</v>
      </c>
      <c r="O500">
        <v>0.92503359340497604</v>
      </c>
      <c r="P500">
        <v>11.2513330592532</v>
      </c>
      <c r="Q500">
        <v>33.117182779066901</v>
      </c>
      <c r="R500">
        <v>0.92996230872488805</v>
      </c>
      <c r="S500" s="1">
        <v>11.5466817845102</v>
      </c>
      <c r="T500" s="7"/>
      <c r="U500" s="1"/>
      <c r="V500" s="1"/>
      <c r="W500" s="8"/>
      <c r="X500" s="7"/>
      <c r="Y500" s="1"/>
      <c r="Z500" s="1"/>
      <c r="AA500" s="8"/>
      <c r="AB500" s="7">
        <v>4</v>
      </c>
      <c r="AC500">
        <v>0.20265706380208301</v>
      </c>
      <c r="AD500">
        <v>30.725855468999701</v>
      </c>
      <c r="AE500">
        <v>0.955930407272226</v>
      </c>
      <c r="AF500">
        <v>13.5586096303439</v>
      </c>
      <c r="AG500">
        <v>34.034479706470798</v>
      </c>
      <c r="AH500">
        <v>0.95979316986505503</v>
      </c>
      <c r="AI500" s="1">
        <v>13.9570016487688</v>
      </c>
      <c r="AJ500" s="1">
        <v>7.2864966392517001</v>
      </c>
      <c r="AK500" s="1">
        <v>5.3008553981780997</v>
      </c>
      <c r="AL500" s="7"/>
      <c r="AM500" s="1"/>
      <c r="AN500" s="1"/>
      <c r="AO500" s="8"/>
      <c r="AP500" s="1"/>
      <c r="AQ500" s="1"/>
      <c r="AR500" s="1"/>
      <c r="AS500" s="8"/>
      <c r="AT500" s="7">
        <v>0.08</v>
      </c>
      <c r="AU500">
        <v>0.20184326171875</v>
      </c>
      <c r="AV500">
        <v>28.054194170520901</v>
      </c>
      <c r="AW500">
        <v>0.97230383931791997</v>
      </c>
      <c r="AX500">
        <v>15.575804298579699</v>
      </c>
      <c r="AY500">
        <v>31.704053652361601</v>
      </c>
      <c r="AZ500">
        <v>0.97640558381727305</v>
      </c>
      <c r="BA500" s="1">
        <v>16.2719076431624</v>
      </c>
      <c r="BB500" s="1">
        <v>5.28869175910949</v>
      </c>
      <c r="BC500" s="1">
        <v>3.2153058052062899</v>
      </c>
      <c r="BD500" s="7"/>
      <c r="BE500" s="1"/>
      <c r="BF500" s="1"/>
      <c r="BG500" s="8"/>
      <c r="BH500" s="1"/>
      <c r="BI500" s="1"/>
      <c r="BJ500" s="1"/>
      <c r="BK500" s="8"/>
    </row>
    <row r="501" spans="1:63">
      <c r="A501" s="49"/>
      <c r="B501" s="7" t="s">
        <v>18</v>
      </c>
      <c r="C501" s="17">
        <v>0.06</v>
      </c>
      <c r="D501" s="7">
        <v>47</v>
      </c>
      <c r="E501">
        <v>5.7413736979166602E-2</v>
      </c>
      <c r="F501">
        <v>26.651143931566899</v>
      </c>
      <c r="G501">
        <v>0.86095611629477498</v>
      </c>
      <c r="H501">
        <v>8.5684811022658796</v>
      </c>
      <c r="I501">
        <v>29.961080828626098</v>
      </c>
      <c r="J501">
        <v>0.86955311564912596</v>
      </c>
      <c r="K501" s="8">
        <v>8.84566289314869</v>
      </c>
      <c r="L501" s="7">
        <v>45</v>
      </c>
      <c r="M501">
        <v>5.4402669270833301E-2</v>
      </c>
      <c r="N501">
        <v>27.527224647090499</v>
      </c>
      <c r="O501">
        <v>0.87777455870805898</v>
      </c>
      <c r="P501">
        <v>9.1283838605178307</v>
      </c>
      <c r="Q501">
        <v>31.0704025928266</v>
      </c>
      <c r="R501">
        <v>0.88172092678496805</v>
      </c>
      <c r="S501" s="1">
        <v>9.2709208708111301</v>
      </c>
      <c r="T501" s="7"/>
      <c r="U501" s="1"/>
      <c r="V501" s="1"/>
      <c r="W501" s="8"/>
      <c r="X501" s="7"/>
      <c r="Y501" s="1"/>
      <c r="Z501" s="1"/>
      <c r="AA501" s="8"/>
      <c r="AB501" s="7">
        <v>2</v>
      </c>
      <c r="AC501">
        <v>0.11802164713541601</v>
      </c>
      <c r="AD501">
        <v>29.1774374419305</v>
      </c>
      <c r="AE501">
        <v>0.93131767251136999</v>
      </c>
      <c r="AF501">
        <v>11.6315499600469</v>
      </c>
      <c r="AG501">
        <v>32.553496316315602</v>
      </c>
      <c r="AH501">
        <v>0.93527718303395802</v>
      </c>
      <c r="AI501" s="1">
        <v>11.889425889516501</v>
      </c>
      <c r="AJ501" s="1">
        <v>6.5260717868804896</v>
      </c>
      <c r="AK501" s="1">
        <v>5.5895128250121999</v>
      </c>
      <c r="AL501" s="7"/>
      <c r="AM501" s="1"/>
      <c r="AN501" s="1"/>
      <c r="AO501" s="8"/>
      <c r="AP501" s="1"/>
      <c r="AQ501" s="1"/>
      <c r="AR501" s="1"/>
      <c r="AS501" s="8"/>
      <c r="AT501" s="7">
        <v>0.04</v>
      </c>
      <c r="AU501">
        <v>0.12432861328125</v>
      </c>
      <c r="AV501">
        <v>26.876981362854199</v>
      </c>
      <c r="AW501">
        <v>0.95602547294979501</v>
      </c>
      <c r="AX501">
        <v>13.5679882271964</v>
      </c>
      <c r="AY501">
        <v>30.3010642480162</v>
      </c>
      <c r="AZ501">
        <v>0.96138280415550303</v>
      </c>
      <c r="BA501" s="1">
        <v>14.1321926534368</v>
      </c>
      <c r="BB501" s="1">
        <v>5.86938023567199</v>
      </c>
      <c r="BC501" s="1">
        <v>4.5067782402038503</v>
      </c>
      <c r="BD501" s="7"/>
      <c r="BE501" s="1"/>
      <c r="BF501" s="1"/>
      <c r="BG501" s="8"/>
      <c r="BH501" s="1"/>
      <c r="BI501" s="1"/>
      <c r="BJ501" s="1"/>
      <c r="BK501" s="8"/>
    </row>
    <row r="502" spans="1:63">
      <c r="A502" s="49"/>
      <c r="B502" s="7" t="s">
        <v>105</v>
      </c>
      <c r="C502" s="17">
        <v>1.5</v>
      </c>
      <c r="D502" s="7">
        <v>23</v>
      </c>
      <c r="E502">
        <v>1.4524332682291601</v>
      </c>
      <c r="F502">
        <v>40.514221268745899</v>
      </c>
      <c r="G502">
        <v>0.99042973000868395</v>
      </c>
      <c r="H502">
        <v>20.190758099677101</v>
      </c>
      <c r="I502">
        <v>43.727979163148703</v>
      </c>
      <c r="J502">
        <v>0.99461780216776396</v>
      </c>
      <c r="K502" s="8">
        <v>22.690403430142599</v>
      </c>
      <c r="L502" s="7">
        <v>20</v>
      </c>
      <c r="M502">
        <v>1.4905598958333299</v>
      </c>
      <c r="N502">
        <v>41.695226377079599</v>
      </c>
      <c r="O502">
        <v>0.99269596024239704</v>
      </c>
      <c r="P502">
        <v>21.364368715005099</v>
      </c>
      <c r="Q502">
        <v>44.888750719729202</v>
      </c>
      <c r="R502">
        <v>0.99578662346326696</v>
      </c>
      <c r="S502" s="1">
        <v>23.7536972755295</v>
      </c>
      <c r="T502" s="13">
        <f>bdrate(E502:E505,F502:F505,M502:M505,N502:N505)</f>
        <v>-0.22485197602467655</v>
      </c>
      <c r="U502" s="12">
        <f>bdrate(E502:E505,H502:H505,M502:M505,P502:P505)</f>
        <v>-0.232403947727849</v>
      </c>
      <c r="V502" s="12">
        <f>bdrate(E502:E505,I502:I505,M502:M505,Q502:Q505)</f>
        <v>-0.22412338721907665</v>
      </c>
      <c r="W502" s="14">
        <f>bdrate(E502:E505,K502:K505,M502:M505,S502:S505)</f>
        <v>-0.1442674519795103</v>
      </c>
      <c r="X502" s="13">
        <f>bdrate(E504:E507,F504:F507,M504:M507,N504:N507)</f>
        <v>-0.27150797849808128</v>
      </c>
      <c r="Y502" s="12">
        <f>bdrate(E504:E507,H504:H507,M504:M507,P504:P507)</f>
        <v>-0.29063337842098247</v>
      </c>
      <c r="Z502" s="12">
        <f>bdrate(E504:E507,I504:I507,M504:M507,Q504:Q507)</f>
        <v>-0.29193957493749667</v>
      </c>
      <c r="AA502" s="14">
        <f>bdrate(E504:E507,K504:K507,M504:M507,S504:S507)</f>
        <v>-0.16435715520200278</v>
      </c>
      <c r="AB502" s="7">
        <v>128</v>
      </c>
      <c r="AC502">
        <v>1.4299519856770799</v>
      </c>
      <c r="AD502">
        <v>40.904802310349403</v>
      </c>
      <c r="AE502">
        <v>0.99268533696769001</v>
      </c>
      <c r="AF502">
        <v>21.358056759062801</v>
      </c>
      <c r="AG502">
        <v>43.968391952044499</v>
      </c>
      <c r="AH502">
        <v>0.99566852943878204</v>
      </c>
      <c r="AI502" s="1">
        <v>23.633646329316299</v>
      </c>
      <c r="AJ502" s="1">
        <v>36.091356992721501</v>
      </c>
      <c r="AK502" s="1">
        <v>19.622536897659302</v>
      </c>
      <c r="AL502" s="13">
        <f>bdrate(E502:E505,F502:F505,AC502:AC505,AD502:AD505)</f>
        <v>-2.5009642219390504E-2</v>
      </c>
      <c r="AM502" s="12">
        <f>bdrate(E502:E505,H502:H505,AC502:AC505,AF502:AF505)</f>
        <v>-0.17292949033893323</v>
      </c>
      <c r="AN502" s="12">
        <f>bdrate(E502:E505,I502:I505,AC502:AC505,AG502:AG505)</f>
        <v>-1.2216734276166541E-2</v>
      </c>
      <c r="AO502" s="14">
        <f>bdrate(E502:E505,K502:K505,AC502:AC505,AI502:AI505)</f>
        <v>-0.14703106687074941</v>
      </c>
      <c r="AP502" s="12">
        <f>bdrate(E504:E507,F504:F507,AC504:AC507,AD504:AD507)</f>
        <v>-6.4387629886001774E-2</v>
      </c>
      <c r="AQ502" s="12">
        <f>bdrate(E504:E507,H504:H507,AC504:AC507,AF504:AF507)</f>
        <v>-0.20498911985589641</v>
      </c>
      <c r="AR502" s="12">
        <f>bdrate(E504:E507,I504:I507,AC504:AC507,AG504:AG507)</f>
        <v>-5.5153811680676568E-2</v>
      </c>
      <c r="AS502" s="14">
        <f>bdrate(E504:E507,K504:K507,AC504:AC507,AI504:AI507)</f>
        <v>-0.1856337637719967</v>
      </c>
      <c r="AT502" s="7">
        <v>3.2</v>
      </c>
      <c r="AU502">
        <v>1.4764607747395799</v>
      </c>
      <c r="AV502">
        <v>37.799675323541301</v>
      </c>
      <c r="AW502">
        <v>0.99647018906882701</v>
      </c>
      <c r="AX502">
        <v>24.522485562970601</v>
      </c>
      <c r="AY502">
        <v>40.929685342930298</v>
      </c>
      <c r="AZ502">
        <v>0.99759665701184796</v>
      </c>
      <c r="BA502" s="1">
        <v>26.191842453293301</v>
      </c>
      <c r="BB502" s="1">
        <v>59.025757789611802</v>
      </c>
      <c r="BC502" s="1">
        <v>17.107159614562899</v>
      </c>
      <c r="BD502" s="13">
        <f>bdrate(E502:E505,F502:F505,AU502:AU505,AV502:AV505)</f>
        <v>1.1122739095841951</v>
      </c>
      <c r="BE502" s="12">
        <f>bdrate(E502:E505,H502:H505,AU502:AU505,AX502:AX505)</f>
        <v>-0.50214541687705139</v>
      </c>
      <c r="BF502" s="12">
        <f>bdrate(E502:E505,I502:I505,AU502:AU505,AY502:AY505)</f>
        <v>1.0266002395588054</v>
      </c>
      <c r="BG502" s="14">
        <f>bdrate(E502:E505,K502:K505,AU502:AU505,BA502:BA505)</f>
        <v>-0.42534520361846806</v>
      </c>
      <c r="BH502" s="12">
        <f>bdrate(E504:E507,F504:F507,AU504:AU507,AV504:AV507)</f>
        <v>1.4255497532349235</v>
      </c>
      <c r="BI502" s="12">
        <f>bdrate(E504:E507,H504:H507,AU504:AU507,AX504:AX507)</f>
        <v>-0.49914908239036837</v>
      </c>
      <c r="BJ502" s="12">
        <f>bdrate(E504:E507,I504:I507,AU504:AU507,AY504:AY507)</f>
        <v>1.28457535548843</v>
      </c>
      <c r="BK502" s="14">
        <f>bdrate(E504:E507,K504:K507,AU504:AU507,BA504:BA507)</f>
        <v>-0.43122890534897618</v>
      </c>
    </row>
    <row r="503" spans="1:63">
      <c r="A503" s="49"/>
      <c r="B503" s="7" t="s">
        <v>18</v>
      </c>
      <c r="C503" s="17">
        <v>1</v>
      </c>
      <c r="D503" s="7">
        <v>26</v>
      </c>
      <c r="E503">
        <v>0.99863688151041596</v>
      </c>
      <c r="F503">
        <v>38.526813500438102</v>
      </c>
      <c r="G503">
        <v>0.98483167724338805</v>
      </c>
      <c r="H503">
        <v>18.190624388454101</v>
      </c>
      <c r="I503">
        <v>41.659694356154297</v>
      </c>
      <c r="J503">
        <v>0.99074815588222798</v>
      </c>
      <c r="K503" s="8">
        <v>20.337716931692501</v>
      </c>
      <c r="L503" s="7">
        <v>24</v>
      </c>
      <c r="M503">
        <v>0.91560872395833304</v>
      </c>
      <c r="N503">
        <v>39.222551637903599</v>
      </c>
      <c r="O503">
        <v>0.98712452356590596</v>
      </c>
      <c r="P503">
        <v>18.902366916949699</v>
      </c>
      <c r="Q503">
        <v>42.320181335679898</v>
      </c>
      <c r="R503">
        <v>0.99143358793052005</v>
      </c>
      <c r="S503" s="1">
        <v>20.672010386019799</v>
      </c>
      <c r="T503" s="7"/>
      <c r="U503" s="1"/>
      <c r="V503" s="1"/>
      <c r="W503" s="8"/>
      <c r="X503" s="7"/>
      <c r="Y503" s="1"/>
      <c r="Z503" s="1"/>
      <c r="AA503" s="8"/>
      <c r="AB503" s="7">
        <v>64</v>
      </c>
      <c r="AC503">
        <v>1.00213623046875</v>
      </c>
      <c r="AD503">
        <v>38.628788820889298</v>
      </c>
      <c r="AE503">
        <v>0.98762196492237497</v>
      </c>
      <c r="AF503">
        <v>19.073482909114901</v>
      </c>
      <c r="AG503">
        <v>41.681266981429303</v>
      </c>
      <c r="AH503">
        <v>0.99239956852739097</v>
      </c>
      <c r="AI503" s="1">
        <v>21.191617523436701</v>
      </c>
      <c r="AJ503" s="1">
        <v>7.3913094997405997</v>
      </c>
      <c r="AK503" s="1">
        <v>3.6070587635040199</v>
      </c>
      <c r="AL503" s="7"/>
      <c r="AM503" s="1"/>
      <c r="AN503" s="1"/>
      <c r="AO503" s="8"/>
      <c r="AP503" s="1"/>
      <c r="AQ503" s="1"/>
      <c r="AR503" s="1"/>
      <c r="AS503" s="8"/>
      <c r="AT503" s="7">
        <v>1.28</v>
      </c>
      <c r="AU503">
        <v>0.96588134765625</v>
      </c>
      <c r="AV503">
        <v>35.010036437781203</v>
      </c>
      <c r="AW503">
        <v>0.99340507623965202</v>
      </c>
      <c r="AX503">
        <v>21.807902206864799</v>
      </c>
      <c r="AY503">
        <v>38.329482343700903</v>
      </c>
      <c r="AZ503">
        <v>0.99529926913002598</v>
      </c>
      <c r="BA503" s="1">
        <v>23.278346126771002</v>
      </c>
      <c r="BB503" s="1">
        <v>11.110359907150199</v>
      </c>
      <c r="BC503" s="1">
        <v>4.4127054214477504</v>
      </c>
      <c r="BD503" s="7"/>
      <c r="BE503" s="1"/>
      <c r="BF503" s="1"/>
      <c r="BG503" s="8"/>
      <c r="BH503" s="1"/>
      <c r="BI503" s="1"/>
      <c r="BJ503" s="1"/>
      <c r="BK503" s="8"/>
    </row>
    <row r="504" spans="1:63">
      <c r="A504" s="49"/>
      <c r="B504" s="7" t="s">
        <v>18</v>
      </c>
      <c r="C504" s="17">
        <v>0.5</v>
      </c>
      <c r="D504" s="7">
        <v>31</v>
      </c>
      <c r="E504">
        <v>0.47084554036458298</v>
      </c>
      <c r="F504">
        <v>35.2625997695012</v>
      </c>
      <c r="G504">
        <v>0.96727610556885502</v>
      </c>
      <c r="H504">
        <v>14.8513501706335</v>
      </c>
      <c r="I504">
        <v>38.376839313209999</v>
      </c>
      <c r="J504">
        <v>0.97812891118677203</v>
      </c>
      <c r="K504" s="8">
        <v>16.601295958464</v>
      </c>
      <c r="L504" s="7">
        <v>29</v>
      </c>
      <c r="M504">
        <v>0.45491536458333298</v>
      </c>
      <c r="N504">
        <v>36.195616144947898</v>
      </c>
      <c r="O504">
        <v>0.97402839652907303</v>
      </c>
      <c r="P504">
        <v>15.855012364670401</v>
      </c>
      <c r="Q504">
        <v>39.331584560056001</v>
      </c>
      <c r="R504">
        <v>0.98080962210399802</v>
      </c>
      <c r="S504" s="1">
        <v>17.169164730742001</v>
      </c>
      <c r="T504" s="7"/>
      <c r="U504" s="1"/>
      <c r="V504" s="1"/>
      <c r="W504" s="8"/>
      <c r="X504" s="7"/>
      <c r="Y504" s="1"/>
      <c r="Z504" s="1"/>
      <c r="AA504" s="8"/>
      <c r="AB504" s="7">
        <v>16</v>
      </c>
      <c r="AC504">
        <v>0.39756266276041602</v>
      </c>
      <c r="AD504">
        <v>34.742256206896499</v>
      </c>
      <c r="AE504">
        <v>0.96841754452750095</v>
      </c>
      <c r="AF504">
        <v>15.005541074910999</v>
      </c>
      <c r="AG504">
        <v>37.823026729101898</v>
      </c>
      <c r="AH504">
        <v>0.97822038391059696</v>
      </c>
      <c r="AI504" s="1">
        <v>16.6194977984762</v>
      </c>
      <c r="AJ504" s="1">
        <v>15.3725755214691</v>
      </c>
      <c r="AK504" s="1">
        <v>3.6327064037322998</v>
      </c>
      <c r="AL504" s="7"/>
      <c r="AM504" s="1"/>
      <c r="AN504" s="1"/>
      <c r="AO504" s="8"/>
      <c r="AP504" s="1"/>
      <c r="AQ504" s="1"/>
      <c r="AR504" s="1"/>
      <c r="AS504" s="8"/>
      <c r="AT504" s="7">
        <v>0.32</v>
      </c>
      <c r="AU504">
        <v>0.48293050130208298</v>
      </c>
      <c r="AV504">
        <v>32.487803156107098</v>
      </c>
      <c r="AW504">
        <v>0.98431313284673205</v>
      </c>
      <c r="AX504">
        <v>18.0446378132708</v>
      </c>
      <c r="AY504">
        <v>35.865158687786099</v>
      </c>
      <c r="AZ504">
        <v>0.98867212465588705</v>
      </c>
      <c r="BA504" s="1">
        <v>19.4585153875583</v>
      </c>
      <c r="BB504" s="1">
        <v>9.1430301666259695</v>
      </c>
      <c r="BC504" s="1">
        <v>6.5649666786193803</v>
      </c>
      <c r="BD504" s="7"/>
      <c r="BE504" s="1"/>
      <c r="BF504" s="1"/>
      <c r="BG504" s="8"/>
      <c r="BH504" s="1"/>
      <c r="BI504" s="1"/>
      <c r="BJ504" s="1"/>
      <c r="BK504" s="8"/>
    </row>
    <row r="505" spans="1:63">
      <c r="A505" s="49"/>
      <c r="B505" s="7" t="s">
        <v>18</v>
      </c>
      <c r="C505" s="17">
        <v>0.25</v>
      </c>
      <c r="D505" s="7">
        <v>35</v>
      </c>
      <c r="E505">
        <v>0.23482259114583301</v>
      </c>
      <c r="F505">
        <v>33.008469906338902</v>
      </c>
      <c r="G505">
        <v>0.94409645678740595</v>
      </c>
      <c r="H505">
        <v>12.525606652994201</v>
      </c>
      <c r="I505">
        <v>36.133908996100502</v>
      </c>
      <c r="J505">
        <v>0.96103916615293905</v>
      </c>
      <c r="K505" s="8">
        <v>14.0937175684214</v>
      </c>
      <c r="L505" s="7">
        <v>33</v>
      </c>
      <c r="M505">
        <v>0.23799641927083301</v>
      </c>
      <c r="N505">
        <v>33.943801773154902</v>
      </c>
      <c r="O505">
        <v>0.95648301123614299</v>
      </c>
      <c r="P505">
        <v>13.613411640563401</v>
      </c>
      <c r="Q505">
        <v>37.128591669339102</v>
      </c>
      <c r="R505">
        <v>0.96625280494835697</v>
      </c>
      <c r="S505" s="1">
        <v>14.717623183653201</v>
      </c>
      <c r="T505" s="7"/>
      <c r="U505" s="1"/>
      <c r="V505" s="1"/>
      <c r="W505" s="8"/>
      <c r="X505" s="7"/>
      <c r="Y505" s="1"/>
      <c r="Z505" s="1"/>
      <c r="AA505" s="8"/>
      <c r="AB505" s="7">
        <v>8</v>
      </c>
      <c r="AC505">
        <v>0.23968505859375</v>
      </c>
      <c r="AD505">
        <v>33.2233703016269</v>
      </c>
      <c r="AE505">
        <v>0.95285403863987805</v>
      </c>
      <c r="AF505">
        <v>13.265555040748</v>
      </c>
      <c r="AG505">
        <v>36.330603056725501</v>
      </c>
      <c r="AH505">
        <v>0.96687478853350795</v>
      </c>
      <c r="AI505" s="1">
        <v>14.798413405740099</v>
      </c>
      <c r="AJ505" s="1">
        <v>6.4278285503387398</v>
      </c>
      <c r="AK505" s="1">
        <v>3.6520106792449898</v>
      </c>
      <c r="AL505" s="7"/>
      <c r="AM505" s="1"/>
      <c r="AN505" s="1"/>
      <c r="AO505" s="8"/>
      <c r="AP505" s="1"/>
      <c r="AQ505" s="1"/>
      <c r="AR505" s="1"/>
      <c r="AS505" s="8"/>
      <c r="AT505" s="7">
        <v>0.16</v>
      </c>
      <c r="AU505">
        <v>0.32049560546875</v>
      </c>
      <c r="AV505">
        <v>31.4453244467689</v>
      </c>
      <c r="AW505">
        <v>0.975772821643209</v>
      </c>
      <c r="AX505">
        <v>16.1569716347012</v>
      </c>
      <c r="AY505">
        <v>34.775628742459801</v>
      </c>
      <c r="AZ505">
        <v>0.98194707153072902</v>
      </c>
      <c r="BA505" s="1">
        <v>17.434523386400599</v>
      </c>
      <c r="BB505" s="1">
        <v>6.0447437763214102</v>
      </c>
      <c r="BC505" s="1">
        <v>4.5558736324310303</v>
      </c>
      <c r="BD505" s="7"/>
      <c r="BE505" s="1"/>
      <c r="BF505" s="1"/>
      <c r="BG505" s="8"/>
      <c r="BH505" s="1"/>
      <c r="BI505" s="1"/>
      <c r="BJ505" s="1"/>
      <c r="BK505" s="8"/>
    </row>
    <row r="506" spans="1:63">
      <c r="A506" s="49"/>
      <c r="B506" s="7" t="s">
        <v>18</v>
      </c>
      <c r="C506" s="17">
        <v>0.12</v>
      </c>
      <c r="D506" s="7">
        <v>39</v>
      </c>
      <c r="E506">
        <v>0.10858154296875</v>
      </c>
      <c r="F506">
        <v>31.049176522821998</v>
      </c>
      <c r="G506">
        <v>0.912235583385968</v>
      </c>
      <c r="H506">
        <v>10.5668152965806</v>
      </c>
      <c r="I506">
        <v>34.184095615103097</v>
      </c>
      <c r="J506">
        <v>0.93657061891674498</v>
      </c>
      <c r="K506" s="8">
        <v>11.977095262414799</v>
      </c>
      <c r="L506" s="7">
        <v>37</v>
      </c>
      <c r="M506">
        <v>0.114501953125</v>
      </c>
      <c r="N506">
        <v>31.964254473884399</v>
      </c>
      <c r="O506">
        <v>0.929730065014301</v>
      </c>
      <c r="P506">
        <v>11.532304482752901</v>
      </c>
      <c r="Q506">
        <v>35.1848679351071</v>
      </c>
      <c r="R506">
        <v>0.94462802172381899</v>
      </c>
      <c r="S506" s="1">
        <v>12.567099601600599</v>
      </c>
      <c r="T506" s="7"/>
      <c r="U506" s="1"/>
      <c r="V506" s="1"/>
      <c r="W506" s="8"/>
      <c r="X506" s="7"/>
      <c r="Y506" s="1"/>
      <c r="Z506" s="1"/>
      <c r="AA506" s="8"/>
      <c r="AB506" s="7">
        <v>4</v>
      </c>
      <c r="AC506">
        <v>0.13474527994791599</v>
      </c>
      <c r="AD506">
        <v>31.756133295290201</v>
      </c>
      <c r="AE506">
        <v>0.93140864533413903</v>
      </c>
      <c r="AF506">
        <v>11.637306198256001</v>
      </c>
      <c r="AG506">
        <v>34.862825902578102</v>
      </c>
      <c r="AH506">
        <v>0.95081498820588894</v>
      </c>
      <c r="AI506" s="1">
        <v>13.081672201351401</v>
      </c>
      <c r="AJ506" s="1">
        <v>7.4891452789306596</v>
      </c>
      <c r="AK506" s="1">
        <v>5.1001021862030003</v>
      </c>
      <c r="AL506" s="7"/>
      <c r="AM506" s="1"/>
      <c r="AN506" s="1"/>
      <c r="AO506" s="8"/>
      <c r="AP506" s="1"/>
      <c r="AQ506" s="1"/>
      <c r="AR506" s="1"/>
      <c r="AS506" s="8"/>
      <c r="AT506" s="7">
        <v>0.08</v>
      </c>
      <c r="AU506">
        <v>0.20489501953125</v>
      </c>
      <c r="AV506">
        <v>30.486798019320101</v>
      </c>
      <c r="AW506">
        <v>0.96286130359855204</v>
      </c>
      <c r="AX506">
        <v>14.301733444194401</v>
      </c>
      <c r="AY506">
        <v>33.729057776120797</v>
      </c>
      <c r="AZ506">
        <v>0.97195301949144497</v>
      </c>
      <c r="BA506" s="1">
        <v>15.5211388731545</v>
      </c>
      <c r="BB506" s="1">
        <v>5.8443539142608598</v>
      </c>
      <c r="BC506" s="1">
        <v>3.8245828151702801</v>
      </c>
      <c r="BD506" s="7"/>
      <c r="BE506" s="1"/>
      <c r="BF506" s="1"/>
      <c r="BG506" s="8"/>
      <c r="BH506" s="1"/>
      <c r="BI506" s="1"/>
      <c r="BJ506" s="1"/>
      <c r="BK506" s="8"/>
    </row>
    <row r="507" spans="1:63">
      <c r="A507" s="49"/>
      <c r="B507" s="7" t="s">
        <v>18</v>
      </c>
      <c r="C507" s="17">
        <v>0.06</v>
      </c>
      <c r="D507" s="7">
        <v>43</v>
      </c>
      <c r="E507">
        <v>5.0069173177083301E-2</v>
      </c>
      <c r="F507">
        <v>29.352836574998499</v>
      </c>
      <c r="G507">
        <v>0.87638418997382195</v>
      </c>
      <c r="H507">
        <v>9.0792598096219503</v>
      </c>
      <c r="I507">
        <v>32.495033711146903</v>
      </c>
      <c r="J507">
        <v>0.90734672672563799</v>
      </c>
      <c r="K507" s="8">
        <v>10.3313923322709</v>
      </c>
      <c r="L507" s="7">
        <v>41</v>
      </c>
      <c r="M507">
        <v>5.419921875E-2</v>
      </c>
      <c r="N507">
        <v>30.307078994393802</v>
      </c>
      <c r="O507">
        <v>0.89592434248616704</v>
      </c>
      <c r="P507">
        <v>9.8265083671091897</v>
      </c>
      <c r="Q507">
        <v>33.521173745464999</v>
      </c>
      <c r="R507">
        <v>0.91741607676215398</v>
      </c>
      <c r="S507" s="1">
        <v>10.8310448934609</v>
      </c>
      <c r="T507" s="7"/>
      <c r="U507" s="1"/>
      <c r="V507" s="1"/>
      <c r="W507" s="8"/>
      <c r="X507" s="7"/>
      <c r="Y507" s="1"/>
      <c r="Z507" s="1"/>
      <c r="AA507" s="8"/>
      <c r="AB507" s="7">
        <v>2</v>
      </c>
      <c r="AC507">
        <v>7.427978515625E-2</v>
      </c>
      <c r="AD507">
        <v>30.460981858643301</v>
      </c>
      <c r="AE507">
        <v>0.90693342266018595</v>
      </c>
      <c r="AF507">
        <v>10.312062576114201</v>
      </c>
      <c r="AG507">
        <v>33.542681385472001</v>
      </c>
      <c r="AH507">
        <v>0.93227707447147801</v>
      </c>
      <c r="AI507" s="1">
        <v>11.6926428928947</v>
      </c>
      <c r="AJ507" s="1">
        <v>6.8724994659423801</v>
      </c>
      <c r="AK507" s="1">
        <v>5.4138288497924796</v>
      </c>
      <c r="AL507" s="7"/>
      <c r="AM507" s="1"/>
      <c r="AN507" s="1"/>
      <c r="AO507" s="8"/>
      <c r="AP507" s="1"/>
      <c r="AQ507" s="1"/>
      <c r="AR507" s="1"/>
      <c r="AS507" s="8"/>
      <c r="AT507" s="7">
        <v>0.04</v>
      </c>
      <c r="AU507">
        <v>0.118184407552083</v>
      </c>
      <c r="AV507">
        <v>29.495542959262298</v>
      </c>
      <c r="AW507">
        <v>0.94461763716414204</v>
      </c>
      <c r="AX507">
        <v>12.566285194340001</v>
      </c>
      <c r="AY507">
        <v>32.6270418285876</v>
      </c>
      <c r="AZ507">
        <v>0.95791866520563296</v>
      </c>
      <c r="BA507" s="1">
        <v>13.759104930787901</v>
      </c>
      <c r="BB507" s="1">
        <v>6.5662488937377903</v>
      </c>
      <c r="BC507" s="1">
        <v>4.4753849506378103</v>
      </c>
      <c r="BD507" s="7"/>
      <c r="BE507" s="1"/>
      <c r="BF507" s="1"/>
      <c r="BG507" s="8"/>
      <c r="BH507" s="1"/>
      <c r="BI507" s="1"/>
      <c r="BJ507" s="1"/>
      <c r="BK507" s="8"/>
    </row>
    <row r="508" spans="1:63">
      <c r="A508" s="49"/>
      <c r="B508" s="7" t="s">
        <v>106</v>
      </c>
      <c r="C508" s="17">
        <v>1.5</v>
      </c>
      <c r="D508" s="7">
        <v>20</v>
      </c>
      <c r="E508">
        <v>1.4891764322916601</v>
      </c>
      <c r="F508">
        <v>43.029180550422303</v>
      </c>
      <c r="G508">
        <v>0.99493968109642605</v>
      </c>
      <c r="H508">
        <v>22.958221128641199</v>
      </c>
      <c r="I508">
        <v>47.253848471921003</v>
      </c>
      <c r="J508">
        <v>0.99844553316842799</v>
      </c>
      <c r="K508" s="8">
        <v>28.0841854027843</v>
      </c>
      <c r="L508" s="7">
        <v>18</v>
      </c>
      <c r="M508">
        <v>1.3652140299479101</v>
      </c>
      <c r="N508">
        <v>43.079810831762998</v>
      </c>
      <c r="O508">
        <v>0.99498354416093904</v>
      </c>
      <c r="P508">
        <v>22.996030065884302</v>
      </c>
      <c r="Q508">
        <v>47.480724317627597</v>
      </c>
      <c r="R508">
        <v>0.99853482049065401</v>
      </c>
      <c r="S508" s="1">
        <v>28.341091636085299</v>
      </c>
      <c r="T508" s="13">
        <f>bdrate(E508:E511,F508:F511,M508:M511,N508:N511)</f>
        <v>-0.16285596489593746</v>
      </c>
      <c r="U508" s="12">
        <f>bdrate(E508:E511,H508:H511,M508:M511,P508:P511)</f>
        <v>-0.13833087622977269</v>
      </c>
      <c r="V508" s="12">
        <f>bdrate(E508:E511,I508:I511,M508:M511,Q508:Q511)</f>
        <v>-0.17035192341664296</v>
      </c>
      <c r="W508" s="14">
        <f>bdrate(E508:E511,K508:K511,M508:M511,S508:S511)</f>
        <v>-0.12994808172547045</v>
      </c>
      <c r="X508" s="13">
        <f>bdrate(E510:E513,F510:F513,M510:M513,N510:N513)</f>
        <v>-0.24398395452175503</v>
      </c>
      <c r="Y508" s="12">
        <f>bdrate(E510:E513,H510:H513,M510:M513,P510:P513)</f>
        <v>-0.19854137113331527</v>
      </c>
      <c r="Z508" s="12">
        <f>bdrate(E510:E513,I510:I513,M510:M513,Q510:Q513)</f>
        <v>-0.26553610074542466</v>
      </c>
      <c r="AA508" s="14">
        <f>bdrate(E510:E513,K510:K513,M510:M513,S510:S513)</f>
        <v>-0.15482908224065184</v>
      </c>
      <c r="AB508" s="7">
        <v>256</v>
      </c>
      <c r="AC508">
        <v>1.5032755533854101</v>
      </c>
      <c r="AD508">
        <v>43.264333809855501</v>
      </c>
      <c r="AE508">
        <v>0.99629412870524403</v>
      </c>
      <c r="AF508">
        <v>24.311096678417101</v>
      </c>
      <c r="AG508">
        <v>46.899154675460998</v>
      </c>
      <c r="AH508">
        <v>0.99882494513575104</v>
      </c>
      <c r="AI508" s="1">
        <v>29.2994185536316</v>
      </c>
      <c r="AJ508" s="1">
        <v>22.5881490707397</v>
      </c>
      <c r="AK508" s="1">
        <v>10.4019439220428</v>
      </c>
      <c r="AL508" s="13">
        <f>bdrate(E508:E511,F508:F511,AC508:AC511,AD508:AD511)</f>
        <v>-4.057165994987233E-2</v>
      </c>
      <c r="AM508" s="12">
        <f>bdrate(E508:E511,H508:H511,AC508:AC511,AF508:AF511)</f>
        <v>-0.21786898109175745</v>
      </c>
      <c r="AN508" s="12">
        <f>bdrate(E508:E511,I508:I511,AC508:AC511,AG508:AG511)</f>
        <v>-2.2413093619289004E-4</v>
      </c>
      <c r="AO508" s="14">
        <f>bdrate(E508:E511,K508:K511,AC508:AC511,AI508:AI511)</f>
        <v>-0.13027084816701784</v>
      </c>
      <c r="AP508" s="12">
        <f>bdrate(E510:E513,F510:F513,AC510:AC513,AD510:AD513)</f>
        <v>-7.7840092539964933E-2</v>
      </c>
      <c r="AQ508" s="12">
        <f>bdrate(E510:E513,H510:H513,AC510:AC513,AF510:AF513)</f>
        <v>-0.27589714864062753</v>
      </c>
      <c r="AR508" s="12">
        <f>bdrate(E510:E513,I510:I513,AC510:AC513,AG510:AG513)</f>
        <v>-8.5572799479115114E-2</v>
      </c>
      <c r="AS508" s="14">
        <f>bdrate(E510:E513,K510:K513,AC510:AC513,AI510:AI513)</f>
        <v>-0.1775960175727832</v>
      </c>
      <c r="AT508" s="7">
        <v>6.4</v>
      </c>
      <c r="AU508">
        <v>1.3970743815104101</v>
      </c>
      <c r="AV508">
        <v>39.218710200764001</v>
      </c>
      <c r="AW508">
        <v>0.99818052654199596</v>
      </c>
      <c r="AX508">
        <v>27.4005427540434</v>
      </c>
      <c r="AY508">
        <v>42.287878561576598</v>
      </c>
      <c r="AZ508">
        <v>0.99906204507381802</v>
      </c>
      <c r="BA508" s="1">
        <v>30.278180313235701</v>
      </c>
      <c r="BB508" s="1">
        <v>64.760357856750403</v>
      </c>
      <c r="BC508" s="1">
        <v>15.635035991668699</v>
      </c>
      <c r="BD508" s="13">
        <f>bdrate(E508:E511,F508:F511,AU508:AU511,AV508:AV511)</f>
        <v>1.0957743951587693</v>
      </c>
      <c r="BE508" s="12">
        <f>bdrate(E508:E511,H508:H511,AU508:AU511,AX508:AX511)</f>
        <v>-0.59066390206430053</v>
      </c>
      <c r="BF508" s="12">
        <f>bdrate(E508:E511,I508:I511,AU508:AU511,AY508:AY511)</f>
        <v>1.0921178409557344</v>
      </c>
      <c r="BG508" s="14">
        <f>bdrate(E508:E511,K508:K511,AU508:AU511,BA508:BA511)</f>
        <v>-0.37479603979428999</v>
      </c>
      <c r="BH508" s="12">
        <f>bdrate(E510:E513,F510:F513,AU510:AU513,AV510:AV513)</f>
        <v>0.90426894325776463</v>
      </c>
      <c r="BI508" s="12">
        <f>bdrate(E510:E513,H510:H513,AU510:AU513,AX510:AX513)</f>
        <v>-0.54146487827502066</v>
      </c>
      <c r="BJ508" s="12">
        <f>bdrate(E510:E513,I510:I513,AU510:AU513,AY510:AY513)</f>
        <v>0.75249527715600806</v>
      </c>
      <c r="BK508" s="14">
        <f>bdrate(E510:E513,K510:K513,AU510:AU513,BA510:BA513)</f>
        <v>-0.46656978708054131</v>
      </c>
    </row>
    <row r="509" spans="1:63">
      <c r="A509" s="49"/>
      <c r="B509" s="7" t="s">
        <v>18</v>
      </c>
      <c r="C509" s="17">
        <v>1</v>
      </c>
      <c r="D509" s="7">
        <v>24</v>
      </c>
      <c r="E509">
        <v>0.98311360677083304</v>
      </c>
      <c r="F509">
        <v>40.991129303038598</v>
      </c>
      <c r="G509">
        <v>0.99227844935757303</v>
      </c>
      <c r="H509">
        <v>21.1229547585273</v>
      </c>
      <c r="I509">
        <v>44.676236050209098</v>
      </c>
      <c r="J509">
        <v>0.99729676967243597</v>
      </c>
      <c r="K509" s="8">
        <v>25.681169488524599</v>
      </c>
      <c r="L509" s="7">
        <v>21</v>
      </c>
      <c r="M509">
        <v>0.96885172526041596</v>
      </c>
      <c r="N509">
        <v>41.543715068573</v>
      </c>
      <c r="O509">
        <v>0.99265298316205097</v>
      </c>
      <c r="P509">
        <v>21.338889648351302</v>
      </c>
      <c r="Q509">
        <v>45.4645737833903</v>
      </c>
      <c r="R509">
        <v>0.99756279288226002</v>
      </c>
      <c r="S509" s="1">
        <v>26.1310756221079</v>
      </c>
      <c r="T509" s="7"/>
      <c r="U509" s="1"/>
      <c r="V509" s="1"/>
      <c r="W509" s="8"/>
      <c r="X509" s="7"/>
      <c r="Y509" s="1"/>
      <c r="Z509" s="1"/>
      <c r="AA509" s="8"/>
      <c r="AB509" s="7">
        <v>128</v>
      </c>
      <c r="AC509">
        <v>1.05511474609375</v>
      </c>
      <c r="AD509">
        <v>41.575656219352403</v>
      </c>
      <c r="AE509">
        <v>0.99388657851984197</v>
      </c>
      <c r="AF509">
        <v>22.1371566143305</v>
      </c>
      <c r="AG509">
        <v>45.009230974336397</v>
      </c>
      <c r="AH509">
        <v>0.99788718296196299</v>
      </c>
      <c r="AI509" s="1">
        <v>26.751381095787298</v>
      </c>
      <c r="AJ509" s="1">
        <v>43.600137710571197</v>
      </c>
      <c r="AK509" s="1">
        <v>16.105164766311599</v>
      </c>
      <c r="AL509" s="7"/>
      <c r="AM509" s="1"/>
      <c r="AN509" s="1"/>
      <c r="AO509" s="8"/>
      <c r="AP509" s="1"/>
      <c r="AQ509" s="1"/>
      <c r="AR509" s="1"/>
      <c r="AS509" s="8"/>
      <c r="AT509" s="7">
        <v>3.2</v>
      </c>
      <c r="AU509">
        <v>1.01837158203125</v>
      </c>
      <c r="AV509">
        <v>37.317952374143999</v>
      </c>
      <c r="AW509">
        <v>0.99732173007537195</v>
      </c>
      <c r="AX509">
        <v>25.721456555283201</v>
      </c>
      <c r="AY509">
        <v>40.423912744218001</v>
      </c>
      <c r="AZ509">
        <v>0.99852476282919</v>
      </c>
      <c r="BA509" s="1">
        <v>28.3113815345279</v>
      </c>
      <c r="BB509" s="1">
        <v>67.892822742462101</v>
      </c>
      <c r="BC509" s="1">
        <v>17.973997831344601</v>
      </c>
      <c r="BD509" s="7"/>
      <c r="BE509" s="1"/>
      <c r="BF509" s="1"/>
      <c r="BG509" s="8"/>
      <c r="BH509" s="1"/>
      <c r="BI509" s="1"/>
      <c r="BJ509" s="1"/>
      <c r="BK509" s="8"/>
    </row>
    <row r="510" spans="1:63">
      <c r="A510" s="49"/>
      <c r="B510" s="7" t="s">
        <v>18</v>
      </c>
      <c r="C510" s="17">
        <v>0.5</v>
      </c>
      <c r="D510" s="7">
        <v>31</v>
      </c>
      <c r="E510">
        <v>0.45033772786458298</v>
      </c>
      <c r="F510">
        <v>36.795312992259802</v>
      </c>
      <c r="G510">
        <v>0.986346631509878</v>
      </c>
      <c r="H510">
        <v>18.6476018846238</v>
      </c>
      <c r="I510">
        <v>39.978576397546099</v>
      </c>
      <c r="J510">
        <v>0.99326093839870799</v>
      </c>
      <c r="K510" s="8">
        <v>21.714005737546099</v>
      </c>
      <c r="L510" s="7">
        <v>28</v>
      </c>
      <c r="M510">
        <v>0.46714274088541602</v>
      </c>
      <c r="N510">
        <v>38.040487351760397</v>
      </c>
      <c r="O510">
        <v>0.98855267448288697</v>
      </c>
      <c r="P510">
        <v>19.412959673707199</v>
      </c>
      <c r="Q510">
        <v>41.337056069999299</v>
      </c>
      <c r="R510">
        <v>0.99469258579824504</v>
      </c>
      <c r="S510" s="1">
        <v>22.751170177942399</v>
      </c>
      <c r="T510" s="7"/>
      <c r="U510" s="1"/>
      <c r="V510" s="1"/>
      <c r="W510" s="8"/>
      <c r="X510" s="7"/>
      <c r="Y510" s="1"/>
      <c r="Z510" s="1"/>
      <c r="AA510" s="8"/>
      <c r="AB510" s="7">
        <v>32</v>
      </c>
      <c r="AC510">
        <v>0.53875732421875</v>
      </c>
      <c r="AD510">
        <v>37.866290383511398</v>
      </c>
      <c r="AE510">
        <v>0.99016856315784596</v>
      </c>
      <c r="AF510">
        <v>20.0738300637767</v>
      </c>
      <c r="AG510">
        <v>40.928000374142599</v>
      </c>
      <c r="AH510">
        <v>0.99536454260653595</v>
      </c>
      <c r="AI510" s="1">
        <v>23.339074063616099</v>
      </c>
      <c r="AJ510" s="1">
        <v>7.9797871112823398</v>
      </c>
      <c r="AK510" s="1">
        <v>3.45389723777771</v>
      </c>
      <c r="AL510" s="7"/>
      <c r="AM510" s="1"/>
      <c r="AN510" s="1"/>
      <c r="AO510" s="8"/>
      <c r="AP510" s="1"/>
      <c r="AQ510" s="1"/>
      <c r="AR510" s="1"/>
      <c r="AS510" s="8"/>
      <c r="AT510" s="7">
        <v>0.64</v>
      </c>
      <c r="AU510">
        <v>0.42140706380208298</v>
      </c>
      <c r="AV510">
        <v>33.104257748486802</v>
      </c>
      <c r="AW510">
        <v>0.99262144459614299</v>
      </c>
      <c r="AX510">
        <v>21.320286573564498</v>
      </c>
      <c r="AY510">
        <v>36.5024101023496</v>
      </c>
      <c r="AZ510">
        <v>0.99584175070594105</v>
      </c>
      <c r="BA510" s="1">
        <v>23.810894775373601</v>
      </c>
      <c r="BB510" s="1">
        <v>11.8340859413146</v>
      </c>
      <c r="BC510" s="1">
        <v>5.6874680519104004</v>
      </c>
      <c r="BD510" s="7"/>
      <c r="BE510" s="1"/>
      <c r="BF510" s="1"/>
      <c r="BG510" s="8"/>
      <c r="BH510" s="1"/>
      <c r="BI510" s="1"/>
      <c r="BJ510" s="1"/>
      <c r="BK510" s="8"/>
    </row>
    <row r="511" spans="1:63">
      <c r="A511" s="49"/>
      <c r="B511" s="7" t="s">
        <v>18</v>
      </c>
      <c r="C511" s="17">
        <v>0.25</v>
      </c>
      <c r="D511" s="7">
        <v>36</v>
      </c>
      <c r="E511">
        <v>0.21702067057291599</v>
      </c>
      <c r="F511">
        <v>33.573467328716603</v>
      </c>
      <c r="G511">
        <v>0.97494429746107203</v>
      </c>
      <c r="H511">
        <v>16.010934155316701</v>
      </c>
      <c r="I511">
        <v>36.711111345897599</v>
      </c>
      <c r="J511">
        <v>0.98386578853316697</v>
      </c>
      <c r="K511" s="8">
        <v>17.922522551731099</v>
      </c>
      <c r="L511" s="7">
        <v>33</v>
      </c>
      <c r="M511">
        <v>0.23915608723958301</v>
      </c>
      <c r="N511">
        <v>34.9941652817785</v>
      </c>
      <c r="O511">
        <v>0.98067477044717899</v>
      </c>
      <c r="P511">
        <v>17.138753386551102</v>
      </c>
      <c r="Q511">
        <v>38.219902421000299</v>
      </c>
      <c r="R511">
        <v>0.98801399493409203</v>
      </c>
      <c r="S511" s="1">
        <v>19.213255430841201</v>
      </c>
      <c r="T511" s="7"/>
      <c r="U511" s="1"/>
      <c r="V511" s="1"/>
      <c r="W511" s="8"/>
      <c r="X511" s="7"/>
      <c r="Y511" s="1"/>
      <c r="Z511" s="1"/>
      <c r="AA511" s="8"/>
      <c r="AB511" s="7">
        <v>8</v>
      </c>
      <c r="AC511">
        <v>0.23158772786458301</v>
      </c>
      <c r="AD511">
        <v>34.127846600753799</v>
      </c>
      <c r="AE511">
        <v>0.98159568671605901</v>
      </c>
      <c r="AF511">
        <v>17.350803826486601</v>
      </c>
      <c r="AG511">
        <v>37.292754848928404</v>
      </c>
      <c r="AH511">
        <v>0.98776157610375503</v>
      </c>
      <c r="AI511" s="1">
        <v>19.122745084353401</v>
      </c>
      <c r="AJ511" s="1">
        <v>6.1494061946868896</v>
      </c>
      <c r="AK511" s="1">
        <v>3.56566166877746</v>
      </c>
      <c r="AL511" s="7"/>
      <c r="AM511" s="1"/>
      <c r="AN511" s="1"/>
      <c r="AO511" s="8"/>
      <c r="AP511" s="1"/>
      <c r="AQ511" s="1"/>
      <c r="AR511" s="1"/>
      <c r="AS511" s="8"/>
      <c r="AT511" s="7">
        <v>0.32</v>
      </c>
      <c r="AU511">
        <v>0.27750651041666602</v>
      </c>
      <c r="AV511">
        <v>32.027949120897702</v>
      </c>
      <c r="AW511">
        <v>0.98947472307818296</v>
      </c>
      <c r="AX511">
        <v>19.777664689806802</v>
      </c>
      <c r="AY511">
        <v>35.455551177939299</v>
      </c>
      <c r="AZ511">
        <v>0.99364668944020396</v>
      </c>
      <c r="BA511" s="1">
        <v>21.969999151497099</v>
      </c>
      <c r="BB511" s="1">
        <v>11.2206788063049</v>
      </c>
      <c r="BC511" s="1">
        <v>6.4647865295410103</v>
      </c>
      <c r="BD511" s="7"/>
      <c r="BE511" s="1"/>
      <c r="BF511" s="1"/>
      <c r="BG511" s="8"/>
      <c r="BH511" s="1"/>
      <c r="BI511" s="1"/>
      <c r="BJ511" s="1"/>
      <c r="BK511" s="8"/>
    </row>
    <row r="512" spans="1:63">
      <c r="A512" s="49"/>
      <c r="B512" s="7" t="s">
        <v>18</v>
      </c>
      <c r="C512" s="17">
        <v>0.12</v>
      </c>
      <c r="D512" s="7">
        <v>40</v>
      </c>
      <c r="E512">
        <v>0.1170654296875</v>
      </c>
      <c r="F512">
        <v>31.365281694189701</v>
      </c>
      <c r="G512">
        <v>0.95910107123138599</v>
      </c>
      <c r="H512">
        <v>13.882880669553099</v>
      </c>
      <c r="I512">
        <v>34.503823121316699</v>
      </c>
      <c r="J512">
        <v>0.96941623677495303</v>
      </c>
      <c r="K512" s="8">
        <v>15.1450907721939</v>
      </c>
      <c r="L512" s="7">
        <v>38</v>
      </c>
      <c r="M512">
        <v>0.110310872395833</v>
      </c>
      <c r="N512">
        <v>32.225639157569397</v>
      </c>
      <c r="O512">
        <v>0.96404208343259901</v>
      </c>
      <c r="P512">
        <v>14.442054796054901</v>
      </c>
      <c r="Q512">
        <v>35.495492180934697</v>
      </c>
      <c r="R512">
        <v>0.97262087800203101</v>
      </c>
      <c r="S512" s="1">
        <v>15.6258048306658</v>
      </c>
      <c r="T512" s="7"/>
      <c r="U512" s="1"/>
      <c r="V512" s="1"/>
      <c r="W512" s="8"/>
      <c r="X512" s="7"/>
      <c r="Y512" s="1"/>
      <c r="Z512" s="1"/>
      <c r="AA512" s="8"/>
      <c r="AB512" s="7">
        <v>4</v>
      </c>
      <c r="AC512">
        <v>0.14194742838541599</v>
      </c>
      <c r="AD512">
        <v>32.353719377311698</v>
      </c>
      <c r="AE512">
        <v>0.97283993595220997</v>
      </c>
      <c r="AF512">
        <v>15.6606921025424</v>
      </c>
      <c r="AG512">
        <v>35.569318611840103</v>
      </c>
      <c r="AH512">
        <v>0.979648121119712</v>
      </c>
      <c r="AI512" s="1">
        <v>16.913954906316899</v>
      </c>
      <c r="AJ512" s="1">
        <v>7.3157808780670104</v>
      </c>
      <c r="AK512" s="1">
        <v>5.1971261501312203</v>
      </c>
      <c r="AL512" s="7"/>
      <c r="AM512" s="1"/>
      <c r="AN512" s="1"/>
      <c r="AO512" s="8"/>
      <c r="AP512" s="1"/>
      <c r="AQ512" s="1"/>
      <c r="AR512" s="1"/>
      <c r="AS512" s="8"/>
      <c r="AT512" s="7">
        <v>0.08</v>
      </c>
      <c r="AU512">
        <v>0.13087972005208301</v>
      </c>
      <c r="AV512">
        <v>29.720461363534</v>
      </c>
      <c r="AW512">
        <v>0.97998077824079499</v>
      </c>
      <c r="AX512">
        <v>16.985528095866002</v>
      </c>
      <c r="AY512">
        <v>33.136601465261897</v>
      </c>
      <c r="AZ512">
        <v>0.98624042804559098</v>
      </c>
      <c r="BA512" s="1">
        <v>18.6139507632796</v>
      </c>
      <c r="BB512" s="1">
        <v>5.7974777221679599</v>
      </c>
      <c r="BC512" s="1">
        <v>3.5153508186340301</v>
      </c>
      <c r="BD512" s="7"/>
      <c r="BE512" s="1"/>
      <c r="BF512" s="1"/>
      <c r="BG512" s="8"/>
      <c r="BH512" s="1"/>
      <c r="BI512" s="1"/>
      <c r="BJ512" s="1"/>
      <c r="BK512" s="8"/>
    </row>
    <row r="513" spans="1:63">
      <c r="A513" s="49"/>
      <c r="B513" s="7" t="s">
        <v>18</v>
      </c>
      <c r="C513" s="17">
        <v>0.06</v>
      </c>
      <c r="D513" s="7">
        <v>45</v>
      </c>
      <c r="E513">
        <v>5.6905110677083301E-2</v>
      </c>
      <c r="F513">
        <v>28.954642209534398</v>
      </c>
      <c r="G513">
        <v>0.93365197835592695</v>
      </c>
      <c r="H513">
        <v>11.781720223379301</v>
      </c>
      <c r="I513">
        <v>32.137300866454503</v>
      </c>
      <c r="J513">
        <v>0.94777013748720695</v>
      </c>
      <c r="K513" s="8">
        <v>12.8208111737599</v>
      </c>
      <c r="L513" s="7">
        <v>43</v>
      </c>
      <c r="M513">
        <v>5.5887858072916602E-2</v>
      </c>
      <c r="N513">
        <v>29.957725953319599</v>
      </c>
      <c r="O513">
        <v>0.94149195814913</v>
      </c>
      <c r="P513">
        <v>12.327844366285101</v>
      </c>
      <c r="Q513">
        <v>33.254746235018402</v>
      </c>
      <c r="R513">
        <v>0.95253895969306202</v>
      </c>
      <c r="S513" s="1">
        <v>13.2366274663678</v>
      </c>
      <c r="T513" s="7"/>
      <c r="U513" s="1"/>
      <c r="V513" s="1"/>
      <c r="W513" s="8"/>
      <c r="X513" s="7"/>
      <c r="Y513" s="1"/>
      <c r="Z513" s="1"/>
      <c r="AA513" s="8"/>
      <c r="AB513" s="7">
        <v>2</v>
      </c>
      <c r="AC513">
        <v>8.4330240885416602E-2</v>
      </c>
      <c r="AD513">
        <v>30.769962212205101</v>
      </c>
      <c r="AE513">
        <v>0.96066093526512997</v>
      </c>
      <c r="AF513">
        <v>14.051759694119401</v>
      </c>
      <c r="AG513">
        <v>34.051522810205299</v>
      </c>
      <c r="AH513">
        <v>0.96791283621075097</v>
      </c>
      <c r="AI513" s="1">
        <v>14.936686688538501</v>
      </c>
      <c r="AJ513" s="1">
        <v>7.5221760272979701</v>
      </c>
      <c r="AK513" s="1">
        <v>5.1495120525360099</v>
      </c>
      <c r="AL513" s="7"/>
      <c r="AM513" s="1"/>
      <c r="AN513" s="1"/>
      <c r="AO513" s="8"/>
      <c r="AP513" s="1"/>
      <c r="AQ513" s="1"/>
      <c r="AR513" s="1"/>
      <c r="AS513" s="8"/>
      <c r="AT513" s="7">
        <v>0.04</v>
      </c>
      <c r="AU513">
        <v>8.1156412760416602E-2</v>
      </c>
      <c r="AV513">
        <v>28.189873958406299</v>
      </c>
      <c r="AW513">
        <v>0.97022600211690802</v>
      </c>
      <c r="AX513">
        <v>15.261628468449301</v>
      </c>
      <c r="AY513">
        <v>31.539816618403101</v>
      </c>
      <c r="AZ513">
        <v>0.97756253906469504</v>
      </c>
      <c r="BA513" s="1">
        <v>16.490262902044702</v>
      </c>
      <c r="BB513" s="1">
        <v>6.5103492736816397</v>
      </c>
      <c r="BC513" s="1">
        <v>4.3532171249389604</v>
      </c>
      <c r="BD513" s="7"/>
      <c r="BE513" s="1"/>
      <c r="BF513" s="1"/>
      <c r="BG513" s="8"/>
      <c r="BH513" s="1"/>
      <c r="BI513" s="1"/>
      <c r="BJ513" s="1"/>
      <c r="BK513" s="8"/>
    </row>
    <row r="514" spans="1:63">
      <c r="A514" s="49"/>
      <c r="B514" s="7" t="s">
        <v>107</v>
      </c>
      <c r="C514" s="17">
        <v>1.5</v>
      </c>
      <c r="D514" s="7">
        <v>25</v>
      </c>
      <c r="E514">
        <v>1.4992472330729101</v>
      </c>
      <c r="F514">
        <v>39.397617118361303</v>
      </c>
      <c r="G514">
        <v>0.99102825794048999</v>
      </c>
      <c r="H514">
        <v>20.471232210166001</v>
      </c>
      <c r="I514">
        <v>42.596175043291296</v>
      </c>
      <c r="J514">
        <v>0.99493111821841596</v>
      </c>
      <c r="K514" s="8">
        <v>22.950878374418899</v>
      </c>
      <c r="L514" s="7">
        <v>22</v>
      </c>
      <c r="M514">
        <v>1.4598592122395799</v>
      </c>
      <c r="N514">
        <v>40.037780057199903</v>
      </c>
      <c r="O514">
        <v>0.99186785045860604</v>
      </c>
      <c r="P514">
        <v>20.897946437569701</v>
      </c>
      <c r="Q514">
        <v>43.320836044616399</v>
      </c>
      <c r="R514">
        <v>0.99544077304403999</v>
      </c>
      <c r="S514" s="1">
        <v>23.411087883052801</v>
      </c>
      <c r="T514" s="13">
        <f>bdrate(E514:E517,F514:F517,M514:M517,N514:N517)</f>
        <v>-0.1631122840755691</v>
      </c>
      <c r="U514" s="12">
        <f>bdrate(E514:E517,H514:H517,M514:M517,P514:P517)</f>
        <v>-0.19258477941000474</v>
      </c>
      <c r="V514" s="12">
        <f>bdrate(E514:E517,I514:I517,M514:M517,Q514:Q517)</f>
        <v>-0.17935502293292671</v>
      </c>
      <c r="W514" s="14">
        <f>bdrate(E514:E517,K514:K517,M514:M517,S514:S517)</f>
        <v>-0.13766675311887533</v>
      </c>
      <c r="X514" s="13">
        <f>bdrate(E516:E519,F516:F519,M516:M519,N516:N519)</f>
        <v>-0.208035734483484</v>
      </c>
      <c r="Y514" s="12">
        <f>bdrate(E516:E519,H516:H519,M516:M519,P516:P519)</f>
        <v>-0.20713194269710977</v>
      </c>
      <c r="Z514" s="12">
        <f>bdrate(E516:E519,I516:I519,M516:M519,Q516:Q519)</f>
        <v>-0.2636625820084878</v>
      </c>
      <c r="AA514" s="14">
        <f>bdrate(E516:E519,K516:K519,M516:M519,S516:S519)</f>
        <v>-0.143993500442128</v>
      </c>
      <c r="AB514" s="7">
        <v>128</v>
      </c>
      <c r="AC514">
        <v>1.5865275065104101</v>
      </c>
      <c r="AD514">
        <v>40.4947636410702</v>
      </c>
      <c r="AE514">
        <v>0.99345103159355796</v>
      </c>
      <c r="AF514">
        <v>21.8382710469123</v>
      </c>
      <c r="AG514">
        <v>43.4237287322931</v>
      </c>
      <c r="AH514">
        <v>0.99604150246508805</v>
      </c>
      <c r="AI514" s="1">
        <v>24.024696211738402</v>
      </c>
      <c r="AJ514" s="1">
        <v>41.322462320327702</v>
      </c>
      <c r="AK514" s="1">
        <v>16.076789379119798</v>
      </c>
      <c r="AL514" s="13">
        <f>bdrate(E514:E517,F514:F517,AC514:AC517,AD514:AD517)</f>
        <v>-4.2214237413906397E-2</v>
      </c>
      <c r="AM514" s="12">
        <f>bdrate(E514:E517,H514:H517,AC514:AC517,AF514:AF517)</f>
        <v>-0.28295195298707665</v>
      </c>
      <c r="AN514" s="12">
        <f>bdrate(E514:E517,I514:I517,AC514:AC517,AG514:AG517)</f>
        <v>-4.1591324329546264E-2</v>
      </c>
      <c r="AO514" s="14">
        <f>bdrate(E514:E517,K514:K517,AC514:AC517,AI514:AI517)</f>
        <v>-0.18702832504505895</v>
      </c>
      <c r="AP514" s="12">
        <f>bdrate(E516:E519,F516:F519,AC516:AC519,AD516:AD519)</f>
        <v>-7.6619674182593633E-2</v>
      </c>
      <c r="AQ514" s="12">
        <f>bdrate(E516:E519,H516:H519,AC516:AC519,AF516:AF519)</f>
        <v>-0.34180456241464674</v>
      </c>
      <c r="AR514" s="12">
        <f>bdrate(E516:E519,I516:I519,AC516:AC519,AG516:AG519)</f>
        <v>-0.14424946940175976</v>
      </c>
      <c r="AS514" s="14">
        <f>bdrate(E516:E519,K516:K519,AC516:AC519,AI516:AI519)</f>
        <v>-0.26111292222063076</v>
      </c>
      <c r="AT514" s="7">
        <v>3.2</v>
      </c>
      <c r="AU514">
        <v>1.3208211263020799</v>
      </c>
      <c r="AV514">
        <v>34.815357053808903</v>
      </c>
      <c r="AW514">
        <v>0.99664156729275399</v>
      </c>
      <c r="AX514">
        <v>24.738633492156801</v>
      </c>
      <c r="AY514">
        <v>38.3755579742745</v>
      </c>
      <c r="AZ514">
        <v>0.99761237111768097</v>
      </c>
      <c r="BA514" s="1">
        <v>26.220331762388199</v>
      </c>
      <c r="BB514" s="1">
        <v>66.218378305435095</v>
      </c>
      <c r="BC514" s="1">
        <v>18.070517539977999</v>
      </c>
      <c r="BD514" s="13">
        <f>bdrate(E514:E517,F514:F517,AU514:AU517,AV514:AV517)</f>
        <v>0.80721233060627706</v>
      </c>
      <c r="BE514" s="12">
        <f>bdrate(E514:E517,H514:H517,AU514:AU517,AX514:AX517)</f>
        <v>-0.60205290895443264</v>
      </c>
      <c r="BF514" s="12">
        <f>bdrate(E514:E517,I514:I517,AU514:AU517,AY514:AY517)</f>
        <v>0.54726439158411933</v>
      </c>
      <c r="BG514" s="14">
        <f>bdrate(E514:E517,K514:K517,AU514:AU517,BA514:BA517)</f>
        <v>-0.50229493157673932</v>
      </c>
      <c r="BH514" s="12">
        <f>bdrate(E516:E519,F516:F519,AU516:AU519,AV516:AV519)</f>
        <v>0.45711528312162542</v>
      </c>
      <c r="BI514" s="12">
        <f>bdrate(E516:E519,H516:H519,AU516:AU519,AX516:AX519)</f>
        <v>-0.5794440091623374</v>
      </c>
      <c r="BJ514" s="12">
        <f>bdrate(E516:E519,I516:I519,AU516:AU519,AY516:AY519)</f>
        <v>0.22369241870840662</v>
      </c>
      <c r="BK514" s="14">
        <f>bdrate(E516:E519,K516:K519,AU516:AU519,BA516:BA519)</f>
        <v>-0.51521243483846124</v>
      </c>
    </row>
    <row r="515" spans="1:63">
      <c r="A515" s="49"/>
      <c r="B515" s="7" t="s">
        <v>18</v>
      </c>
      <c r="C515" s="17">
        <v>1</v>
      </c>
      <c r="D515" s="7">
        <v>30</v>
      </c>
      <c r="E515">
        <v>0.93672688802083304</v>
      </c>
      <c r="F515">
        <v>36.163092085251698</v>
      </c>
      <c r="G515">
        <v>0.98575459932410903</v>
      </c>
      <c r="H515">
        <v>18.463253309888302</v>
      </c>
      <c r="I515">
        <v>39.3005976136062</v>
      </c>
      <c r="J515">
        <v>0.99153942010150398</v>
      </c>
      <c r="K515" s="8">
        <v>20.7259986886577</v>
      </c>
      <c r="L515" s="7">
        <v>27</v>
      </c>
      <c r="M515">
        <v>0.93538411458333304</v>
      </c>
      <c r="N515">
        <v>37.204931185758397</v>
      </c>
      <c r="O515">
        <v>0.98824696214678198</v>
      </c>
      <c r="P515">
        <v>19.298498651055102</v>
      </c>
      <c r="Q515">
        <v>40.412864354645997</v>
      </c>
      <c r="R515">
        <v>0.99271046383807104</v>
      </c>
      <c r="S515" s="1">
        <v>21.373001052518099</v>
      </c>
      <c r="T515" s="7"/>
      <c r="U515" s="1"/>
      <c r="V515" s="1"/>
      <c r="W515" s="8"/>
      <c r="X515" s="7"/>
      <c r="Y515" s="1"/>
      <c r="Z515" s="1"/>
      <c r="AA515" s="8"/>
      <c r="AB515" s="7">
        <v>32</v>
      </c>
      <c r="AC515">
        <v>0.86737060546875</v>
      </c>
      <c r="AD515">
        <v>35.9388965674029</v>
      </c>
      <c r="AE515">
        <v>0.98859531625152697</v>
      </c>
      <c r="AF515">
        <v>19.429167531929199</v>
      </c>
      <c r="AG515">
        <v>39.024034160421898</v>
      </c>
      <c r="AH515">
        <v>0.99247317852025296</v>
      </c>
      <c r="AI515" s="1">
        <v>21.2338838438823</v>
      </c>
      <c r="AJ515" s="1">
        <v>7.6264772415161097</v>
      </c>
      <c r="AK515" s="1">
        <v>3.63139772415161</v>
      </c>
      <c r="AL515" s="7"/>
      <c r="AM515" s="1"/>
      <c r="AN515" s="1"/>
      <c r="AO515" s="8"/>
      <c r="AP515" s="1"/>
      <c r="AQ515" s="1"/>
      <c r="AR515" s="1"/>
      <c r="AS515" s="8"/>
      <c r="AT515" s="7">
        <v>1.28</v>
      </c>
      <c r="AU515">
        <v>0.85443115234375</v>
      </c>
      <c r="AV515">
        <v>31.837453353120601</v>
      </c>
      <c r="AW515">
        <v>0.99413508550267604</v>
      </c>
      <c r="AX515">
        <v>22.317383149399902</v>
      </c>
      <c r="AY515">
        <v>35.713826751553398</v>
      </c>
      <c r="AZ515">
        <v>0.99576576179155896</v>
      </c>
      <c r="BA515" s="1">
        <v>23.732247132270299</v>
      </c>
      <c r="BB515" s="1">
        <v>11.9313569068908</v>
      </c>
      <c r="BC515" s="1">
        <v>4.9904325008392298</v>
      </c>
      <c r="BD515" s="7"/>
      <c r="BE515" s="1"/>
      <c r="BF515" s="1"/>
      <c r="BG515" s="8"/>
      <c r="BH515" s="1"/>
      <c r="BI515" s="1"/>
      <c r="BJ515" s="1"/>
      <c r="BK515" s="8"/>
    </row>
    <row r="516" spans="1:63">
      <c r="A516" s="49"/>
      <c r="B516" s="7" t="s">
        <v>18</v>
      </c>
      <c r="C516" s="17">
        <v>0.5</v>
      </c>
      <c r="D516" s="7">
        <v>36</v>
      </c>
      <c r="E516">
        <v>0.46256510416666602</v>
      </c>
      <c r="F516">
        <v>31.932162888117301</v>
      </c>
      <c r="G516">
        <v>0.97296019840176495</v>
      </c>
      <c r="H516">
        <v>15.6799649930983</v>
      </c>
      <c r="I516">
        <v>35.128945507428298</v>
      </c>
      <c r="J516">
        <v>0.98153718409695401</v>
      </c>
      <c r="K516" s="8">
        <v>17.3370206073749</v>
      </c>
      <c r="L516" s="7">
        <v>33</v>
      </c>
      <c r="M516">
        <v>0.48931884765625</v>
      </c>
      <c r="N516">
        <v>33.288908012593701</v>
      </c>
      <c r="O516">
        <v>0.978844979622704</v>
      </c>
      <c r="P516">
        <v>16.745865520040201</v>
      </c>
      <c r="Q516">
        <v>36.576143404233498</v>
      </c>
      <c r="R516">
        <v>0.98531274880423003</v>
      </c>
      <c r="S516" s="1">
        <v>18.330594773352999</v>
      </c>
      <c r="T516" s="7"/>
      <c r="U516" s="1"/>
      <c r="V516" s="1"/>
      <c r="W516" s="8"/>
      <c r="X516" s="7"/>
      <c r="Y516" s="1"/>
      <c r="Z516" s="1"/>
      <c r="AA516" s="8"/>
      <c r="AB516" s="7">
        <v>16</v>
      </c>
      <c r="AC516">
        <v>0.59641520182291596</v>
      </c>
      <c r="AD516">
        <v>33.415465869293698</v>
      </c>
      <c r="AE516">
        <v>0.98425625359465196</v>
      </c>
      <c r="AF516">
        <v>18.028919143170199</v>
      </c>
      <c r="AG516">
        <v>36.671367304127898</v>
      </c>
      <c r="AH516">
        <v>0.98903532525666404</v>
      </c>
      <c r="AI516" s="1">
        <v>19.600042467287999</v>
      </c>
      <c r="AJ516" s="1">
        <v>6.4364492893218896</v>
      </c>
      <c r="AK516" s="1">
        <v>3.6523795127868599</v>
      </c>
      <c r="AL516" s="7"/>
      <c r="AM516" s="1"/>
      <c r="AN516" s="1"/>
      <c r="AO516" s="8"/>
      <c r="AP516" s="1"/>
      <c r="AQ516" s="1"/>
      <c r="AR516" s="1"/>
      <c r="AS516" s="8"/>
      <c r="AT516" s="7">
        <v>0.64</v>
      </c>
      <c r="AU516">
        <v>0.58494059244791596</v>
      </c>
      <c r="AV516">
        <v>30.2009328154966</v>
      </c>
      <c r="AW516">
        <v>0.99097528193650897</v>
      </c>
      <c r="AX516">
        <v>20.445663567777601</v>
      </c>
      <c r="AY516">
        <v>34.191423240760102</v>
      </c>
      <c r="AZ516">
        <v>0.99333318321646702</v>
      </c>
      <c r="BA516" s="1">
        <v>21.7608147992681</v>
      </c>
      <c r="BB516" s="1">
        <v>10.0041544437408</v>
      </c>
      <c r="BC516" s="1">
        <v>5.2062351703643799</v>
      </c>
      <c r="BD516" s="7"/>
      <c r="BE516" s="1"/>
      <c r="BF516" s="1"/>
      <c r="BG516" s="8"/>
      <c r="BH516" s="1"/>
      <c r="BI516" s="1"/>
      <c r="BJ516" s="1"/>
      <c r="BK516" s="8"/>
    </row>
    <row r="517" spans="1:63">
      <c r="A517" s="49"/>
      <c r="B517" s="7" t="s">
        <v>18</v>
      </c>
      <c r="C517" s="17">
        <v>0.25</v>
      </c>
      <c r="D517" s="7">
        <v>41</v>
      </c>
      <c r="E517">
        <v>0.21868896484375</v>
      </c>
      <c r="F517">
        <v>28.603356231177901</v>
      </c>
      <c r="G517">
        <v>0.94951452369618605</v>
      </c>
      <c r="H517">
        <v>12.968335420457899</v>
      </c>
      <c r="I517">
        <v>31.911400154053698</v>
      </c>
      <c r="J517">
        <v>0.96165373752751904</v>
      </c>
      <c r="K517" s="8">
        <v>14.162769593989401</v>
      </c>
      <c r="L517" s="7">
        <v>38</v>
      </c>
      <c r="M517">
        <v>0.24696858723958301</v>
      </c>
      <c r="N517">
        <v>29.979182940290901</v>
      </c>
      <c r="O517">
        <v>0.96223663206541998</v>
      </c>
      <c r="P517">
        <v>14.229292799942799</v>
      </c>
      <c r="Q517">
        <v>33.474984889387201</v>
      </c>
      <c r="R517">
        <v>0.97028540889536197</v>
      </c>
      <c r="S517" s="1">
        <v>15.2703024158687</v>
      </c>
      <c r="T517" s="7"/>
      <c r="U517" s="1"/>
      <c r="V517" s="1"/>
      <c r="W517" s="8"/>
      <c r="X517" s="7"/>
      <c r="Y517" s="1"/>
      <c r="Z517" s="1"/>
      <c r="AA517" s="8"/>
      <c r="AB517" s="7">
        <v>8</v>
      </c>
      <c r="AC517">
        <v>0.39585367838541602</v>
      </c>
      <c r="AD517">
        <v>31.445533416915701</v>
      </c>
      <c r="AE517">
        <v>0.97799075057634099</v>
      </c>
      <c r="AF517">
        <v>16.5739476783836</v>
      </c>
      <c r="AG517">
        <v>34.889129405209601</v>
      </c>
      <c r="AH517">
        <v>0.98365722490707397</v>
      </c>
      <c r="AI517" s="1">
        <v>17.8667419595456</v>
      </c>
      <c r="AJ517" s="1">
        <v>5.6796996593475297</v>
      </c>
      <c r="AK517" s="1">
        <v>3.3990888595581001</v>
      </c>
      <c r="AL517" s="7"/>
      <c r="AM517" s="1"/>
      <c r="AN517" s="1"/>
      <c r="AO517" s="8"/>
      <c r="AP517" s="1"/>
      <c r="AQ517" s="1"/>
      <c r="AR517" s="1"/>
      <c r="AS517" s="8"/>
      <c r="AT517" s="7">
        <v>0.16</v>
      </c>
      <c r="AU517">
        <v>0.27154541015625</v>
      </c>
      <c r="AV517">
        <v>28.084867827771799</v>
      </c>
      <c r="AW517">
        <v>0.98072369397437997</v>
      </c>
      <c r="AX517">
        <v>17.1497618756988</v>
      </c>
      <c r="AY517">
        <v>32.075535284878796</v>
      </c>
      <c r="AZ517">
        <v>0.98505686507087298</v>
      </c>
      <c r="BA517" s="1">
        <v>18.255582820656201</v>
      </c>
      <c r="BB517" s="1">
        <v>6.7339944839477504</v>
      </c>
      <c r="BC517" s="1">
        <v>4.5805723667144704</v>
      </c>
      <c r="BD517" s="7"/>
      <c r="BE517" s="1"/>
      <c r="BF517" s="1"/>
      <c r="BG517" s="8"/>
      <c r="BH517" s="1"/>
      <c r="BI517" s="1"/>
      <c r="BJ517" s="1"/>
      <c r="BK517" s="8"/>
    </row>
    <row r="518" spans="1:63">
      <c r="A518" s="49"/>
      <c r="B518" s="7" t="s">
        <v>18</v>
      </c>
      <c r="C518" s="17">
        <v>0.12</v>
      </c>
      <c r="D518" s="7">
        <v>45</v>
      </c>
      <c r="E518">
        <v>0.1119384765625</v>
      </c>
      <c r="F518">
        <v>26.377272482899802</v>
      </c>
      <c r="G518">
        <v>0.91944327403519899</v>
      </c>
      <c r="H518">
        <v>10.938981929548699</v>
      </c>
      <c r="I518">
        <v>29.7568808048219</v>
      </c>
      <c r="J518">
        <v>0.93435055890905205</v>
      </c>
      <c r="K518" s="8">
        <v>11.827689669415999</v>
      </c>
      <c r="L518" s="7">
        <v>43</v>
      </c>
      <c r="M518">
        <v>0.1092529296875</v>
      </c>
      <c r="N518">
        <v>27.0601247665426</v>
      </c>
      <c r="O518">
        <v>0.92967655492607604</v>
      </c>
      <c r="P518">
        <v>11.528998617689499</v>
      </c>
      <c r="Q518">
        <v>30.686227272054602</v>
      </c>
      <c r="R518">
        <v>0.94084024851782999</v>
      </c>
      <c r="S518" s="1">
        <v>12.279736590522401</v>
      </c>
      <c r="T518" s="7"/>
      <c r="U518" s="1"/>
      <c r="V518" s="1"/>
      <c r="W518" s="8"/>
      <c r="X518" s="7"/>
      <c r="Y518" s="1"/>
      <c r="Z518" s="1"/>
      <c r="AA518" s="8"/>
      <c r="AB518" s="7">
        <v>4</v>
      </c>
      <c r="AC518">
        <v>0.24725341796875</v>
      </c>
      <c r="AD518">
        <v>29.388294722777299</v>
      </c>
      <c r="AE518">
        <v>0.96734281970663205</v>
      </c>
      <c r="AF518">
        <v>14.860213161056601</v>
      </c>
      <c r="AG518">
        <v>32.987614680073001</v>
      </c>
      <c r="AH518">
        <v>0.97413240653637301</v>
      </c>
      <c r="AI518" s="1">
        <v>15.8724397306475</v>
      </c>
      <c r="AJ518" s="1">
        <v>7.5132925510406396</v>
      </c>
      <c r="AK518" s="1">
        <v>5.1605718135833696</v>
      </c>
      <c r="AL518" s="7"/>
      <c r="AM518" s="1"/>
      <c r="AN518" s="1"/>
      <c r="AO518" s="8"/>
      <c r="AP518" s="1"/>
      <c r="AQ518" s="1"/>
      <c r="AR518" s="1"/>
      <c r="AS518" s="8"/>
      <c r="AT518" s="7">
        <v>0.08</v>
      </c>
      <c r="AU518">
        <v>0.18715413411458301</v>
      </c>
      <c r="AV518">
        <v>27.065306744599098</v>
      </c>
      <c r="AW518">
        <v>0.97207474175625297</v>
      </c>
      <c r="AX518">
        <v>15.5400280197903</v>
      </c>
      <c r="AY518">
        <v>30.9037607361428</v>
      </c>
      <c r="AZ518">
        <v>0.97761887810028703</v>
      </c>
      <c r="BA518" s="1">
        <v>16.501181473589501</v>
      </c>
      <c r="BB518" s="1">
        <v>6.1282405853271396</v>
      </c>
      <c r="BC518" s="1">
        <v>3.6817712783813401</v>
      </c>
      <c r="BD518" s="7"/>
      <c r="BE518" s="1"/>
      <c r="BF518" s="1"/>
      <c r="BG518" s="8"/>
      <c r="BH518" s="1"/>
      <c r="BI518" s="1"/>
      <c r="BJ518" s="1"/>
      <c r="BK518" s="8"/>
    </row>
    <row r="519" spans="1:63">
      <c r="A519" s="49"/>
      <c r="B519" s="7" t="s">
        <v>18</v>
      </c>
      <c r="C519" s="17">
        <v>0.06</v>
      </c>
      <c r="D519" s="7">
        <v>49</v>
      </c>
      <c r="E519">
        <v>5.18798828125E-2</v>
      </c>
      <c r="F519">
        <v>24.455497320358798</v>
      </c>
      <c r="G519">
        <v>0.87404792197905301</v>
      </c>
      <c r="H519">
        <v>8.9979466289722492</v>
      </c>
      <c r="I519">
        <v>27.818163347992002</v>
      </c>
      <c r="J519">
        <v>0.89283912874251703</v>
      </c>
      <c r="K519" s="8">
        <v>9.6996376407484899</v>
      </c>
      <c r="L519" s="7">
        <v>47</v>
      </c>
      <c r="M519">
        <v>5.3934733072916602E-2</v>
      </c>
      <c r="N519">
        <v>25.119427923016001</v>
      </c>
      <c r="O519">
        <v>0.88879695201237996</v>
      </c>
      <c r="P519">
        <v>9.5388330892245996</v>
      </c>
      <c r="Q519">
        <v>28.7646996347715</v>
      </c>
      <c r="R519">
        <v>0.90165078952669697</v>
      </c>
      <c r="S519" s="1">
        <v>10.0722912215505</v>
      </c>
      <c r="T519" s="7"/>
      <c r="U519" s="1"/>
      <c r="V519" s="1"/>
      <c r="W519" s="8"/>
      <c r="X519" s="7"/>
      <c r="Y519" s="1"/>
      <c r="Z519" s="1"/>
      <c r="AA519" s="8"/>
      <c r="AB519" s="7">
        <v>2</v>
      </c>
      <c r="AC519">
        <v>0.14695231119791599</v>
      </c>
      <c r="AD519">
        <v>27.5823446040406</v>
      </c>
      <c r="AE519">
        <v>0.95041196028501795</v>
      </c>
      <c r="AF519">
        <v>13.0462305964181</v>
      </c>
      <c r="AG519">
        <v>31.270322872121401</v>
      </c>
      <c r="AH519">
        <v>0.95877664351191305</v>
      </c>
      <c r="AI519" s="1">
        <v>13.8485664999231</v>
      </c>
      <c r="AJ519" s="1">
        <v>7.4028015136718697</v>
      </c>
      <c r="AK519" s="1">
        <v>5.6927583217620796</v>
      </c>
      <c r="AL519" s="7"/>
      <c r="AM519" s="1"/>
      <c r="AN519" s="1"/>
      <c r="AO519" s="8"/>
      <c r="AP519" s="1"/>
      <c r="AQ519" s="1"/>
      <c r="AR519" s="1"/>
      <c r="AS519" s="8"/>
      <c r="AT519" s="7">
        <v>0.04</v>
      </c>
      <c r="AU519">
        <v>0.122090657552083</v>
      </c>
      <c r="AV519">
        <v>26.026415217384201</v>
      </c>
      <c r="AW519">
        <v>0.95936207175563004</v>
      </c>
      <c r="AX519">
        <v>13.9106844085634</v>
      </c>
      <c r="AY519">
        <v>29.813682953479301</v>
      </c>
      <c r="AZ519">
        <v>0.96612449964544</v>
      </c>
      <c r="BA519" s="1">
        <v>14.7011428136862</v>
      </c>
      <c r="BB519" s="1">
        <v>6.4739568233489901</v>
      </c>
      <c r="BC519" s="1">
        <v>4.3200480937957701</v>
      </c>
      <c r="BD519" s="7"/>
      <c r="BE519" s="1"/>
      <c r="BF519" s="1"/>
      <c r="BG519" s="8"/>
      <c r="BH519" s="1"/>
      <c r="BI519" s="1"/>
      <c r="BJ519" s="1"/>
      <c r="BK519" s="8"/>
    </row>
    <row r="520" spans="1:63">
      <c r="A520" s="49"/>
      <c r="B520" s="7" t="s">
        <v>108</v>
      </c>
      <c r="C520" s="17">
        <v>1.5</v>
      </c>
      <c r="D520" s="7">
        <v>26</v>
      </c>
      <c r="E520">
        <v>1.47076416015625</v>
      </c>
      <c r="F520">
        <v>38.168364789319902</v>
      </c>
      <c r="G520">
        <v>0.98980601751484099</v>
      </c>
      <c r="H520">
        <v>19.9165611693189</v>
      </c>
      <c r="I520">
        <v>41.369555779921598</v>
      </c>
      <c r="J520">
        <v>0.99434790240415205</v>
      </c>
      <c r="K520" s="8">
        <v>22.477903477130202</v>
      </c>
      <c r="L520" s="7">
        <v>23</v>
      </c>
      <c r="M520">
        <v>1.4851888020833299</v>
      </c>
      <c r="N520">
        <v>39.122765201552198</v>
      </c>
      <c r="O520">
        <v>0.99136817278101497</v>
      </c>
      <c r="P520">
        <v>20.638972613965699</v>
      </c>
      <c r="Q520">
        <v>42.412162742218797</v>
      </c>
      <c r="R520">
        <v>0.99529408544707698</v>
      </c>
      <c r="S520" s="1">
        <v>23.2735596273819</v>
      </c>
      <c r="T520" s="13">
        <f>bdrate(E520:E523,F520:F523,M520:M523,N520:N523)</f>
        <v>-0.16543863947352444</v>
      </c>
      <c r="U520" s="12">
        <f>bdrate(E520:E523,H520:H523,M520:M523,P520:P523)</f>
        <v>-0.13476789742433726</v>
      </c>
      <c r="V520" s="12">
        <f>bdrate(E520:E523,I520:I523,M520:M523,Q520:Q523)</f>
        <v>-0.17224673152578518</v>
      </c>
      <c r="W520" s="14">
        <f>bdrate(E520:E523,K520:K523,M520:M523,S520:S523)</f>
        <v>-0.11728196747235398</v>
      </c>
      <c r="X520" s="13">
        <f>bdrate(E522:E525,F522:F525,M522:M525,N522:N525)</f>
        <v>-0.2122846609285709</v>
      </c>
      <c r="Y520" s="12">
        <f>bdrate(E522:E525,H522:H525,M522:M525,P522:P525)</f>
        <v>-0.16788048667024946</v>
      </c>
      <c r="Z520" s="12">
        <f>bdrate(E522:E525,I522:I525,M522:M525,Q522:Q525)</f>
        <v>-0.23081433629767389</v>
      </c>
      <c r="AA520" s="14">
        <f>bdrate(E522:E525,K522:K525,M522:M525,S522:S525)</f>
        <v>-0.13354736111561005</v>
      </c>
      <c r="AB520" s="7">
        <v>64</v>
      </c>
      <c r="AC520">
        <v>1.25665283203125</v>
      </c>
      <c r="AD520">
        <v>37.4942599389083</v>
      </c>
      <c r="AE520">
        <v>0.98999955213711399</v>
      </c>
      <c r="AF520">
        <v>19.9998054999757</v>
      </c>
      <c r="AG520">
        <v>40.283089859794998</v>
      </c>
      <c r="AH520">
        <v>0.99385413686014801</v>
      </c>
      <c r="AI520" s="1">
        <v>22.1141711512897</v>
      </c>
      <c r="AJ520" s="1">
        <v>7.3071186542510898</v>
      </c>
      <c r="AK520" s="1">
        <v>3.8735368251800502</v>
      </c>
      <c r="AL520" s="13">
        <f>bdrate(E520:E523,F520:F523,AC520:AC523,AD520:AD523)</f>
        <v>-6.9228773346597605E-2</v>
      </c>
      <c r="AM520" s="12">
        <f>bdrate(E520:E523,H520:H523,AC520:AC523,AF520:AF523)</f>
        <v>-0.17641881200876097</v>
      </c>
      <c r="AN520" s="12">
        <f>bdrate(E520:E523,I520:I523,AC520:AC523,AG520:AG523)</f>
        <v>-1.8679301370742585E-2</v>
      </c>
      <c r="AO520" s="14">
        <f>bdrate(E520:E523,K520:K523,AC520:AC523,AI520:AI523)</f>
        <v>-0.11554894504329216</v>
      </c>
      <c r="AP520" s="12">
        <f>bdrate(E522:E525,F522:F525,AC522:AC525,AD522:AD525)</f>
        <v>-0.13619672048715004</v>
      </c>
      <c r="AQ520" s="12">
        <f>bdrate(E522:E525,H522:H525,AC522:AC525,AF522:AF525)</f>
        <v>-0.24044490844303801</v>
      </c>
      <c r="AR520" s="12">
        <f>bdrate(E522:E525,I522:I525,AC522:AC525,AG522:AG525)</f>
        <v>-9.7025957076706915E-2</v>
      </c>
      <c r="AS520" s="14">
        <f>bdrate(E522:E525,K522:K525,AC522:AC525,AI522:AI525)</f>
        <v>-0.17196940997699417</v>
      </c>
      <c r="AT520" s="7">
        <v>3.2</v>
      </c>
      <c r="AU520">
        <v>1.59344482421875</v>
      </c>
      <c r="AV520">
        <v>36.433915592484603</v>
      </c>
      <c r="AW520">
        <v>0.99649530863267399</v>
      </c>
      <c r="AX520">
        <v>24.553502211692599</v>
      </c>
      <c r="AY520">
        <v>39.4124211569506</v>
      </c>
      <c r="AZ520">
        <v>0.99749437818504405</v>
      </c>
      <c r="BA520" s="1">
        <v>26.010844784624599</v>
      </c>
      <c r="BB520" s="1">
        <v>57.205425500869701</v>
      </c>
      <c r="BC520" s="1">
        <v>17.895961523055998</v>
      </c>
      <c r="BD520" s="13">
        <f>bdrate(E520:E523,F520:F523,AU520:AU523,AV520:AV523)</f>
        <v>0.59371639460508763</v>
      </c>
      <c r="BE520" s="12">
        <f>bdrate(E520:E523,H520:H523,AU520:AU523,AX520:AX523)</f>
        <v>-0.47647384321114394</v>
      </c>
      <c r="BF520" s="12">
        <f>bdrate(E520:E523,I520:I523,AU520:AU523,AY520:AY523)</f>
        <v>0.56855508230597485</v>
      </c>
      <c r="BG520" s="14">
        <f>bdrate(E520:E523,K520:K523,AU520:AU523,BA520:BA523)</f>
        <v>-0.37298081210760414</v>
      </c>
      <c r="BH520" s="12">
        <f>bdrate(E522:E525,F522:F525,AU522:AU525,AV522:AV525)</f>
        <v>0.47246224305203044</v>
      </c>
      <c r="BI520" s="12">
        <f>bdrate(E522:E525,H522:H525,AU522:AU525,AX522:AX525)</f>
        <v>-0.46639172667821782</v>
      </c>
      <c r="BJ520" s="12">
        <f>bdrate(E522:E525,I522:I525,AU522:AU525,AY522:AY525)</f>
        <v>0.47100835538862595</v>
      </c>
      <c r="BK520" s="14">
        <f>bdrate(E522:E525,K522:K525,AU522:AU525,BA522:BA525)</f>
        <v>-0.40095697737653702</v>
      </c>
    </row>
    <row r="521" spans="1:63">
      <c r="A521" s="49"/>
      <c r="B521" s="7" t="s">
        <v>18</v>
      </c>
      <c r="C521" s="17">
        <v>1</v>
      </c>
      <c r="D521" s="7">
        <v>30</v>
      </c>
      <c r="E521">
        <v>0.92045084635416596</v>
      </c>
      <c r="F521">
        <v>35.371461816417401</v>
      </c>
      <c r="G521">
        <v>0.98150507416326105</v>
      </c>
      <c r="H521">
        <v>17.329474058332998</v>
      </c>
      <c r="I521">
        <v>38.474451291432601</v>
      </c>
      <c r="J521">
        <v>0.98870778385094704</v>
      </c>
      <c r="K521" s="8">
        <v>19.472208174324699</v>
      </c>
      <c r="L521" s="7">
        <v>27</v>
      </c>
      <c r="M521">
        <v>0.96295166015625</v>
      </c>
      <c r="N521">
        <v>36.528150642924601</v>
      </c>
      <c r="O521">
        <v>0.98501823697892299</v>
      </c>
      <c r="P521">
        <v>18.244370768053098</v>
      </c>
      <c r="Q521">
        <v>39.691226384068699</v>
      </c>
      <c r="R521">
        <v>0.99094534964106995</v>
      </c>
      <c r="S521" s="1">
        <v>20.4312831510357</v>
      </c>
      <c r="T521" s="7"/>
      <c r="U521" s="1"/>
      <c r="V521" s="1"/>
      <c r="W521" s="8"/>
      <c r="X521" s="7"/>
      <c r="Y521" s="1"/>
      <c r="Z521" s="1"/>
      <c r="AA521" s="8"/>
      <c r="AB521" s="7">
        <v>32</v>
      </c>
      <c r="AC521">
        <v>0.89508056640625</v>
      </c>
      <c r="AD521">
        <v>35.661723676356203</v>
      </c>
      <c r="AE521">
        <v>0.98464954072423505</v>
      </c>
      <c r="AF521">
        <v>18.138786261837801</v>
      </c>
      <c r="AG521">
        <v>38.459419268405298</v>
      </c>
      <c r="AH521">
        <v>0.98991320332087895</v>
      </c>
      <c r="AI521" s="1">
        <v>19.9624673321416</v>
      </c>
      <c r="AJ521" s="1">
        <v>6.7694933414459202</v>
      </c>
      <c r="AK521" s="1">
        <v>3.5102696418762198</v>
      </c>
      <c r="AL521" s="7"/>
      <c r="AM521" s="1"/>
      <c r="AN521" s="1"/>
      <c r="AO521" s="8"/>
      <c r="AP521" s="1"/>
      <c r="AQ521" s="1"/>
      <c r="AR521" s="1"/>
      <c r="AS521" s="8"/>
      <c r="AT521" s="7">
        <v>1.28</v>
      </c>
      <c r="AU521">
        <v>1.0707804361979101</v>
      </c>
      <c r="AV521">
        <v>33.646307228393901</v>
      </c>
      <c r="AW521">
        <v>0.99345009374321802</v>
      </c>
      <c r="AX521">
        <v>21.837649156499999</v>
      </c>
      <c r="AY521">
        <v>36.788941238739</v>
      </c>
      <c r="AZ521">
        <v>0.99517856873284605</v>
      </c>
      <c r="BA521" s="1">
        <v>23.168240200274099</v>
      </c>
      <c r="BB521" s="1">
        <v>11.863523244857699</v>
      </c>
      <c r="BC521" s="1">
        <v>5.5066461563110298</v>
      </c>
      <c r="BD521" s="7"/>
      <c r="BE521" s="1"/>
      <c r="BF521" s="1"/>
      <c r="BG521" s="8"/>
      <c r="BH521" s="1"/>
      <c r="BI521" s="1"/>
      <c r="BJ521" s="1"/>
      <c r="BK521" s="8"/>
    </row>
    <row r="522" spans="1:63">
      <c r="A522" s="49"/>
      <c r="B522" s="7" t="s">
        <v>18</v>
      </c>
      <c r="C522" s="17">
        <v>0.5</v>
      </c>
      <c r="D522" s="7">
        <v>35</v>
      </c>
      <c r="E522">
        <v>0.44486490885416602</v>
      </c>
      <c r="F522">
        <v>31.9479504132911</v>
      </c>
      <c r="G522">
        <v>0.95887255584874198</v>
      </c>
      <c r="H522">
        <v>13.858682787109601</v>
      </c>
      <c r="I522">
        <v>35.011223005614198</v>
      </c>
      <c r="J522">
        <v>0.97146152701267297</v>
      </c>
      <c r="K522" s="8">
        <v>15.4456926846452</v>
      </c>
      <c r="L522" s="7">
        <v>32</v>
      </c>
      <c r="M522">
        <v>0.49586995442708298</v>
      </c>
      <c r="N522">
        <v>33.207460170802399</v>
      </c>
      <c r="O522">
        <v>0.96826898685500196</v>
      </c>
      <c r="P522">
        <v>14.985160610147</v>
      </c>
      <c r="Q522">
        <v>36.317102561741798</v>
      </c>
      <c r="R522">
        <v>0.97842442557555898</v>
      </c>
      <c r="S522" s="1">
        <v>16.660376328760801</v>
      </c>
      <c r="T522" s="7"/>
      <c r="U522" s="1"/>
      <c r="V522" s="1"/>
      <c r="W522" s="8"/>
      <c r="X522" s="7"/>
      <c r="Y522" s="1"/>
      <c r="Z522" s="1"/>
      <c r="AA522" s="8"/>
      <c r="AB522" s="7">
        <v>16</v>
      </c>
      <c r="AC522">
        <v>0.60219319661458304</v>
      </c>
      <c r="AD522">
        <v>33.502362823420697</v>
      </c>
      <c r="AE522">
        <v>0.97586586589667901</v>
      </c>
      <c r="AF522">
        <v>16.173682784030198</v>
      </c>
      <c r="AG522">
        <v>36.3391831456657</v>
      </c>
      <c r="AH522">
        <v>0.98319429097172895</v>
      </c>
      <c r="AI522" s="1">
        <v>17.745431600424801</v>
      </c>
      <c r="AJ522" s="1">
        <v>6.3000028133392298</v>
      </c>
      <c r="AK522" s="1">
        <v>3.6101949214935298</v>
      </c>
      <c r="AL522" s="7"/>
      <c r="AM522" s="1"/>
      <c r="AN522" s="1"/>
      <c r="AO522" s="8"/>
      <c r="AP522" s="1"/>
      <c r="AQ522" s="1"/>
      <c r="AR522" s="1"/>
      <c r="AS522" s="8"/>
      <c r="AT522" s="7">
        <v>0.32</v>
      </c>
      <c r="AU522">
        <v>0.54221598307291596</v>
      </c>
      <c r="AV522">
        <v>30.877979773487201</v>
      </c>
      <c r="AW522">
        <v>0.984044681351251</v>
      </c>
      <c r="AX522">
        <v>17.970945179504898</v>
      </c>
      <c r="AY522">
        <v>34.0836246115908</v>
      </c>
      <c r="AZ522">
        <v>0.98788438256717104</v>
      </c>
      <c r="BA522" s="1">
        <v>19.166544485642401</v>
      </c>
      <c r="BB522" s="1">
        <v>9.6833362579345703</v>
      </c>
      <c r="BC522" s="1">
        <v>5.93912529945373</v>
      </c>
      <c r="BD522" s="7"/>
      <c r="BE522" s="1"/>
      <c r="BF522" s="1"/>
      <c r="BG522" s="8"/>
      <c r="BH522" s="1"/>
      <c r="BI522" s="1"/>
      <c r="BJ522" s="1"/>
      <c r="BK522" s="8"/>
    </row>
    <row r="523" spans="1:63">
      <c r="A523" s="49"/>
      <c r="B523" s="7" t="s">
        <v>18</v>
      </c>
      <c r="C523" s="17">
        <v>0.25</v>
      </c>
      <c r="D523" s="7">
        <v>39</v>
      </c>
      <c r="E523">
        <v>0.22418212890625</v>
      </c>
      <c r="F523">
        <v>29.555894021940599</v>
      </c>
      <c r="G523">
        <v>0.92524650460432001</v>
      </c>
      <c r="H523">
        <v>11.263684953705599</v>
      </c>
      <c r="I523">
        <v>32.640073231522599</v>
      </c>
      <c r="J523">
        <v>0.94280939996714797</v>
      </c>
      <c r="K523" s="8">
        <v>12.4267534689467</v>
      </c>
      <c r="L523" s="7">
        <v>37</v>
      </c>
      <c r="M523">
        <v>0.21990966796875</v>
      </c>
      <c r="N523">
        <v>30.2073137362624</v>
      </c>
      <c r="O523">
        <v>0.93487824434157996</v>
      </c>
      <c r="P523">
        <v>11.862738995426</v>
      </c>
      <c r="Q523">
        <v>33.340503493616801</v>
      </c>
      <c r="R523">
        <v>0.94940303587966701</v>
      </c>
      <c r="S523" s="1">
        <v>12.958755405780099</v>
      </c>
      <c r="T523" s="7"/>
      <c r="U523" s="1"/>
      <c r="V523" s="1"/>
      <c r="W523" s="8"/>
      <c r="X523" s="7"/>
      <c r="Y523" s="1"/>
      <c r="Z523" s="1"/>
      <c r="AA523" s="8"/>
      <c r="AB523" s="7">
        <v>8</v>
      </c>
      <c r="AC523">
        <v>0.37949625651041602</v>
      </c>
      <c r="AD523">
        <v>31.781764938893399</v>
      </c>
      <c r="AE523">
        <v>0.96201769073966203</v>
      </c>
      <c r="AF523">
        <v>14.204186344243301</v>
      </c>
      <c r="AG523">
        <v>34.674340615989699</v>
      </c>
      <c r="AH523">
        <v>0.97140336966024599</v>
      </c>
      <c r="AI523" s="1">
        <v>15.4368513858662</v>
      </c>
      <c r="AJ523" s="1">
        <v>5.4582152366638104</v>
      </c>
      <c r="AK523" s="1">
        <v>3.4911484718322701</v>
      </c>
      <c r="AL523" s="7"/>
      <c r="AM523" s="1"/>
      <c r="AN523" s="1"/>
      <c r="AO523" s="8"/>
      <c r="AP523" s="1"/>
      <c r="AQ523" s="1"/>
      <c r="AR523" s="1"/>
      <c r="AS523" s="8"/>
      <c r="AT523" s="7">
        <v>0.16</v>
      </c>
      <c r="AU523">
        <v>0.37900797526041602</v>
      </c>
      <c r="AV523">
        <v>29.931085042636902</v>
      </c>
      <c r="AW523">
        <v>0.97515705920181805</v>
      </c>
      <c r="AX523">
        <v>16.047969955797299</v>
      </c>
      <c r="AY523">
        <v>33.064567228968997</v>
      </c>
      <c r="AZ523">
        <v>0.98103937881273595</v>
      </c>
      <c r="BA523" s="1">
        <v>17.221474384229602</v>
      </c>
      <c r="BB523" s="1">
        <v>7.0013914108276296</v>
      </c>
      <c r="BC523" s="1">
        <v>4.5009350776672301</v>
      </c>
      <c r="BD523" s="7"/>
      <c r="BE523" s="1"/>
      <c r="BF523" s="1"/>
      <c r="BG523" s="8"/>
      <c r="BH523" s="1"/>
      <c r="BI523" s="1"/>
      <c r="BJ523" s="1"/>
      <c r="BK523" s="8"/>
    </row>
    <row r="524" spans="1:63">
      <c r="A524" s="49"/>
      <c r="B524" s="7" t="s">
        <v>18</v>
      </c>
      <c r="C524" s="17">
        <v>0.12</v>
      </c>
      <c r="D524" s="7">
        <v>43</v>
      </c>
      <c r="E524">
        <v>0.10380045572916601</v>
      </c>
      <c r="F524">
        <v>27.573440669251699</v>
      </c>
      <c r="G524">
        <v>0.87431484798157599</v>
      </c>
      <c r="H524">
        <v>9.0071602523644305</v>
      </c>
      <c r="I524">
        <v>30.661422389972401</v>
      </c>
      <c r="J524">
        <v>0.89535186914954701</v>
      </c>
      <c r="K524" s="8">
        <v>9.8026852431128493</v>
      </c>
      <c r="L524" s="7">
        <v>41</v>
      </c>
      <c r="M524">
        <v>0.10465494791666601</v>
      </c>
      <c r="N524">
        <v>28.1994223718293</v>
      </c>
      <c r="O524">
        <v>0.88817689188280402</v>
      </c>
      <c r="P524">
        <v>9.5146844071812708</v>
      </c>
      <c r="Q524">
        <v>31.362945589415201</v>
      </c>
      <c r="R524">
        <v>0.90563579784581505</v>
      </c>
      <c r="S524" s="1">
        <v>10.2519272768746</v>
      </c>
      <c r="T524" s="7"/>
      <c r="U524" s="1"/>
      <c r="V524" s="1"/>
      <c r="W524" s="8"/>
      <c r="X524" s="7"/>
      <c r="Y524" s="1"/>
      <c r="Z524" s="1"/>
      <c r="AA524" s="8"/>
      <c r="AB524" s="7">
        <v>4</v>
      </c>
      <c r="AC524">
        <v>0.22853597005208301</v>
      </c>
      <c r="AD524">
        <v>30.060406335506201</v>
      </c>
      <c r="AE524">
        <v>0.94085241297685496</v>
      </c>
      <c r="AF524">
        <v>12.2806296809283</v>
      </c>
      <c r="AG524">
        <v>33.008963174884698</v>
      </c>
      <c r="AH524">
        <v>0.95279235588738098</v>
      </c>
      <c r="AI524" s="1">
        <v>13.259876724011701</v>
      </c>
      <c r="AJ524" s="1">
        <v>7.0609581470489502</v>
      </c>
      <c r="AK524" s="1">
        <v>5.2861189842224103</v>
      </c>
      <c r="AL524" s="7"/>
      <c r="AM524" s="1"/>
      <c r="AN524" s="1"/>
      <c r="AO524" s="8"/>
      <c r="AP524" s="1"/>
      <c r="AQ524" s="1"/>
      <c r="AR524" s="1"/>
      <c r="AS524" s="8"/>
      <c r="AT524" s="7">
        <v>0.08</v>
      </c>
      <c r="AU524">
        <v>0.26263427734375</v>
      </c>
      <c r="AV524">
        <v>28.950587718776799</v>
      </c>
      <c r="AW524">
        <v>0.96247803791049602</v>
      </c>
      <c r="AX524">
        <v>14.257144596755699</v>
      </c>
      <c r="AY524">
        <v>32.012920865189002</v>
      </c>
      <c r="AZ524">
        <v>0.970565565874831</v>
      </c>
      <c r="BA524" s="1">
        <v>15.3114430905103</v>
      </c>
      <c r="BB524" s="1">
        <v>5.7417500019073398</v>
      </c>
      <c r="BC524" s="1">
        <v>3.5454859733581499</v>
      </c>
      <c r="BD524" s="7"/>
      <c r="BE524" s="1"/>
      <c r="BF524" s="1"/>
      <c r="BG524" s="8"/>
      <c r="BH524" s="1"/>
      <c r="BI524" s="1"/>
      <c r="BJ524" s="1"/>
      <c r="BK524" s="8"/>
    </row>
    <row r="525" spans="1:63">
      <c r="A525" s="49"/>
      <c r="B525" s="7" t="s">
        <v>18</v>
      </c>
      <c r="C525" s="17">
        <v>0.06</v>
      </c>
      <c r="D525" s="7">
        <v>46</v>
      </c>
      <c r="E525">
        <v>5.89599609375E-2</v>
      </c>
      <c r="F525">
        <v>26.360783412302901</v>
      </c>
      <c r="G525">
        <v>0.82520923593978601</v>
      </c>
      <c r="H525">
        <v>7.5748151920537001</v>
      </c>
      <c r="I525">
        <v>29.465017069591902</v>
      </c>
      <c r="J525">
        <v>0.84883670253014498</v>
      </c>
      <c r="K525" s="8">
        <v>8.2055364297000999</v>
      </c>
      <c r="L525" s="7">
        <v>45</v>
      </c>
      <c r="M525">
        <v>5.0516764322916602E-2</v>
      </c>
      <c r="N525">
        <v>26.565950053346</v>
      </c>
      <c r="O525">
        <v>0.82766168434133702</v>
      </c>
      <c r="P525">
        <v>7.6361815592870297</v>
      </c>
      <c r="Q525">
        <v>29.7276896570527</v>
      </c>
      <c r="R525">
        <v>0.84657417265412505</v>
      </c>
      <c r="S525" s="1">
        <v>8.1410152611293007</v>
      </c>
      <c r="T525" s="7"/>
      <c r="U525" s="1"/>
      <c r="V525" s="1"/>
      <c r="W525" s="8"/>
      <c r="X525" s="7"/>
      <c r="Y525" s="1"/>
      <c r="Z525" s="1"/>
      <c r="AA525" s="8"/>
      <c r="AB525" s="7">
        <v>2</v>
      </c>
      <c r="AC525">
        <v>0.13096110026041599</v>
      </c>
      <c r="AD525">
        <v>28.573893301868001</v>
      </c>
      <c r="AE525">
        <v>0.91127397558607703</v>
      </c>
      <c r="AF525">
        <v>10.519489776693399</v>
      </c>
      <c r="AG525">
        <v>31.559174721016699</v>
      </c>
      <c r="AH525">
        <v>0.925165074972507</v>
      </c>
      <c r="AI525" s="1">
        <v>11.2589567209784</v>
      </c>
      <c r="AJ525" s="1">
        <v>11.2540974617004</v>
      </c>
      <c r="AK525" s="1">
        <v>5.5511109828948904</v>
      </c>
      <c r="AL525" s="7"/>
      <c r="AM525" s="1"/>
      <c r="AN525" s="1"/>
      <c r="AO525" s="8"/>
      <c r="AP525" s="1"/>
      <c r="AQ525" s="1"/>
      <c r="AR525" s="1"/>
      <c r="AS525" s="8"/>
      <c r="AT525" s="7">
        <v>0.04</v>
      </c>
      <c r="AU525">
        <v>0.15708414713541599</v>
      </c>
      <c r="AV525">
        <v>27.795556810069598</v>
      </c>
      <c r="AW525">
        <v>0.94019665825780396</v>
      </c>
      <c r="AX525">
        <v>12.2327454745563</v>
      </c>
      <c r="AY525">
        <v>30.796192087101002</v>
      </c>
      <c r="AZ525">
        <v>0.95092900856311802</v>
      </c>
      <c r="BA525" s="1">
        <v>13.091751673865801</v>
      </c>
      <c r="BB525" s="1">
        <v>6.4976706504821697</v>
      </c>
      <c r="BC525" s="1">
        <v>4.3404662609100297</v>
      </c>
      <c r="BD525" s="7"/>
      <c r="BE525" s="1"/>
      <c r="BF525" s="1"/>
      <c r="BG525" s="8"/>
      <c r="BH525" s="1"/>
      <c r="BI525" s="1"/>
      <c r="BJ525" s="1"/>
      <c r="BK525" s="8"/>
    </row>
    <row r="526" spans="1:63">
      <c r="A526" s="49"/>
      <c r="B526" s="7" t="s">
        <v>109</v>
      </c>
      <c r="C526" s="17">
        <v>1.5</v>
      </c>
      <c r="D526" s="7">
        <v>19</v>
      </c>
      <c r="E526">
        <v>1.38885498046875</v>
      </c>
      <c r="F526">
        <v>43.467884342875301</v>
      </c>
      <c r="G526">
        <v>0.99551059841282097</v>
      </c>
      <c r="H526">
        <v>23.478115442319599</v>
      </c>
      <c r="I526">
        <v>46.689664618557202</v>
      </c>
      <c r="J526">
        <v>0.99738317316347003</v>
      </c>
      <c r="K526" s="8">
        <v>25.822250150093598</v>
      </c>
      <c r="L526" s="7">
        <v>17</v>
      </c>
      <c r="M526">
        <v>1.3168741861979101</v>
      </c>
      <c r="N526">
        <v>43.720170423296999</v>
      </c>
      <c r="O526">
        <v>0.99577665337117705</v>
      </c>
      <c r="P526">
        <v>23.743432726344999</v>
      </c>
      <c r="Q526">
        <v>47.040753196760903</v>
      </c>
      <c r="R526">
        <v>0.99762642666963397</v>
      </c>
      <c r="S526" s="1">
        <v>26.245973464266498</v>
      </c>
      <c r="T526" s="13">
        <f>bdrate(E526:E529,F526:F529,M526:M529,N526:N529)</f>
        <v>-0.1959936850309475</v>
      </c>
      <c r="U526" s="12">
        <f>bdrate(E526:E529,H526:H529,M526:M529,P526:P529)</f>
        <v>-0.18507916432974658</v>
      </c>
      <c r="V526" s="12">
        <f>bdrate(E526:E529,I526:I529,M526:M529,Q526:Q529)</f>
        <v>-0.2004675971517933</v>
      </c>
      <c r="W526" s="14">
        <f>bdrate(E526:E529,K526:K529,M526:M529,S526:S529)</f>
        <v>-0.17571906370572554</v>
      </c>
      <c r="X526" s="13">
        <f>bdrate(E528:E531,F528:F531,M528:M531,N528:N531)</f>
        <v>-0.24593486960293465</v>
      </c>
      <c r="Y526" s="12">
        <f>bdrate(E528:E531,H528:H531,M528:M531,P528:P531)</f>
        <v>-0.23785830126922802</v>
      </c>
      <c r="Z526" s="12">
        <f>bdrate(E528:E531,I528:I531,M528:M531,Q528:Q531)</f>
        <v>-0.24811109878234183</v>
      </c>
      <c r="AA526" s="14">
        <f>bdrate(E528:E531,K528:K531,M528:M531,S528:S531)</f>
        <v>-0.19908034637144678</v>
      </c>
      <c r="AB526" s="7">
        <v>256</v>
      </c>
      <c r="AC526">
        <v>1.13409423828125</v>
      </c>
      <c r="AD526">
        <v>43.595432979119103</v>
      </c>
      <c r="AE526">
        <v>0.99609817417806701</v>
      </c>
      <c r="AF526">
        <v>24.087321214771102</v>
      </c>
      <c r="AG526">
        <v>46.449300219233201</v>
      </c>
      <c r="AH526">
        <v>0.99737134497881097</v>
      </c>
      <c r="AI526" s="1">
        <v>25.802664059914299</v>
      </c>
      <c r="AJ526" s="1">
        <v>22.6894161701202</v>
      </c>
      <c r="AK526" s="1">
        <v>10.1908817291259</v>
      </c>
      <c r="AL526" s="13">
        <f>bdrate(E526:E529,F526:F529,AC526:AC529,AD526:AD529)</f>
        <v>-0.21737622550318358</v>
      </c>
      <c r="AM526" s="12">
        <f>bdrate(E526:E529,H526:H529,AC526:AC529,AF526:AF529)</f>
        <v>-0.30479962133918725</v>
      </c>
      <c r="AN526" s="12">
        <f>bdrate(E526:E529,I526:I529,AC526:AC529,AG526:AG529)</f>
        <v>-0.1614956681915708</v>
      </c>
      <c r="AO526" s="14">
        <f>bdrate(E526:E529,K526:K529,AC526:AC529,AI526:AI529)</f>
        <v>-0.21356536953660032</v>
      </c>
      <c r="AP526" s="12">
        <f>bdrate(E528:E531,F528:F531,AC528:AC531,AD528:AD531)</f>
        <v>-0.24401624721948389</v>
      </c>
      <c r="AQ526" s="12">
        <f>bdrate(E528:E531,H528:H531,AC528:AC531,AF528:AF531)</f>
        <v>-0.35662814451850677</v>
      </c>
      <c r="AR526" s="12">
        <f>bdrate(E528:E531,I528:I531,AC528:AC531,AG528:AG531)</f>
        <v>-0.19870987330461809</v>
      </c>
      <c r="AS526" s="14">
        <f>bdrate(E528:E531,K528:K531,AC528:AC531,AI528:AI531)</f>
        <v>-0.29048285940082541</v>
      </c>
      <c r="AT526" s="7">
        <v>6.4</v>
      </c>
      <c r="AU526">
        <v>1.3017374674479101</v>
      </c>
      <c r="AV526">
        <v>41.011875225504703</v>
      </c>
      <c r="AW526">
        <v>0.99803151474708696</v>
      </c>
      <c r="AX526">
        <v>27.0586783441839</v>
      </c>
      <c r="AY526">
        <v>43.718176653871403</v>
      </c>
      <c r="AZ526">
        <v>0.99865891476006696</v>
      </c>
      <c r="BA526" s="1">
        <v>28.725436173342601</v>
      </c>
      <c r="BB526" s="1">
        <v>65.602738618850694</v>
      </c>
      <c r="BC526" s="1">
        <v>16.181393623352001</v>
      </c>
      <c r="BD526" s="13">
        <f>bdrate(E526:E529,F526:F529,AU526:AU529,AV526:AV529)</f>
        <v>0.96123123469797278</v>
      </c>
      <c r="BE526" s="12">
        <f>bdrate(E526:E529,H526:H529,AU526:AU529,AX526:AX529)</f>
        <v>-0.55717867373608354</v>
      </c>
      <c r="BF526" s="12">
        <f>bdrate(E526:E529,I526:I529,AU526:AU529,AY526:AY529)</f>
        <v>1.1352792383778345</v>
      </c>
      <c r="BG526" s="14">
        <f>bdrate(E526:E529,K526:K529,AU526:AU529,BA526:BA529)</f>
        <v>-0.4773619224657456</v>
      </c>
      <c r="BH526" s="12">
        <f>bdrate(E528:E531,F528:F531,AU528:AU531,AV528:AV531)</f>
        <v>0.4980365842463701</v>
      </c>
      <c r="BI526" s="12">
        <f>bdrate(E528:E531,H528:H531,AU528:AU531,AX528:AX531)</f>
        <v>-0.55499927810849481</v>
      </c>
      <c r="BJ526" s="12">
        <f>bdrate(E528:E531,I528:I531,AU528:AU531,AY528:AY531)</f>
        <v>0.60858278672913313</v>
      </c>
      <c r="BK526" s="14">
        <f>bdrate(E528:E531,K528:K531,AU528:AU531,BA528:BA531)</f>
        <v>-0.49547154377967184</v>
      </c>
    </row>
    <row r="527" spans="1:63">
      <c r="A527" s="49"/>
      <c r="B527" s="7" t="s">
        <v>18</v>
      </c>
      <c r="C527" s="17">
        <v>1</v>
      </c>
      <c r="D527" s="7">
        <v>22</v>
      </c>
      <c r="E527">
        <v>0.9508056640625</v>
      </c>
      <c r="F527">
        <v>42.039340743759098</v>
      </c>
      <c r="G527">
        <v>0.99393301301341797</v>
      </c>
      <c r="H527">
        <v>22.170269365973802</v>
      </c>
      <c r="I527">
        <v>45.160460283806302</v>
      </c>
      <c r="J527">
        <v>0.99620280954956197</v>
      </c>
      <c r="K527" s="8">
        <v>24.205376200053401</v>
      </c>
      <c r="L527" s="7">
        <v>19</v>
      </c>
      <c r="M527">
        <v>0.97432454427083304</v>
      </c>
      <c r="N527">
        <v>42.713192962406602</v>
      </c>
      <c r="O527">
        <v>0.99469273178204298</v>
      </c>
      <c r="P527">
        <v>22.7512896350406</v>
      </c>
      <c r="Q527">
        <v>45.927303013152901</v>
      </c>
      <c r="R527">
        <v>0.99679777305591399</v>
      </c>
      <c r="S527" s="1">
        <v>24.9454789256935</v>
      </c>
      <c r="T527" s="7"/>
      <c r="U527" s="1"/>
      <c r="V527" s="1"/>
      <c r="W527" s="8"/>
      <c r="X527" s="7"/>
      <c r="Y527" s="1"/>
      <c r="Z527" s="1"/>
      <c r="AA527" s="8"/>
      <c r="AB527" s="7">
        <v>128</v>
      </c>
      <c r="AC527">
        <v>0.72580973307291596</v>
      </c>
      <c r="AD527">
        <v>42.074390460593897</v>
      </c>
      <c r="AE527">
        <v>0.99443189854328795</v>
      </c>
      <c r="AF527">
        <v>22.542928600195001</v>
      </c>
      <c r="AG527">
        <v>44.897913057677599</v>
      </c>
      <c r="AH527">
        <v>0.99605880806290703</v>
      </c>
      <c r="AI527" s="1">
        <v>24.0437241436296</v>
      </c>
      <c r="AJ527" s="1">
        <v>40.432180881500202</v>
      </c>
      <c r="AK527" s="1">
        <v>16.5027158260345</v>
      </c>
      <c r="AL527" s="7"/>
      <c r="AM527" s="1"/>
      <c r="AN527" s="1"/>
      <c r="AO527" s="8"/>
      <c r="AP527" s="1"/>
      <c r="AQ527" s="1"/>
      <c r="AR527" s="1"/>
      <c r="AS527" s="8"/>
      <c r="AT527" s="7">
        <v>3.2</v>
      </c>
      <c r="AU527">
        <v>0.90822347005208304</v>
      </c>
      <c r="AV527">
        <v>39.092950641715099</v>
      </c>
      <c r="AW527">
        <v>0.99714761954787501</v>
      </c>
      <c r="AX527">
        <v>25.447925485120301</v>
      </c>
      <c r="AY527">
        <v>41.764303432582899</v>
      </c>
      <c r="AZ527">
        <v>0.99803857763163395</v>
      </c>
      <c r="BA527" s="1">
        <v>27.074288762458799</v>
      </c>
      <c r="BB527" s="1">
        <v>73.320618391036902</v>
      </c>
      <c r="BC527" s="1">
        <v>17.308214187621999</v>
      </c>
      <c r="BD527" s="7"/>
      <c r="BE527" s="1"/>
      <c r="BF527" s="1"/>
      <c r="BG527" s="8"/>
      <c r="BH527" s="1"/>
      <c r="BI527" s="1"/>
      <c r="BJ527" s="1"/>
      <c r="BK527" s="8"/>
    </row>
    <row r="528" spans="1:63">
      <c r="A528" s="49"/>
      <c r="B528" s="7" t="s">
        <v>18</v>
      </c>
      <c r="C528" s="17">
        <v>0.5</v>
      </c>
      <c r="D528" s="7">
        <v>28</v>
      </c>
      <c r="E528">
        <v>0.47943115234375</v>
      </c>
      <c r="F528">
        <v>39.231206181085902</v>
      </c>
      <c r="G528">
        <v>0.98872206458426504</v>
      </c>
      <c r="H528">
        <v>19.4777039677289</v>
      </c>
      <c r="I528">
        <v>42.300787850735198</v>
      </c>
      <c r="J528">
        <v>0.99243026635799503</v>
      </c>
      <c r="K528" s="8">
        <v>21.2091940185298</v>
      </c>
      <c r="L528" s="7">
        <v>25</v>
      </c>
      <c r="M528">
        <v>0.47530110677083298</v>
      </c>
      <c r="N528">
        <v>40.202287593228498</v>
      </c>
      <c r="O528">
        <v>0.990795358528751</v>
      </c>
      <c r="P528">
        <v>20.359931229764602</v>
      </c>
      <c r="Q528">
        <v>43.293589194564802</v>
      </c>
      <c r="R528">
        <v>0.99384895663154804</v>
      </c>
      <c r="S528" s="1">
        <v>22.110512109354801</v>
      </c>
      <c r="T528" s="7"/>
      <c r="U528" s="1"/>
      <c r="V528" s="1"/>
      <c r="W528" s="8"/>
      <c r="X528" s="7"/>
      <c r="Y528" s="1"/>
      <c r="Z528" s="1"/>
      <c r="AA528" s="8"/>
      <c r="AB528" s="7">
        <v>64</v>
      </c>
      <c r="AC528">
        <v>0.52178955078125</v>
      </c>
      <c r="AD528">
        <v>40.5438060410007</v>
      </c>
      <c r="AE528">
        <v>0.99245086355654999</v>
      </c>
      <c r="AF528">
        <v>21.221027250985301</v>
      </c>
      <c r="AG528">
        <v>43.349835589819001</v>
      </c>
      <c r="AH528">
        <v>0.99452484258476404</v>
      </c>
      <c r="AI528" s="1">
        <v>22.616033899882002</v>
      </c>
      <c r="AJ528" s="1">
        <v>7.8099739551544101</v>
      </c>
      <c r="AK528" s="1">
        <v>4.1443169116973797</v>
      </c>
      <c r="AL528" s="7"/>
      <c r="AM528" s="1"/>
      <c r="AN528" s="1"/>
      <c r="AO528" s="8"/>
      <c r="AP528" s="1"/>
      <c r="AQ528" s="1"/>
      <c r="AR528" s="1"/>
      <c r="AS528" s="8"/>
      <c r="AT528" s="7">
        <v>1.28</v>
      </c>
      <c r="AU528">
        <v>0.55983479817708304</v>
      </c>
      <c r="AV528">
        <v>36.770624406678103</v>
      </c>
      <c r="AW528">
        <v>0.99530939499016702</v>
      </c>
      <c r="AX528">
        <v>23.2877113692549</v>
      </c>
      <c r="AY528">
        <v>39.486185542294102</v>
      </c>
      <c r="AZ528">
        <v>0.99661839729308599</v>
      </c>
      <c r="BA528" s="1">
        <v>24.708774175338299</v>
      </c>
      <c r="BB528" s="1">
        <v>12.160890579223601</v>
      </c>
      <c r="BC528" s="1">
        <v>5.2893900871276802</v>
      </c>
      <c r="BD528" s="7"/>
      <c r="BE528" s="1"/>
      <c r="BF528" s="1"/>
      <c r="BG528" s="8"/>
      <c r="BH528" s="1"/>
      <c r="BI528" s="1"/>
      <c r="BJ528" s="1"/>
      <c r="BK528" s="8"/>
    </row>
    <row r="529" spans="1:63">
      <c r="A529" s="49"/>
      <c r="B529" s="7" t="s">
        <v>18</v>
      </c>
      <c r="C529" s="17">
        <v>0.25</v>
      </c>
      <c r="D529" s="7">
        <v>34</v>
      </c>
      <c r="E529">
        <v>0.24037679036458301</v>
      </c>
      <c r="F529">
        <v>36.155452711782203</v>
      </c>
      <c r="G529">
        <v>0.97769274324778599</v>
      </c>
      <c r="H529">
        <v>16.515538340473199</v>
      </c>
      <c r="I529">
        <v>39.204726587141998</v>
      </c>
      <c r="J529">
        <v>0.98424448161706901</v>
      </c>
      <c r="K529" s="8">
        <v>18.025673032394</v>
      </c>
      <c r="L529" s="7">
        <v>31</v>
      </c>
      <c r="M529">
        <v>0.24226888020833301</v>
      </c>
      <c r="N529">
        <v>37.405946317334198</v>
      </c>
      <c r="O529">
        <v>0.98282807826446605</v>
      </c>
      <c r="P529">
        <v>17.651810995720101</v>
      </c>
      <c r="Q529">
        <v>40.479914339237098</v>
      </c>
      <c r="R529">
        <v>0.98767704648730403</v>
      </c>
      <c r="S529" s="1">
        <v>19.092851898551601</v>
      </c>
      <c r="T529" s="7"/>
      <c r="U529" s="1"/>
      <c r="V529" s="1"/>
      <c r="W529" s="8"/>
      <c r="X529" s="7"/>
      <c r="Y529" s="1"/>
      <c r="Z529" s="1"/>
      <c r="AA529" s="8"/>
      <c r="AB529" s="7">
        <v>16</v>
      </c>
      <c r="AC529">
        <v>0.25156656901041602</v>
      </c>
      <c r="AD529">
        <v>37.534727010224401</v>
      </c>
      <c r="AE529">
        <v>0.98550514404871303</v>
      </c>
      <c r="AF529">
        <v>18.387860962712001</v>
      </c>
      <c r="AG529">
        <v>40.329375485272003</v>
      </c>
      <c r="AH529">
        <v>0.98905377598434796</v>
      </c>
      <c r="AI529" s="1">
        <v>19.607356682192901</v>
      </c>
      <c r="AJ529" s="1">
        <v>6.1828272342681796</v>
      </c>
      <c r="AK529" s="1">
        <v>3.6076593399047798</v>
      </c>
      <c r="AL529" s="7"/>
      <c r="AM529" s="1"/>
      <c r="AN529" s="1"/>
      <c r="AO529" s="8"/>
      <c r="AP529" s="1"/>
      <c r="AQ529" s="1"/>
      <c r="AR529" s="1"/>
      <c r="AS529" s="8"/>
      <c r="AT529" s="7">
        <v>0.32</v>
      </c>
      <c r="AU529">
        <v>0.25872802734375</v>
      </c>
      <c r="AV529">
        <v>34.672566818247098</v>
      </c>
      <c r="AW529">
        <v>0.99067708736933902</v>
      </c>
      <c r="AX529">
        <v>20.304483857351499</v>
      </c>
      <c r="AY529">
        <v>37.428779871983203</v>
      </c>
      <c r="AZ529">
        <v>0.99281223510421501</v>
      </c>
      <c r="BA529" s="1">
        <v>21.434061366455701</v>
      </c>
      <c r="BB529" s="1">
        <v>10.373490571975699</v>
      </c>
      <c r="BC529" s="1">
        <v>6.3451805114745996</v>
      </c>
      <c r="BD529" s="7"/>
      <c r="BE529" s="1"/>
      <c r="BF529" s="1"/>
      <c r="BG529" s="8"/>
      <c r="BH529" s="1"/>
      <c r="BI529" s="1"/>
      <c r="BJ529" s="1"/>
      <c r="BK529" s="8"/>
    </row>
    <row r="530" spans="1:63">
      <c r="A530" s="49"/>
      <c r="B530" s="7" t="s">
        <v>18</v>
      </c>
      <c r="C530" s="17">
        <v>0.12</v>
      </c>
      <c r="D530" s="7">
        <v>40</v>
      </c>
      <c r="E530">
        <v>0.114013671875</v>
      </c>
      <c r="F530">
        <v>32.830652653347599</v>
      </c>
      <c r="G530">
        <v>0.95426155890698305</v>
      </c>
      <c r="H530">
        <v>13.397186415709401</v>
      </c>
      <c r="I530">
        <v>35.8898912858416</v>
      </c>
      <c r="J530">
        <v>0.96549231875345498</v>
      </c>
      <c r="K530" s="8">
        <v>14.620842222693099</v>
      </c>
      <c r="L530" s="7">
        <v>37</v>
      </c>
      <c r="M530">
        <v>0.119038899739583</v>
      </c>
      <c r="N530">
        <v>34.296028196126699</v>
      </c>
      <c r="O530">
        <v>0.96637084066956003</v>
      </c>
      <c r="P530">
        <v>14.7328398914432</v>
      </c>
      <c r="Q530">
        <v>37.360411117713603</v>
      </c>
      <c r="R530">
        <v>0.97374609851513005</v>
      </c>
      <c r="S530" s="1">
        <v>15.808061487362799</v>
      </c>
      <c r="T530" s="7"/>
      <c r="U530" s="1"/>
      <c r="V530" s="1"/>
      <c r="W530" s="8"/>
      <c r="X530" s="7"/>
      <c r="Y530" s="1"/>
      <c r="Z530" s="1"/>
      <c r="AA530" s="8"/>
      <c r="AB530" s="7">
        <v>4</v>
      </c>
      <c r="AC530">
        <v>0.116231282552083</v>
      </c>
      <c r="AD530">
        <v>34.2580129646323</v>
      </c>
      <c r="AE530">
        <v>0.97151095880820504</v>
      </c>
      <c r="AF530">
        <v>15.4532216684054</v>
      </c>
      <c r="AG530">
        <v>37.067829717197498</v>
      </c>
      <c r="AH530">
        <v>0.97736617189976005</v>
      </c>
      <c r="AI530" s="1">
        <v>16.4524198682257</v>
      </c>
      <c r="AJ530" s="1">
        <v>7.7389113903045601</v>
      </c>
      <c r="AK530" s="1">
        <v>5.4228007793426496</v>
      </c>
      <c r="AL530" s="7"/>
      <c r="AM530" s="1"/>
      <c r="AN530" s="1"/>
      <c r="AO530" s="8"/>
      <c r="AP530" s="1"/>
      <c r="AQ530" s="1"/>
      <c r="AR530" s="1"/>
      <c r="AS530" s="8"/>
      <c r="AT530" s="7">
        <v>0.08</v>
      </c>
      <c r="AU530">
        <v>0.124898274739583</v>
      </c>
      <c r="AV530">
        <v>31.8607661331659</v>
      </c>
      <c r="AW530">
        <v>0.98067407246281402</v>
      </c>
      <c r="AX530">
        <v>17.138596531863602</v>
      </c>
      <c r="AY530">
        <v>34.597082370581496</v>
      </c>
      <c r="AZ530">
        <v>0.98469612373593396</v>
      </c>
      <c r="BA530" s="1">
        <v>18.151985543536501</v>
      </c>
      <c r="BB530" s="1">
        <v>5.7737658023834202</v>
      </c>
      <c r="BC530" s="1">
        <v>3.6630585193634002</v>
      </c>
      <c r="BD530" s="7"/>
      <c r="BE530" s="1"/>
      <c r="BF530" s="1"/>
      <c r="BG530" s="8"/>
      <c r="BH530" s="1"/>
      <c r="BI530" s="1"/>
      <c r="BJ530" s="1"/>
      <c r="BK530" s="8"/>
    </row>
    <row r="531" spans="1:63">
      <c r="A531" s="49"/>
      <c r="B531" s="7" t="s">
        <v>18</v>
      </c>
      <c r="C531" s="17">
        <v>0.06</v>
      </c>
      <c r="D531" s="7">
        <v>46</v>
      </c>
      <c r="E531">
        <v>5.2652994791666602E-2</v>
      </c>
      <c r="F531">
        <v>29.648240880159801</v>
      </c>
      <c r="G531">
        <v>0.91347232701761505</v>
      </c>
      <c r="H531">
        <v>10.628449757545001</v>
      </c>
      <c r="I531">
        <v>32.708458659201</v>
      </c>
      <c r="J531">
        <v>0.93146853453169498</v>
      </c>
      <c r="K531" s="8">
        <v>11.641099811843</v>
      </c>
      <c r="L531" s="7">
        <v>43</v>
      </c>
      <c r="M531">
        <v>5.7210286458333301E-2</v>
      </c>
      <c r="N531">
        <v>31.1706260466839</v>
      </c>
      <c r="O531">
        <v>0.93482866956667199</v>
      </c>
      <c r="P531">
        <v>11.859434130545001</v>
      </c>
      <c r="Q531">
        <v>34.234800433373898</v>
      </c>
      <c r="R531">
        <v>0.94620612818896799</v>
      </c>
      <c r="S531" s="1">
        <v>12.692671962712</v>
      </c>
      <c r="T531" s="7"/>
      <c r="U531" s="1"/>
      <c r="V531" s="1"/>
      <c r="W531" s="8"/>
      <c r="X531" s="7"/>
      <c r="Y531" s="1"/>
      <c r="Z531" s="1"/>
      <c r="AA531" s="8"/>
      <c r="AB531" s="7">
        <v>2</v>
      </c>
      <c r="AC531">
        <v>7.8511555989583301E-2</v>
      </c>
      <c r="AD531">
        <v>32.360918763771103</v>
      </c>
      <c r="AE531">
        <v>0.959999980346804</v>
      </c>
      <c r="AF531">
        <v>13.9793979529022</v>
      </c>
      <c r="AG531">
        <v>35.207678362601399</v>
      </c>
      <c r="AH531">
        <v>0.96729936628013302</v>
      </c>
      <c r="AI531" s="1">
        <v>14.854438308756601</v>
      </c>
      <c r="AJ531" s="1">
        <v>7.0405321121215803</v>
      </c>
      <c r="AK531" s="1">
        <v>5.7875957489013601</v>
      </c>
      <c r="AL531" s="7"/>
      <c r="AM531" s="1"/>
      <c r="AN531" s="1"/>
      <c r="AO531" s="8"/>
      <c r="AP531" s="1"/>
      <c r="AQ531" s="1"/>
      <c r="AR531" s="1"/>
      <c r="AS531" s="8"/>
      <c r="AT531" s="7">
        <v>0.04</v>
      </c>
      <c r="AU531">
        <v>8.4452311197916602E-2</v>
      </c>
      <c r="AV531">
        <v>30.8154270133547</v>
      </c>
      <c r="AW531">
        <v>0.97299157405947201</v>
      </c>
      <c r="AX531">
        <v>15.6850072589263</v>
      </c>
      <c r="AY531">
        <v>33.570514099997503</v>
      </c>
      <c r="AZ531">
        <v>0.97810186160828405</v>
      </c>
      <c r="BA531" s="1">
        <v>16.595928039073598</v>
      </c>
      <c r="BB531" s="1">
        <v>6.3718380928039497</v>
      </c>
      <c r="BC531" s="1">
        <v>4.3041296005248997</v>
      </c>
      <c r="BD531" s="7"/>
      <c r="BE531" s="1"/>
      <c r="BF531" s="1"/>
      <c r="BG531" s="8"/>
      <c r="BH531" s="1"/>
      <c r="BI531" s="1"/>
      <c r="BJ531" s="1"/>
      <c r="BK531" s="8"/>
    </row>
    <row r="532" spans="1:63">
      <c r="A532" s="49"/>
      <c r="B532" s="7" t="s">
        <v>110</v>
      </c>
      <c r="C532" s="17">
        <v>1.5</v>
      </c>
      <c r="D532" s="7">
        <v>29</v>
      </c>
      <c r="E532">
        <v>1.3744710286458299</v>
      </c>
      <c r="F532">
        <v>36.160897960883503</v>
      </c>
      <c r="G532">
        <v>0.99041594957592904</v>
      </c>
      <c r="H532">
        <v>20.184509100175799</v>
      </c>
      <c r="I532">
        <v>39.335180926991598</v>
      </c>
      <c r="J532">
        <v>0.99381304461064901</v>
      </c>
      <c r="K532" s="8">
        <v>22.085230154215299</v>
      </c>
      <c r="L532" s="7">
        <v>25</v>
      </c>
      <c r="M532">
        <v>1.45452880859375</v>
      </c>
      <c r="N532">
        <v>38.175358508854401</v>
      </c>
      <c r="O532">
        <v>0.99395969477066104</v>
      </c>
      <c r="P532">
        <v>22.189411150099598</v>
      </c>
      <c r="Q532">
        <v>41.491778754185603</v>
      </c>
      <c r="R532">
        <v>0.99618256575113195</v>
      </c>
      <c r="S532" s="1">
        <v>24.182284344549299</v>
      </c>
      <c r="T532" s="13">
        <f>bdrate(E532:E535,F532:F535,M532:M535,N532:N535)</f>
        <v>-0.20774814686906373</v>
      </c>
      <c r="U532" s="12">
        <f>bdrate(E532:E535,H532:H535,M532:M535,P532:P535)</f>
        <v>-0.21558148692012791</v>
      </c>
      <c r="V532" s="12">
        <f>bdrate(E532:E535,I532:I535,M532:M535,Q532:Q535)</f>
        <v>-0.22163537834013924</v>
      </c>
      <c r="W532" s="14">
        <f>bdrate(E532:E535,K532:K535,M532:M535,S532:S535)</f>
        <v>-0.18297197417993982</v>
      </c>
      <c r="X532" s="13">
        <f>bdrate(E534:E537,F534:F537,M534:M537,N534:N537)</f>
        <v>-0.21585674498482221</v>
      </c>
      <c r="Y532" s="12">
        <f>bdrate(E534:E537,H534:H537,M534:M537,P534:P537)</f>
        <v>-0.19882134865310841</v>
      </c>
      <c r="Z532" s="12">
        <f>bdrate(E534:E537,I534:I537,M534:M537,Q534:Q537)</f>
        <v>-0.25104054205195414</v>
      </c>
      <c r="AA532" s="14">
        <f>bdrate(E534:E537,K534:K537,M534:M537,S534:S537)</f>
        <v>-0.1642792367157847</v>
      </c>
      <c r="AB532" s="7">
        <v>64</v>
      </c>
      <c r="AC532">
        <v>1.5064493815104101</v>
      </c>
      <c r="AD532">
        <v>36.839231545217601</v>
      </c>
      <c r="AE532">
        <v>0.99479053761840697</v>
      </c>
      <c r="AF532">
        <v>22.8320709373602</v>
      </c>
      <c r="AG532">
        <v>39.814063367507998</v>
      </c>
      <c r="AH532">
        <v>0.996564649949647</v>
      </c>
      <c r="AI532" s="1">
        <v>24.640290032359399</v>
      </c>
      <c r="AJ532" s="1">
        <v>7.6706724166870099</v>
      </c>
      <c r="AK532" s="1">
        <v>3.72838282585144</v>
      </c>
      <c r="AL532" s="13">
        <f>bdrate(E532:E535,F532:F535,AC532:AC535,AD532:AD535)</f>
        <v>1.9015166986519727E-2</v>
      </c>
      <c r="AM532" s="12">
        <f>bdrate(E532:E535,H532:H535,AC532:AC535,AF532:AF535)</f>
        <v>-0.28212182077841585</v>
      </c>
      <c r="AN532" s="12">
        <f>bdrate(E532:E535,I532:I535,AC532:AC535,AG532:AG535)</f>
        <v>3.2329710444804594E-2</v>
      </c>
      <c r="AO532" s="14">
        <f>bdrate(E532:E535,K532:K535,AC532:AC535,AI532:AI535)</f>
        <v>-0.23082589587589319</v>
      </c>
      <c r="AP532" s="12">
        <f>bdrate(E534:E537,F534:F537,AC534:AC537,AD534:AD537)</f>
        <v>0.1366990976077227</v>
      </c>
      <c r="AQ532" s="12">
        <f>bdrate(E534:E537,H534:H537,AC534:AC537,AF534:AF537)</f>
        <v>-0.36807157419975911</v>
      </c>
      <c r="AR532" s="12">
        <f>bdrate(E534:E537,I534:I537,AC534:AC537,AG534:AG537)</f>
        <v>6.7422531002800934E-2</v>
      </c>
      <c r="AS532" s="14">
        <f>bdrate(E534:E537,K534:K537,AC534:AC537,AI534:AI537)</f>
        <v>-0.31746043288757431</v>
      </c>
      <c r="AT532" s="7">
        <v>3.2</v>
      </c>
      <c r="AU532">
        <v>1.44305419921875</v>
      </c>
      <c r="AV532">
        <v>33.5496732625368</v>
      </c>
      <c r="AW532">
        <v>0.99730276887908198</v>
      </c>
      <c r="AX532">
        <v>25.690818380341199</v>
      </c>
      <c r="AY532">
        <v>36.839826916669701</v>
      </c>
      <c r="AZ532">
        <v>0.99806434113548803</v>
      </c>
      <c r="BA532" s="1">
        <v>27.131711792149801</v>
      </c>
      <c r="BB532" s="1">
        <v>59.5009155273437</v>
      </c>
      <c r="BC532" s="1">
        <v>18.087604999542201</v>
      </c>
      <c r="BD532" s="13">
        <f>bdrate(E532:E535,F532:F535,AU532:AU535,AV532:AV535)</f>
        <v>0.69551812045055694</v>
      </c>
      <c r="BE532" s="12">
        <f>bdrate(E532:E535,H532:H535,AU532:AU535,AX532:AX535)</f>
        <v>-0.55826923212675839</v>
      </c>
      <c r="BF532" s="12">
        <f>bdrate(E532:E535,I532:I535,AU532:AU535,AY532:AY535)</f>
        <v>0.55867991488590096</v>
      </c>
      <c r="BG532" s="14">
        <f>bdrate(E532:E535,K532:K535,AU532:AU535,BA532:BA535)</f>
        <v>-0.5008519176542654</v>
      </c>
      <c r="BH532" s="12">
        <f>bdrate(E534:E537,F534:F537,AU534:AU537,AV534:AV537)</f>
        <v>0.58930554005293323</v>
      </c>
      <c r="BI532" s="12">
        <f>bdrate(E534:E537,H534:H537,AU534:AU537,AX534:AX537)</f>
        <v>-0.58196766457032068</v>
      </c>
      <c r="BJ532" s="12">
        <f>bdrate(E534:E537,I534:I537,AU534:AU537,AY534:AY537)</f>
        <v>0.37255876378286912</v>
      </c>
      <c r="BK532" s="14">
        <f>bdrate(E534:E537,K534:K537,AU534:AU537,BA534:BA537)</f>
        <v>-0.54977996638131987</v>
      </c>
    </row>
    <row r="533" spans="1:63">
      <c r="A533" s="49"/>
      <c r="B533" s="7" t="s">
        <v>18</v>
      </c>
      <c r="C533" s="17">
        <v>1</v>
      </c>
      <c r="D533" s="7">
        <v>32</v>
      </c>
      <c r="E533">
        <v>0.99702962239583304</v>
      </c>
      <c r="F533">
        <v>33.809511084280203</v>
      </c>
      <c r="G533">
        <v>0.98425515775790196</v>
      </c>
      <c r="H533">
        <v>18.028616864869399</v>
      </c>
      <c r="I533">
        <v>36.971870189175597</v>
      </c>
      <c r="J533">
        <v>0.98912618082017301</v>
      </c>
      <c r="K533" s="8">
        <v>19.636178931345899</v>
      </c>
      <c r="L533" s="7">
        <v>29</v>
      </c>
      <c r="M533">
        <v>0.9993896484375</v>
      </c>
      <c r="N533">
        <v>35.328093028045501</v>
      </c>
      <c r="O533">
        <v>0.98886566439096402</v>
      </c>
      <c r="P533">
        <v>19.533356924097401</v>
      </c>
      <c r="Q533">
        <v>38.583536759328197</v>
      </c>
      <c r="R533">
        <v>0.99224067120709303</v>
      </c>
      <c r="S533" s="1">
        <v>21.101758449975598</v>
      </c>
      <c r="T533" s="7"/>
      <c r="U533" s="1"/>
      <c r="V533" s="1"/>
      <c r="W533" s="8"/>
      <c r="X533" s="7"/>
      <c r="Y533" s="1"/>
      <c r="Z533" s="1"/>
      <c r="AA533" s="8"/>
      <c r="AB533" s="7">
        <v>32</v>
      </c>
      <c r="AC533">
        <v>1.1196492513020799</v>
      </c>
      <c r="AD533">
        <v>34.823152301706898</v>
      </c>
      <c r="AE533">
        <v>0.99159512614070999</v>
      </c>
      <c r="AF533">
        <v>20.7546880008599</v>
      </c>
      <c r="AG533">
        <v>37.793580513707496</v>
      </c>
      <c r="AH533">
        <v>0.993998291342443</v>
      </c>
      <c r="AI533" s="1">
        <v>22.2172509046503</v>
      </c>
      <c r="AJ533" s="1">
        <v>7.2443082332611004</v>
      </c>
      <c r="AK533" s="1">
        <v>3.6590216159820499</v>
      </c>
      <c r="AL533" s="7"/>
      <c r="AM533" s="1"/>
      <c r="AN533" s="1"/>
      <c r="AO533" s="8"/>
      <c r="AP533" s="1"/>
      <c r="AQ533" s="1"/>
      <c r="AR533" s="1"/>
      <c r="AS533" s="8"/>
      <c r="AT533" s="7">
        <v>1.28</v>
      </c>
      <c r="AU533">
        <v>0.99241129557291596</v>
      </c>
      <c r="AV533">
        <v>30.778367497614799</v>
      </c>
      <c r="AW533">
        <v>0.99492376975104402</v>
      </c>
      <c r="AX533">
        <v>22.944586872899201</v>
      </c>
      <c r="AY533">
        <v>34.301109881410099</v>
      </c>
      <c r="AZ533">
        <v>0.99612501238292395</v>
      </c>
      <c r="BA533" s="1">
        <v>24.117296809884799</v>
      </c>
      <c r="BB533" s="1">
        <v>11.759672880172699</v>
      </c>
      <c r="BC533" s="1">
        <v>4.9633393287658603</v>
      </c>
      <c r="BD533" s="7"/>
      <c r="BE533" s="1"/>
      <c r="BF533" s="1"/>
      <c r="BG533" s="8"/>
      <c r="BH533" s="1"/>
      <c r="BI533" s="1"/>
      <c r="BJ533" s="1"/>
      <c r="BK533" s="8"/>
    </row>
    <row r="534" spans="1:63">
      <c r="A534" s="49"/>
      <c r="B534" s="7" t="s">
        <v>18</v>
      </c>
      <c r="C534" s="17">
        <v>0.5</v>
      </c>
      <c r="D534" s="7">
        <v>38</v>
      </c>
      <c r="E534">
        <v>0.46036783854166602</v>
      </c>
      <c r="F534">
        <v>29.4523720471127</v>
      </c>
      <c r="G534">
        <v>0.958310256183037</v>
      </c>
      <c r="H534">
        <v>13.799707736005301</v>
      </c>
      <c r="I534">
        <v>32.612686784254002</v>
      </c>
      <c r="J534">
        <v>0.96716612529358703</v>
      </c>
      <c r="K534" s="8">
        <v>14.836778634077501</v>
      </c>
      <c r="L534" s="7">
        <v>35</v>
      </c>
      <c r="M534">
        <v>0.49460856119791602</v>
      </c>
      <c r="N534">
        <v>31.027607895596201</v>
      </c>
      <c r="O534">
        <v>0.97140059231128595</v>
      </c>
      <c r="P534">
        <v>15.436429612830899</v>
      </c>
      <c r="Q534">
        <v>34.276357347567597</v>
      </c>
      <c r="R534">
        <v>0.97722464573630496</v>
      </c>
      <c r="S534" s="1">
        <v>16.4253485898411</v>
      </c>
      <c r="T534" s="7"/>
      <c r="U534" s="1"/>
      <c r="V534" s="1"/>
      <c r="W534" s="8"/>
      <c r="X534" s="7"/>
      <c r="Y534" s="1"/>
      <c r="Z534" s="1"/>
      <c r="AA534" s="8"/>
      <c r="AB534" s="7">
        <v>16</v>
      </c>
      <c r="AC534">
        <v>0.78432210286458304</v>
      </c>
      <c r="AD534">
        <v>32.028512028169501</v>
      </c>
      <c r="AE534">
        <v>0.98605916403266303</v>
      </c>
      <c r="AF534">
        <v>18.5571118282943</v>
      </c>
      <c r="AG534">
        <v>35.113834867314097</v>
      </c>
      <c r="AH534">
        <v>0.98948571857131795</v>
      </c>
      <c r="AI534" s="1">
        <v>19.782204026944399</v>
      </c>
      <c r="AJ534" s="1">
        <v>7.2850592136383003</v>
      </c>
      <c r="AK534" s="1">
        <v>3.7924749851226802</v>
      </c>
      <c r="AL534" s="7"/>
      <c r="AM534" s="1"/>
      <c r="AN534" s="1"/>
      <c r="AO534" s="8"/>
      <c r="AP534" s="1"/>
      <c r="AQ534" s="1"/>
      <c r="AR534" s="1"/>
      <c r="AS534" s="8"/>
      <c r="AT534" s="7">
        <v>0.32</v>
      </c>
      <c r="AU534">
        <v>0.51686604817708304</v>
      </c>
      <c r="AV534">
        <v>27.3420828259313</v>
      </c>
      <c r="AW534">
        <v>0.98752735392013502</v>
      </c>
      <c r="AX534">
        <v>19.0404140089389</v>
      </c>
      <c r="AY534">
        <v>31.0806120541871</v>
      </c>
      <c r="AZ534">
        <v>0.98990775331189995</v>
      </c>
      <c r="BA534" s="1">
        <v>19.960121424221001</v>
      </c>
      <c r="BB534" s="1">
        <v>10.287946701049799</v>
      </c>
      <c r="BC534" s="1">
        <v>6.07546067237854</v>
      </c>
      <c r="BD534" s="7"/>
      <c r="BE534" s="1"/>
      <c r="BF534" s="1"/>
      <c r="BG534" s="8"/>
      <c r="BH534" s="1"/>
      <c r="BI534" s="1"/>
      <c r="BJ534" s="1"/>
      <c r="BK534" s="8"/>
    </row>
    <row r="535" spans="1:63">
      <c r="A535" s="49"/>
      <c r="B535" s="7" t="s">
        <v>18</v>
      </c>
      <c r="C535" s="17">
        <v>0.25</v>
      </c>
      <c r="D535" s="7">
        <v>42</v>
      </c>
      <c r="E535">
        <v>0.24855550130208301</v>
      </c>
      <c r="F535">
        <v>26.9208979331714</v>
      </c>
      <c r="G535">
        <v>0.92424291317462104</v>
      </c>
      <c r="H535">
        <v>11.205767341102201</v>
      </c>
      <c r="I535">
        <v>30.125281620182399</v>
      </c>
      <c r="J535">
        <v>0.93553676122699003</v>
      </c>
      <c r="K535" s="8">
        <v>11.906878783782799</v>
      </c>
      <c r="L535" s="7">
        <v>40</v>
      </c>
      <c r="M535">
        <v>0.242919921875</v>
      </c>
      <c r="N535">
        <v>27.768678992847299</v>
      </c>
      <c r="O535">
        <v>0.93708098508329596</v>
      </c>
      <c r="P535">
        <v>12.012180854700601</v>
      </c>
      <c r="Q535">
        <v>31.0835946383128</v>
      </c>
      <c r="R535">
        <v>0.94537876347378402</v>
      </c>
      <c r="S535" s="1">
        <v>12.626384724417299</v>
      </c>
      <c r="T535" s="7"/>
      <c r="U535" s="1"/>
      <c r="V535" s="1"/>
      <c r="W535" s="8"/>
      <c r="X535" s="7"/>
      <c r="Y535" s="1"/>
      <c r="Z535" s="1"/>
      <c r="AA535" s="8"/>
      <c r="AB535" s="7">
        <v>8</v>
      </c>
      <c r="AC535">
        <v>0.51670328776041596</v>
      </c>
      <c r="AD535">
        <v>29.671819723709099</v>
      </c>
      <c r="AE535">
        <v>0.97695674467382299</v>
      </c>
      <c r="AF535">
        <v>16.3745616802969</v>
      </c>
      <c r="AG535">
        <v>32.921189517811001</v>
      </c>
      <c r="AH535">
        <v>0.98135370841560099</v>
      </c>
      <c r="AI535" s="1">
        <v>17.294075287119099</v>
      </c>
      <c r="AJ535" s="1">
        <v>5.5995426177978498</v>
      </c>
      <c r="AK535" s="1">
        <v>3.4908568859100302</v>
      </c>
      <c r="AL535" s="7"/>
      <c r="AM535" s="1"/>
      <c r="AN535" s="1"/>
      <c r="AO535" s="8"/>
      <c r="AP535" s="1"/>
      <c r="AQ535" s="1"/>
      <c r="AR535" s="1"/>
      <c r="AS535" s="8"/>
      <c r="AT535" s="7">
        <v>0.16</v>
      </c>
      <c r="AU535">
        <v>0.37392171223958298</v>
      </c>
      <c r="AV535">
        <v>26.483836373019901</v>
      </c>
      <c r="AW535">
        <v>0.980750013439593</v>
      </c>
      <c r="AX535">
        <v>17.155695693629301</v>
      </c>
      <c r="AY535">
        <v>30.220802632448901</v>
      </c>
      <c r="AZ535">
        <v>0.98407855307733205</v>
      </c>
      <c r="BA535" s="1">
        <v>17.9801746662501</v>
      </c>
      <c r="BB535" s="1">
        <v>7.0875990390777499</v>
      </c>
      <c r="BC535" s="1">
        <v>4.7052185535430899</v>
      </c>
      <c r="BD535" s="7"/>
      <c r="BE535" s="1"/>
      <c r="BF535" s="1"/>
      <c r="BG535" s="8"/>
      <c r="BH535" s="1"/>
      <c r="BI535" s="1"/>
      <c r="BJ535" s="1"/>
      <c r="BK535" s="8"/>
    </row>
    <row r="536" spans="1:63">
      <c r="A536" s="49"/>
      <c r="B536" s="7" t="s">
        <v>18</v>
      </c>
      <c r="C536" s="17">
        <v>0.12</v>
      </c>
      <c r="D536" s="7">
        <v>46</v>
      </c>
      <c r="E536">
        <v>0.1187744140625</v>
      </c>
      <c r="F536">
        <v>24.629989913872699</v>
      </c>
      <c r="G536">
        <v>0.87084988767073401</v>
      </c>
      <c r="H536">
        <v>8.8890521175966004</v>
      </c>
      <c r="I536">
        <v>27.916867978585699</v>
      </c>
      <c r="J536">
        <v>0.88359034005825099</v>
      </c>
      <c r="K536" s="8">
        <v>9.3401097943418705</v>
      </c>
      <c r="L536" s="7">
        <v>45</v>
      </c>
      <c r="M536">
        <v>0.103515625</v>
      </c>
      <c r="N536">
        <v>24.906236073348602</v>
      </c>
      <c r="O536">
        <v>0.87692359033269396</v>
      </c>
      <c r="P536">
        <v>9.0982518129377095</v>
      </c>
      <c r="Q536">
        <v>28.331942924658598</v>
      </c>
      <c r="R536">
        <v>0.88606692866859604</v>
      </c>
      <c r="S536" s="1">
        <v>9.4335019504287203</v>
      </c>
      <c r="T536" s="7"/>
      <c r="U536" s="1"/>
      <c r="V536" s="1"/>
      <c r="W536" s="8"/>
      <c r="X536" s="7"/>
      <c r="Y536" s="1"/>
      <c r="Z536" s="1"/>
      <c r="AA536" s="8"/>
      <c r="AB536" s="7">
        <v>4</v>
      </c>
      <c r="AC536">
        <v>0.32611083984375</v>
      </c>
      <c r="AD536">
        <v>27.334067460869001</v>
      </c>
      <c r="AE536">
        <v>0.96149147029927096</v>
      </c>
      <c r="AF536">
        <v>14.1444306291583</v>
      </c>
      <c r="AG536">
        <v>30.784952968790801</v>
      </c>
      <c r="AH536">
        <v>0.96706579386576896</v>
      </c>
      <c r="AI536" s="1">
        <v>14.823528005898</v>
      </c>
      <c r="AJ536" s="1">
        <v>7.9650466442108101</v>
      </c>
      <c r="AK536" s="1">
        <v>5.0134022235870299</v>
      </c>
      <c r="AL536" s="7"/>
      <c r="AM536" s="1"/>
      <c r="AN536" s="1"/>
      <c r="AO536" s="8"/>
      <c r="AP536" s="1"/>
      <c r="AQ536" s="1"/>
      <c r="AR536" s="1"/>
      <c r="AS536" s="8"/>
      <c r="AT536" s="7">
        <v>0.08</v>
      </c>
      <c r="AU536">
        <v>0.25998942057291602</v>
      </c>
      <c r="AV536">
        <v>25.686669870847702</v>
      </c>
      <c r="AW536">
        <v>0.96948978052651802</v>
      </c>
      <c r="AX536">
        <v>15.155546682743701</v>
      </c>
      <c r="AY536">
        <v>29.373104119367799</v>
      </c>
      <c r="AZ536">
        <v>0.97409936748652504</v>
      </c>
      <c r="BA536" s="1">
        <v>15.8668962998215</v>
      </c>
      <c r="BB536" s="1">
        <v>5.8282172679901096</v>
      </c>
      <c r="BC536" s="1">
        <v>3.7284066677093501</v>
      </c>
      <c r="BD536" s="7"/>
      <c r="BE536" s="1"/>
      <c r="BF536" s="1"/>
      <c r="BG536" s="8"/>
      <c r="BH536" s="1"/>
      <c r="BI536" s="1"/>
      <c r="BJ536" s="1"/>
      <c r="BK536" s="8"/>
    </row>
    <row r="537" spans="1:63">
      <c r="A537" s="49"/>
      <c r="B537" s="7" t="s">
        <v>18</v>
      </c>
      <c r="C537" s="17">
        <v>0.06</v>
      </c>
      <c r="D537" s="7">
        <v>50</v>
      </c>
      <c r="E537">
        <v>5.0333658854166602E-2</v>
      </c>
      <c r="F537">
        <v>22.702580859262099</v>
      </c>
      <c r="G537">
        <v>0.79743302330698496</v>
      </c>
      <c r="H537">
        <v>6.9343135368929998</v>
      </c>
      <c r="I537">
        <v>26.083527135495999</v>
      </c>
      <c r="J537">
        <v>0.81069884910629597</v>
      </c>
      <c r="K537" s="8">
        <v>7.2284674564917104</v>
      </c>
      <c r="L537" s="7">
        <v>48</v>
      </c>
      <c r="M537">
        <v>5.364990234375E-2</v>
      </c>
      <c r="N537">
        <v>23.2819692907476</v>
      </c>
      <c r="O537">
        <v>0.81835794382761495</v>
      </c>
      <c r="P537">
        <v>7.4078359056722798</v>
      </c>
      <c r="Q537">
        <v>26.782017906405802</v>
      </c>
      <c r="R537">
        <v>0.82809152546902598</v>
      </c>
      <c r="S537" s="1">
        <v>7.6470271347396901</v>
      </c>
      <c r="T537" s="7"/>
      <c r="U537" s="1"/>
      <c r="V537" s="1"/>
      <c r="W537" s="8"/>
      <c r="X537" s="7"/>
      <c r="Y537" s="1"/>
      <c r="Z537" s="1"/>
      <c r="AA537" s="8"/>
      <c r="AB537" s="7">
        <v>2</v>
      </c>
      <c r="AC537">
        <v>0.19228108723958301</v>
      </c>
      <c r="AD537">
        <v>25.706020510563</v>
      </c>
      <c r="AE537">
        <v>0.93815311581857197</v>
      </c>
      <c r="AF537">
        <v>12.0868217504696</v>
      </c>
      <c r="AG537">
        <v>29.2628241469085</v>
      </c>
      <c r="AH537">
        <v>0.94487530170302902</v>
      </c>
      <c r="AI537" s="1">
        <v>12.586537744550601</v>
      </c>
      <c r="AJ537" s="1">
        <v>7.2093846797943097</v>
      </c>
      <c r="AK537" s="1">
        <v>5.2885887622833199</v>
      </c>
      <c r="AL537" s="7"/>
      <c r="AM537" s="1"/>
      <c r="AN537" s="1"/>
      <c r="AO537" s="8"/>
      <c r="AP537" s="1"/>
      <c r="AQ537" s="1"/>
      <c r="AR537" s="1"/>
      <c r="AS537" s="8"/>
      <c r="AT537" s="7">
        <v>0.04</v>
      </c>
      <c r="AU537">
        <v>0.16314697265625</v>
      </c>
      <c r="AV537">
        <v>24.595913833937701</v>
      </c>
      <c r="AW537">
        <v>0.95046985939431095</v>
      </c>
      <c r="AX537">
        <v>13.051304391447699</v>
      </c>
      <c r="AY537">
        <v>28.224047750648101</v>
      </c>
      <c r="AZ537">
        <v>0.95691465101838302</v>
      </c>
      <c r="BA537" s="1">
        <v>13.6567038501673</v>
      </c>
      <c r="BB537" s="1">
        <v>6.3136940002441397</v>
      </c>
      <c r="BC537" s="1">
        <v>4.1175427436828604</v>
      </c>
      <c r="BD537" s="7"/>
      <c r="BE537" s="1"/>
      <c r="BF537" s="1"/>
      <c r="BG537" s="8"/>
      <c r="BH537" s="1"/>
      <c r="BI537" s="1"/>
      <c r="BJ537" s="1"/>
      <c r="BK537" s="8"/>
    </row>
    <row r="538" spans="1:63">
      <c r="A538" s="49"/>
      <c r="B538" s="7" t="s">
        <v>111</v>
      </c>
      <c r="C538" s="17">
        <v>1.5</v>
      </c>
      <c r="D538" s="7">
        <v>19</v>
      </c>
      <c r="E538">
        <v>1.3583984375</v>
      </c>
      <c r="F538">
        <v>44.239097036918999</v>
      </c>
      <c r="G538">
        <v>0.99586389614541504</v>
      </c>
      <c r="H538">
        <v>23.834085649560201</v>
      </c>
      <c r="I538">
        <v>47.555910031592603</v>
      </c>
      <c r="J538">
        <v>0.99783603050290504</v>
      </c>
      <c r="K538" s="8">
        <v>26.6474886525539</v>
      </c>
      <c r="L538" s="7">
        <v>16</v>
      </c>
      <c r="M538">
        <v>1.3387247721354101</v>
      </c>
      <c r="N538">
        <v>44.797213175960003</v>
      </c>
      <c r="O538">
        <v>0.99635728112789901</v>
      </c>
      <c r="P538">
        <v>24.3857434426913</v>
      </c>
      <c r="Q538">
        <v>48.206692763598497</v>
      </c>
      <c r="R538">
        <v>0.99811624275128097</v>
      </c>
      <c r="S538" s="1">
        <v>27.249750635042101</v>
      </c>
      <c r="T538" s="13">
        <f>bdrate(E538:E541,F538:F541,M538:M541,N538:N541)</f>
        <v>-0.20855671777265639</v>
      </c>
      <c r="U538" s="12">
        <f>bdrate(E538:E541,H538:H541,M538:M541,P538:P541)</f>
        <v>-0.20825174700629512</v>
      </c>
      <c r="V538" s="12">
        <f>bdrate(E538:E541,I538:I541,M538:M541,Q538:Q541)</f>
        <v>-0.21136876301346519</v>
      </c>
      <c r="W538" s="14">
        <f>bdrate(E538:E541,K538:K541,M538:M541,S538:S541)</f>
        <v>-0.17613473316645178</v>
      </c>
      <c r="X538" s="13">
        <f>bdrate(E540:E543,F540:F543,M540:M543,N540:N543)</f>
        <v>-0.26067284142285796</v>
      </c>
      <c r="Y538" s="12">
        <f>bdrate(E540:E543,H540:H543,M540:M543,P540:P543)</f>
        <v>-0.23454577367265605</v>
      </c>
      <c r="Z538" s="12">
        <f>bdrate(E540:E543,I540:I543,M540:M543,Q540:Q543)</f>
        <v>-0.2753279071453143</v>
      </c>
      <c r="AA538" s="14">
        <f>bdrate(E540:E543,K540:K543,M540:M543,S540:S543)</f>
        <v>-0.18656175103978923</v>
      </c>
      <c r="AB538" s="7">
        <v>256</v>
      </c>
      <c r="AC538">
        <v>1.2408650716145799</v>
      </c>
      <c r="AD538">
        <v>44.391095288988801</v>
      </c>
      <c r="AE538">
        <v>0.99658576041346203</v>
      </c>
      <c r="AF538">
        <v>24.667060065193599</v>
      </c>
      <c r="AG538">
        <v>47.310501286502699</v>
      </c>
      <c r="AH538">
        <v>0.99786777279572503</v>
      </c>
      <c r="AI538" s="1">
        <v>26.7116651995258</v>
      </c>
      <c r="AJ538" s="1">
        <v>20.1869955062866</v>
      </c>
      <c r="AK538" s="1">
        <v>11.402406692504799</v>
      </c>
      <c r="AL538" s="13">
        <f>bdrate(E538:E541,F538:F541,AC538:AC541,AD538:AD541)</f>
        <v>-0.12906006680616444</v>
      </c>
      <c r="AM538" s="12">
        <f>bdrate(E538:E541,H538:H541,AC538:AC541,AF538:AF541)</f>
        <v>-0.22138548827015236</v>
      </c>
      <c r="AN538" s="12">
        <f>bdrate(E538:E541,I538:I541,AC538:AC541,AG538:AG541)</f>
        <v>-8.9202493472328448E-2</v>
      </c>
      <c r="AO538" s="14">
        <f>bdrate(E538:E541,K538:K541,AC538:AC541,AI538:AI541)</f>
        <v>-0.10274611380642984</v>
      </c>
      <c r="AP538" s="12">
        <f>bdrate(E540:E543,F540:F543,AC540:AC543,AD540:AD543)</f>
        <v>-0.15520929513227677</v>
      </c>
      <c r="AQ538" s="12">
        <f>bdrate(E540:E543,H540:H543,AC540:AC543,AF540:AF543)</f>
        <v>-0.25457784768530833</v>
      </c>
      <c r="AR538" s="12">
        <f>bdrate(E540:E543,I540:I543,AC540:AC543,AG540:AG543)</f>
        <v>-0.14266482331601205</v>
      </c>
      <c r="AS538" s="14">
        <f>bdrate(E540:E543,K540:K543,AC540:AC543,AI540:AI543)</f>
        <v>-0.15399853741721714</v>
      </c>
      <c r="AT538" s="7">
        <v>6.4</v>
      </c>
      <c r="AU538">
        <v>1.3140665690104101</v>
      </c>
      <c r="AV538">
        <v>41.418498941806199</v>
      </c>
      <c r="AW538">
        <v>0.998314892967338</v>
      </c>
      <c r="AX538">
        <v>27.733725089065999</v>
      </c>
      <c r="AY538">
        <v>44.396656751481103</v>
      </c>
      <c r="AZ538">
        <v>0.99891530867959599</v>
      </c>
      <c r="BA538" s="1">
        <v>29.646938350121101</v>
      </c>
      <c r="BB538" s="1">
        <v>55.396533250808702</v>
      </c>
      <c r="BC538" s="1">
        <v>16.1822445392608</v>
      </c>
      <c r="BD538" s="13">
        <f>bdrate(E538:E541,F538:F541,AU538:AU541,AV538:AV541)</f>
        <v>0.92730635136914508</v>
      </c>
      <c r="BE538" s="12">
        <f>bdrate(E538:E541,H538:H541,AU538:AU541,AX538:AX541)</f>
        <v>-0.54155861169892483</v>
      </c>
      <c r="BF538" s="12">
        <f>bdrate(E538:E541,I538:I541,AU538:AU541,AY538:AY541)</f>
        <v>0.89941009277591766</v>
      </c>
      <c r="BG538" s="14">
        <f>bdrate(E538:E541,K538:K541,AU538:AU541,BA538:BA541)</f>
        <v>-0.4522541391376369</v>
      </c>
      <c r="BH538" s="12">
        <f>bdrate(E540:E543,F540:F543,AU540:AU543,AV540:AV543)</f>
        <v>0.74790484776871557</v>
      </c>
      <c r="BI538" s="12">
        <f>bdrate(E540:E543,H540:H543,AU540:AU543,AX540:AX543)</f>
        <v>-0.54870514559050731</v>
      </c>
      <c r="BJ538" s="12">
        <f>bdrate(E540:E543,I540:I543,AU540:AU543,AY540:AY543)</f>
        <v>0.65061134626794814</v>
      </c>
      <c r="BK538" s="14">
        <f>bdrate(E540:E543,K540:K543,AU540:AU543,BA540:BA543)</f>
        <v>-0.49952060343121496</v>
      </c>
    </row>
    <row r="539" spans="1:63">
      <c r="A539" s="49"/>
      <c r="B539" s="7" t="s">
        <v>18</v>
      </c>
      <c r="C539" s="17">
        <v>1</v>
      </c>
      <c r="D539" s="7">
        <v>23</v>
      </c>
      <c r="E539">
        <v>0.90633138020833304</v>
      </c>
      <c r="F539">
        <v>42.272638390235599</v>
      </c>
      <c r="G539">
        <v>0.99376382466197799</v>
      </c>
      <c r="H539">
        <v>22.050816825683999</v>
      </c>
      <c r="I539">
        <v>45.463057331445</v>
      </c>
      <c r="J539">
        <v>0.99632700232605698</v>
      </c>
      <c r="K539" s="8">
        <v>24.349793466871699</v>
      </c>
      <c r="L539" s="7">
        <v>19</v>
      </c>
      <c r="M539">
        <v>0.97757975260416596</v>
      </c>
      <c r="N539">
        <v>43.556075821958999</v>
      </c>
      <c r="O539">
        <v>0.99525752066898698</v>
      </c>
      <c r="P539">
        <v>23.2399455320611</v>
      </c>
      <c r="Q539">
        <v>46.847610739335202</v>
      </c>
      <c r="R539">
        <v>0.99734188139991997</v>
      </c>
      <c r="S539" s="1">
        <v>25.7542564558624</v>
      </c>
      <c r="T539" s="7"/>
      <c r="U539" s="1"/>
      <c r="V539" s="1"/>
      <c r="W539" s="8"/>
      <c r="X539" s="7"/>
      <c r="Y539" s="1"/>
      <c r="Z539" s="1"/>
      <c r="AA539" s="8"/>
      <c r="AB539" s="7">
        <v>128</v>
      </c>
      <c r="AC539">
        <v>0.87965901692708304</v>
      </c>
      <c r="AD539">
        <v>42.926894733859903</v>
      </c>
      <c r="AE539">
        <v>0.99514625101175502</v>
      </c>
      <c r="AF539">
        <v>23.139226869738302</v>
      </c>
      <c r="AG539">
        <v>45.792843162900901</v>
      </c>
      <c r="AH539">
        <v>0.99665767268382899</v>
      </c>
      <c r="AI539" s="1">
        <v>24.759510216341798</v>
      </c>
      <c r="AJ539" s="1">
        <v>34.944456338882397</v>
      </c>
      <c r="AK539" s="1">
        <v>15.976930618286101</v>
      </c>
      <c r="AL539" s="7"/>
      <c r="AM539" s="1"/>
      <c r="AN539" s="1"/>
      <c r="AO539" s="8"/>
      <c r="AP539" s="1"/>
      <c r="AQ539" s="1"/>
      <c r="AR539" s="1"/>
      <c r="AS539" s="8"/>
      <c r="AT539" s="7">
        <v>3.2</v>
      </c>
      <c r="AU539">
        <v>0.95770263671875</v>
      </c>
      <c r="AV539">
        <v>39.289115675553397</v>
      </c>
      <c r="AW539">
        <v>0.99751160390021398</v>
      </c>
      <c r="AX539">
        <v>26.040804880248899</v>
      </c>
      <c r="AY539">
        <v>42.378991955634298</v>
      </c>
      <c r="AZ539">
        <v>0.99836974757587704</v>
      </c>
      <c r="BA539" s="1">
        <v>27.877451453409201</v>
      </c>
      <c r="BB539" s="1">
        <v>59.218154191970797</v>
      </c>
      <c r="BC539" s="1">
        <v>18.315987825393599</v>
      </c>
      <c r="BD539" s="7"/>
      <c r="BE539" s="1"/>
      <c r="BF539" s="1"/>
      <c r="BG539" s="8"/>
      <c r="BH539" s="1"/>
      <c r="BI539" s="1"/>
      <c r="BJ539" s="1"/>
      <c r="BK539" s="8"/>
    </row>
    <row r="540" spans="1:63">
      <c r="A540" s="49"/>
      <c r="B540" s="7" t="s">
        <v>18</v>
      </c>
      <c r="C540" s="17">
        <v>0.5</v>
      </c>
      <c r="D540" s="7">
        <v>29</v>
      </c>
      <c r="E540">
        <v>0.46728515625</v>
      </c>
      <c r="F540">
        <v>38.800076915892099</v>
      </c>
      <c r="G540">
        <v>0.98723629728722195</v>
      </c>
      <c r="H540">
        <v>18.940233197796601</v>
      </c>
      <c r="I540">
        <v>41.888603468534797</v>
      </c>
      <c r="J540">
        <v>0.99093920164871896</v>
      </c>
      <c r="K540" s="8">
        <v>20.428335347425701</v>
      </c>
      <c r="L540" s="7">
        <v>26</v>
      </c>
      <c r="M540">
        <v>0.46931966145833298</v>
      </c>
      <c r="N540">
        <v>40.066711236151399</v>
      </c>
      <c r="O540">
        <v>0.99016995005854203</v>
      </c>
      <c r="P540">
        <v>20.074442757340499</v>
      </c>
      <c r="Q540">
        <v>43.191624593030298</v>
      </c>
      <c r="R540">
        <v>0.99305130922404605</v>
      </c>
      <c r="S540" s="1">
        <v>21.580970144516598</v>
      </c>
      <c r="T540" s="7"/>
      <c r="U540" s="1"/>
      <c r="V540" s="1"/>
      <c r="W540" s="8"/>
      <c r="X540" s="7"/>
      <c r="Y540" s="1"/>
      <c r="Z540" s="1"/>
      <c r="AA540" s="8"/>
      <c r="AB540" s="7">
        <v>32</v>
      </c>
      <c r="AC540">
        <v>0.44895426432291602</v>
      </c>
      <c r="AD540">
        <v>39.183911902330699</v>
      </c>
      <c r="AE540">
        <v>0.98954627540005102</v>
      </c>
      <c r="AF540">
        <v>19.807289454376299</v>
      </c>
      <c r="AG540">
        <v>42.0958991504708</v>
      </c>
      <c r="AH540">
        <v>0.99163707508432597</v>
      </c>
      <c r="AI540" s="1">
        <v>20.776418023967398</v>
      </c>
      <c r="AJ540" s="1">
        <v>7.1657764911651602</v>
      </c>
      <c r="AK540" s="1">
        <v>3.6995594501495299</v>
      </c>
      <c r="AL540" s="7"/>
      <c r="AM540" s="1"/>
      <c r="AN540" s="1"/>
      <c r="AO540" s="8"/>
      <c r="AP540" s="1"/>
      <c r="AQ540" s="1"/>
      <c r="AR540" s="1"/>
      <c r="AS540" s="8"/>
      <c r="AT540" s="7">
        <v>0.64</v>
      </c>
      <c r="AU540">
        <v>0.42112223307291602</v>
      </c>
      <c r="AV540">
        <v>34.730443040799898</v>
      </c>
      <c r="AW540">
        <v>0.99379003584928305</v>
      </c>
      <c r="AX540">
        <v>22.069109069395299</v>
      </c>
      <c r="AY540">
        <v>38.188645425740603</v>
      </c>
      <c r="AZ540">
        <v>0.99542708448432704</v>
      </c>
      <c r="BA540" s="1">
        <v>23.398068221085001</v>
      </c>
      <c r="BB540" s="1">
        <v>9.8857207298278809</v>
      </c>
      <c r="BC540" s="1">
        <v>5.5300657749175999</v>
      </c>
      <c r="BD540" s="7"/>
      <c r="BE540" s="1"/>
      <c r="BF540" s="1"/>
      <c r="BG540" s="8"/>
      <c r="BH540" s="1"/>
      <c r="BI540" s="1"/>
      <c r="BJ540" s="1"/>
      <c r="BK540" s="8"/>
    </row>
    <row r="541" spans="1:63">
      <c r="A541" s="49"/>
      <c r="B541" s="7" t="s">
        <v>18</v>
      </c>
      <c r="C541" s="17">
        <v>0.25</v>
      </c>
      <c r="D541" s="7">
        <v>34</v>
      </c>
      <c r="E541">
        <v>0.24947102864583301</v>
      </c>
      <c r="F541">
        <v>35.767761533922602</v>
      </c>
      <c r="G541">
        <v>0.97693406816596895</v>
      </c>
      <c r="H541">
        <v>16.3702899576184</v>
      </c>
      <c r="I541">
        <v>38.8368165318469</v>
      </c>
      <c r="J541">
        <v>0.98216958438828394</v>
      </c>
      <c r="K541" s="8">
        <v>17.488385336742802</v>
      </c>
      <c r="L541" s="7">
        <v>32</v>
      </c>
      <c r="M541">
        <v>0.22784423828125</v>
      </c>
      <c r="N541">
        <v>36.703837400814102</v>
      </c>
      <c r="O541">
        <v>0.980289886580334</v>
      </c>
      <c r="P541">
        <v>17.053108766138401</v>
      </c>
      <c r="Q541">
        <v>39.829949749743299</v>
      </c>
      <c r="R541">
        <v>0.98416269360235398</v>
      </c>
      <c r="S541" s="1">
        <v>18.003186810870599</v>
      </c>
      <c r="T541" s="7"/>
      <c r="U541" s="1"/>
      <c r="V541" s="1"/>
      <c r="W541" s="8"/>
      <c r="X541" s="7"/>
      <c r="Y541" s="1"/>
      <c r="Z541" s="1"/>
      <c r="AA541" s="8"/>
      <c r="AB541" s="7">
        <v>8</v>
      </c>
      <c r="AC541">
        <v>0.20151774088541599</v>
      </c>
      <c r="AD541">
        <v>35.5825553401367</v>
      </c>
      <c r="AE541">
        <v>0.97820035804898298</v>
      </c>
      <c r="AF541">
        <v>16.615506394217501</v>
      </c>
      <c r="AG541">
        <v>38.608023949262801</v>
      </c>
      <c r="AH541">
        <v>0.98111467231902705</v>
      </c>
      <c r="AI541" s="1">
        <v>17.238754752895201</v>
      </c>
      <c r="AJ541" s="1">
        <v>6.13927769660949</v>
      </c>
      <c r="AK541" s="1">
        <v>3.9529950618743799</v>
      </c>
      <c r="AL541" s="7"/>
      <c r="AM541" s="1"/>
      <c r="AN541" s="1"/>
      <c r="AO541" s="8"/>
      <c r="AP541" s="1"/>
      <c r="AQ541" s="1"/>
      <c r="AR541" s="1"/>
      <c r="AS541" s="8"/>
      <c r="AT541" s="7">
        <v>0.32</v>
      </c>
      <c r="AU541">
        <v>0.29502360026041602</v>
      </c>
      <c r="AV541">
        <v>33.7633487318353</v>
      </c>
      <c r="AW541">
        <v>0.991132730578557</v>
      </c>
      <c r="AX541">
        <v>20.522100958131301</v>
      </c>
      <c r="AY541">
        <v>37.170988437003203</v>
      </c>
      <c r="AZ541">
        <v>0.99305780606937399</v>
      </c>
      <c r="BA541" s="1">
        <v>21.585032584513598</v>
      </c>
      <c r="BB541" s="1">
        <v>9.5432004928588796</v>
      </c>
      <c r="BC541" s="1">
        <v>5.9610524177551198</v>
      </c>
      <c r="BD541" s="7"/>
      <c r="BE541" s="1"/>
      <c r="BF541" s="1"/>
      <c r="BG541" s="8"/>
      <c r="BH541" s="1"/>
      <c r="BI541" s="1"/>
      <c r="BJ541" s="1"/>
      <c r="BK541" s="8"/>
    </row>
    <row r="542" spans="1:63">
      <c r="A542" s="49"/>
      <c r="B542" s="7" t="s">
        <v>18</v>
      </c>
      <c r="C542" s="17">
        <v>0.12</v>
      </c>
      <c r="D542" s="7">
        <v>39</v>
      </c>
      <c r="E542">
        <v>0.1171875</v>
      </c>
      <c r="F542">
        <v>32.730153609469802</v>
      </c>
      <c r="G542">
        <v>0.95822631728631003</v>
      </c>
      <c r="H542">
        <v>13.7909723620885</v>
      </c>
      <c r="I542">
        <v>35.790874770353803</v>
      </c>
      <c r="J542">
        <v>0.96538481706394497</v>
      </c>
      <c r="K542" s="8">
        <v>14.607333688652201</v>
      </c>
      <c r="L542" s="7">
        <v>37</v>
      </c>
      <c r="M542">
        <v>0.11173502604166601</v>
      </c>
      <c r="N542">
        <v>33.705995630944301</v>
      </c>
      <c r="O542">
        <v>0.96456637004587598</v>
      </c>
      <c r="P542">
        <v>14.505843546300399</v>
      </c>
      <c r="Q542">
        <v>36.8746818001935</v>
      </c>
      <c r="R542">
        <v>0.96960361905924197</v>
      </c>
      <c r="S542" s="1">
        <v>15.1717812135907</v>
      </c>
      <c r="T542" s="7"/>
      <c r="U542" s="1"/>
      <c r="V542" s="1"/>
      <c r="W542" s="8"/>
      <c r="X542" s="7"/>
      <c r="Y542" s="1"/>
      <c r="Z542" s="1"/>
      <c r="AA542" s="8"/>
      <c r="AB542" s="7">
        <v>4</v>
      </c>
      <c r="AC542">
        <v>0.12892659505208301</v>
      </c>
      <c r="AD542">
        <v>33.7694779645024</v>
      </c>
      <c r="AE542">
        <v>0.96963262852894105</v>
      </c>
      <c r="AF542">
        <v>15.1759279797368</v>
      </c>
      <c r="AG542">
        <v>36.793747650618499</v>
      </c>
      <c r="AH542">
        <v>0.97325407542770204</v>
      </c>
      <c r="AI542" s="1">
        <v>15.727423845064299</v>
      </c>
      <c r="AJ542" s="1">
        <v>6.9104585647582999</v>
      </c>
      <c r="AK542" s="1">
        <v>5.0003104209899902</v>
      </c>
      <c r="AL542" s="7"/>
      <c r="AM542" s="1"/>
      <c r="AN542" s="1"/>
      <c r="AO542" s="8"/>
      <c r="AP542" s="1"/>
      <c r="AQ542" s="1"/>
      <c r="AR542" s="1"/>
      <c r="AS542" s="8"/>
      <c r="AT542" s="7">
        <v>0.08</v>
      </c>
      <c r="AU542">
        <v>0.13572184244791599</v>
      </c>
      <c r="AV542">
        <v>31.627720520077801</v>
      </c>
      <c r="AW542">
        <v>0.98056482748985996</v>
      </c>
      <c r="AX542">
        <v>17.114116001384801</v>
      </c>
      <c r="AY542">
        <v>34.782724596846798</v>
      </c>
      <c r="AZ542">
        <v>0.98365594026073999</v>
      </c>
      <c r="BA542" s="1">
        <v>17.8664005898063</v>
      </c>
      <c r="BB542" s="1">
        <v>5.4861192703246999</v>
      </c>
      <c r="BC542" s="1">
        <v>3.3685886859893799</v>
      </c>
      <c r="BD542" s="7"/>
      <c r="BE542" s="1"/>
      <c r="BF542" s="1"/>
      <c r="BG542" s="8"/>
      <c r="BH542" s="1"/>
      <c r="BI542" s="1"/>
      <c r="BJ542" s="1"/>
      <c r="BK542" s="8"/>
    </row>
    <row r="543" spans="1:63">
      <c r="A543" s="49"/>
      <c r="B543" s="7" t="s">
        <v>18</v>
      </c>
      <c r="C543" s="17">
        <v>0.06</v>
      </c>
      <c r="D543" s="7">
        <v>43</v>
      </c>
      <c r="E543">
        <v>5.8064778645833301E-2</v>
      </c>
      <c r="F543">
        <v>30.5060278241831</v>
      </c>
      <c r="G543">
        <v>0.933291589322777</v>
      </c>
      <c r="H543">
        <v>11.7581940625694</v>
      </c>
      <c r="I543">
        <v>33.557222678109298</v>
      </c>
      <c r="J543">
        <v>0.94260279959498505</v>
      </c>
      <c r="K543" s="8">
        <v>12.4110929015089</v>
      </c>
      <c r="L543" s="7">
        <v>42</v>
      </c>
      <c r="M543">
        <v>5.1350911458333301E-2</v>
      </c>
      <c r="N543">
        <v>31.077601519681501</v>
      </c>
      <c r="O543">
        <v>0.93882018424382296</v>
      </c>
      <c r="P543">
        <v>12.133918352329299</v>
      </c>
      <c r="Q543">
        <v>34.224014647018898</v>
      </c>
      <c r="R543">
        <v>0.94487687684148103</v>
      </c>
      <c r="S543" s="1">
        <v>12.586661842048301</v>
      </c>
      <c r="T543" s="7"/>
      <c r="U543" s="1"/>
      <c r="V543" s="1"/>
      <c r="W543" s="8"/>
      <c r="X543" s="7"/>
      <c r="Y543" s="1"/>
      <c r="Z543" s="1"/>
      <c r="AA543" s="8"/>
      <c r="AB543" s="7">
        <v>2</v>
      </c>
      <c r="AC543">
        <v>7.928466796875E-2</v>
      </c>
      <c r="AD543">
        <v>32.107771095786497</v>
      </c>
      <c r="AE543">
        <v>0.95750950833120196</v>
      </c>
      <c r="AF543">
        <v>13.7170824354427</v>
      </c>
      <c r="AG543">
        <v>35.137384361943397</v>
      </c>
      <c r="AH543">
        <v>0.96168760900090999</v>
      </c>
      <c r="AI543" s="1">
        <v>14.166607437280099</v>
      </c>
      <c r="AJ543" s="1">
        <v>7.0855598449706996</v>
      </c>
      <c r="AK543" s="1">
        <v>5.91990041732788</v>
      </c>
      <c r="AL543" s="7"/>
      <c r="AM543" s="1"/>
      <c r="AN543" s="1"/>
      <c r="AO543" s="8"/>
      <c r="AP543" s="1"/>
      <c r="AQ543" s="1"/>
      <c r="AR543" s="1"/>
      <c r="AS543" s="8"/>
      <c r="AT543" s="7">
        <v>0.04</v>
      </c>
      <c r="AU543">
        <v>8.709716796875E-2</v>
      </c>
      <c r="AV543">
        <v>30.558987077602598</v>
      </c>
      <c r="AW543">
        <v>0.97021907717934996</v>
      </c>
      <c r="AX543">
        <v>15.2606184890397</v>
      </c>
      <c r="AY543">
        <v>33.540506942299302</v>
      </c>
      <c r="AZ543">
        <v>0.97426775600267701</v>
      </c>
      <c r="BA543" s="1">
        <v>15.8952233920123</v>
      </c>
      <c r="BB543" s="1">
        <v>6.3565654754638601</v>
      </c>
      <c r="BC543" s="1">
        <v>4.5918610095977703</v>
      </c>
      <c r="BD543" s="7"/>
      <c r="BE543" s="1"/>
      <c r="BF543" s="1"/>
      <c r="BG543" s="8"/>
      <c r="BH543" s="1"/>
      <c r="BI543" s="1"/>
      <c r="BJ543" s="1"/>
      <c r="BK543" s="8"/>
    </row>
    <row r="544" spans="1:63">
      <c r="A544" s="49"/>
      <c r="B544" s="7" t="s">
        <v>112</v>
      </c>
      <c r="C544" s="17">
        <v>1.5</v>
      </c>
      <c r="D544" s="7">
        <v>23</v>
      </c>
      <c r="E544">
        <v>1.4510904947916601</v>
      </c>
      <c r="F544">
        <v>40.820600288036403</v>
      </c>
      <c r="G544">
        <v>0.99326991387036001</v>
      </c>
      <c r="H544">
        <v>21.719793777689201</v>
      </c>
      <c r="I544">
        <v>43.9818528054534</v>
      </c>
      <c r="J544">
        <v>0.99590035566324198</v>
      </c>
      <c r="K544" s="8">
        <v>23.872538187152902</v>
      </c>
      <c r="L544" s="7">
        <v>21</v>
      </c>
      <c r="M544">
        <v>1.3622843424479101</v>
      </c>
      <c r="N544">
        <v>41.214730038521701</v>
      </c>
      <c r="O544">
        <v>0.99386510746865098</v>
      </c>
      <c r="P544">
        <v>22.121930406714899</v>
      </c>
      <c r="Q544">
        <v>44.372333487246799</v>
      </c>
      <c r="R544">
        <v>0.99615618744214895</v>
      </c>
      <c r="S544" s="1">
        <v>24.152377987027901</v>
      </c>
      <c r="T544" s="13">
        <f>bdrate(E544:E547,F544:F547,M544:M547,N544:N547)</f>
        <v>-0.18260494005218497</v>
      </c>
      <c r="U544" s="12">
        <f>bdrate(E544:E547,H544:H547,M544:M547,P544:P547)</f>
        <v>-0.17163595725499392</v>
      </c>
      <c r="V544" s="12">
        <f>bdrate(E544:E547,I544:I547,M544:M547,Q544:Q547)</f>
        <v>-0.18246220800907964</v>
      </c>
      <c r="W544" s="14">
        <f>bdrate(E544:E547,K544:K547,M544:M547,S544:S547)</f>
        <v>-0.12285347090526799</v>
      </c>
      <c r="X544" s="13">
        <f>bdrate(E546:E549,F546:F549,M546:M549,N546:N549)</f>
        <v>-0.25328816825857992</v>
      </c>
      <c r="Y544" s="12">
        <f>bdrate(E546:E549,H546:H549,M546:M549,P546:P549)</f>
        <v>-0.22647368883836505</v>
      </c>
      <c r="Z544" s="12">
        <f>bdrate(E546:E549,I546:I549,M546:M549,Q546:Q549)</f>
        <v>-0.26696212252502638</v>
      </c>
      <c r="AA544" s="14">
        <f>bdrate(E546:E549,K546:K549,M546:M549,S546:S549)</f>
        <v>-0.15641085299426749</v>
      </c>
      <c r="AB544" s="7">
        <v>128</v>
      </c>
      <c r="AC544">
        <v>1.3331502278645799</v>
      </c>
      <c r="AD544">
        <v>41.180491634327602</v>
      </c>
      <c r="AE544">
        <v>0.99443795682292702</v>
      </c>
      <c r="AF544">
        <v>22.547656441141299</v>
      </c>
      <c r="AG544">
        <v>44.188387649600799</v>
      </c>
      <c r="AH544">
        <v>0.99624647037935099</v>
      </c>
      <c r="AI544" s="1">
        <v>24.2556015258745</v>
      </c>
      <c r="AJ544" s="1">
        <v>40.504085063934298</v>
      </c>
      <c r="AK544" s="1">
        <v>16.080780267715401</v>
      </c>
      <c r="AL544" s="13">
        <f>bdrate(E544:E547,F544:F547,AC544:AC547,AD544:AD547)</f>
        <v>-0.11277181512315626</v>
      </c>
      <c r="AM544" s="12">
        <f>bdrate(E544:E547,H544:H547,AC544:AC547,AF544:AF547)</f>
        <v>-0.21120902186386281</v>
      </c>
      <c r="AN544" s="12">
        <f>bdrate(E544:E547,I544:I547,AC544:AC547,AG544:AG547)</f>
        <v>-0.1020053636325805</v>
      </c>
      <c r="AO544" s="14">
        <f>bdrate(E544:E547,K544:K547,AC544:AC547,AI544:AI547)</f>
        <v>-0.1568720210470933</v>
      </c>
      <c r="AP544" s="12">
        <f>bdrate(E546:E549,F546:F549,AC546:AC549,AD546:AD549)</f>
        <v>-0.15476956520626017</v>
      </c>
      <c r="AQ544" s="12">
        <f>bdrate(E546:E549,H546:H549,AC546:AC549,AF546:AF549)</f>
        <v>-0.26997002681322335</v>
      </c>
      <c r="AR544" s="12">
        <f>bdrate(E546:E549,I546:I549,AC546:AC549,AG546:AG549)</f>
        <v>-0.15620102912496814</v>
      </c>
      <c r="AS544" s="14">
        <f>bdrate(E546:E549,K546:K549,AC546:AC549,AI546:AI549)</f>
        <v>-0.23603494331045416</v>
      </c>
      <c r="AT544" s="7">
        <v>3.2</v>
      </c>
      <c r="AU544">
        <v>1.3150838216145799</v>
      </c>
      <c r="AV544">
        <v>37.870022607777798</v>
      </c>
      <c r="AW544">
        <v>0.99681255613845499</v>
      </c>
      <c r="AX544">
        <v>24.965574554477101</v>
      </c>
      <c r="AY544">
        <v>41.092704628134101</v>
      </c>
      <c r="AZ544">
        <v>0.99783404760449501</v>
      </c>
      <c r="BA544" s="1">
        <v>26.643510927693601</v>
      </c>
      <c r="BB544" s="1">
        <v>59.056718826293903</v>
      </c>
      <c r="BC544" s="1">
        <v>17.432915210723799</v>
      </c>
      <c r="BD544" s="13">
        <f>bdrate(E544:E547,F544:F547,AU544:AU547,AV544:AV547)</f>
        <v>0.71195960184619245</v>
      </c>
      <c r="BE544" s="12">
        <f>bdrate(E544:E547,H544:H547,AU544:AU547,AX544:AX547)</f>
        <v>-0.50150078973082401</v>
      </c>
      <c r="BF544" s="12">
        <f>bdrate(E544:E547,I544:I547,AU544:AU547,AY544:AY547)</f>
        <v>0.62992101827275504</v>
      </c>
      <c r="BG544" s="14">
        <f>bdrate(E544:E547,K544:K547,AU544:AU547,BA544:BA547)</f>
        <v>-0.44400485228791409</v>
      </c>
      <c r="BH544" s="12">
        <f>bdrate(E546:E549,F546:F549,AU546:AU549,AV546:AV549)</f>
        <v>0.53481998761750349</v>
      </c>
      <c r="BI544" s="12">
        <f>bdrate(E546:E549,H546:H549,AU546:AU549,AX546:AX549)</f>
        <v>-0.49326587897668284</v>
      </c>
      <c r="BJ544" s="12">
        <f>bdrate(E546:E549,I546:I549,AU546:AU549,AY546:AY549)</f>
        <v>0.5150331111055555</v>
      </c>
      <c r="BK544" s="14">
        <f>bdrate(E546:E549,K546:K549,AU546:AU549,BA546:BA549)</f>
        <v>-0.47101627535439539</v>
      </c>
    </row>
    <row r="545" spans="1:63">
      <c r="A545" s="49"/>
      <c r="B545" s="7" t="s">
        <v>18</v>
      </c>
      <c r="C545" s="17">
        <v>1</v>
      </c>
      <c r="D545" s="7">
        <v>27</v>
      </c>
      <c r="E545">
        <v>0.91158040364583304</v>
      </c>
      <c r="F545">
        <v>38.236483989453703</v>
      </c>
      <c r="G545">
        <v>0.98799084059434605</v>
      </c>
      <c r="H545">
        <v>19.204873904540701</v>
      </c>
      <c r="I545">
        <v>41.365666495383302</v>
      </c>
      <c r="J545">
        <v>0.99185942424324602</v>
      </c>
      <c r="K545" s="8">
        <v>20.8934487777192</v>
      </c>
      <c r="L545" s="7">
        <v>24</v>
      </c>
      <c r="M545">
        <v>0.95389811197916596</v>
      </c>
      <c r="N545">
        <v>39.358093042863899</v>
      </c>
      <c r="O545">
        <v>0.99045929982666703</v>
      </c>
      <c r="P545">
        <v>20.2041975210342</v>
      </c>
      <c r="Q545">
        <v>42.463303235623101</v>
      </c>
      <c r="R545">
        <v>0.99338446014772297</v>
      </c>
      <c r="S545" s="1">
        <v>21.794347100103401</v>
      </c>
      <c r="T545" s="7"/>
      <c r="U545" s="1"/>
      <c r="V545" s="1"/>
      <c r="W545" s="8"/>
      <c r="X545" s="7"/>
      <c r="Y545" s="1"/>
      <c r="Z545" s="1"/>
      <c r="AA545" s="8"/>
      <c r="AB545" s="7">
        <v>64</v>
      </c>
      <c r="AC545">
        <v>0.93951416015625</v>
      </c>
      <c r="AD545">
        <v>38.9523670728436</v>
      </c>
      <c r="AE545">
        <v>0.990926032497502</v>
      </c>
      <c r="AF545">
        <v>20.4220278044926</v>
      </c>
      <c r="AG545">
        <v>41.983271056035903</v>
      </c>
      <c r="AH545">
        <v>0.99346613096596403</v>
      </c>
      <c r="AI545" s="1">
        <v>21.848295748446201</v>
      </c>
      <c r="AJ545" s="1">
        <v>7.2839083671569798</v>
      </c>
      <c r="AK545" s="1">
        <v>3.99607133865356</v>
      </c>
      <c r="AL545" s="7"/>
      <c r="AM545" s="1"/>
      <c r="AN545" s="1"/>
      <c r="AO545" s="8"/>
      <c r="AP545" s="1"/>
      <c r="AQ545" s="1"/>
      <c r="AR545" s="1"/>
      <c r="AS545" s="8"/>
      <c r="AT545" s="7">
        <v>1.28</v>
      </c>
      <c r="AU545">
        <v>0.86020914713541596</v>
      </c>
      <c r="AV545">
        <v>35.235716671328397</v>
      </c>
      <c r="AW545">
        <v>0.99432976601434098</v>
      </c>
      <c r="AX545">
        <v>22.463990193110199</v>
      </c>
      <c r="AY545">
        <v>38.635705926937</v>
      </c>
      <c r="AZ545">
        <v>0.99587584352872105</v>
      </c>
      <c r="BA545" s="1">
        <v>23.846648658609901</v>
      </c>
      <c r="BB545" s="1">
        <v>12.112131357192901</v>
      </c>
      <c r="BC545" s="1">
        <v>5.3164403438568097</v>
      </c>
      <c r="BD545" s="7"/>
      <c r="BE545" s="1"/>
      <c r="BF545" s="1"/>
      <c r="BG545" s="8"/>
      <c r="BH545" s="1"/>
      <c r="BI545" s="1"/>
      <c r="BJ545" s="1"/>
      <c r="BK545" s="8"/>
    </row>
    <row r="546" spans="1:63">
      <c r="A546" s="49"/>
      <c r="B546" s="7" t="s">
        <v>18</v>
      </c>
      <c r="C546" s="17">
        <v>0.5</v>
      </c>
      <c r="D546" s="7">
        <v>32</v>
      </c>
      <c r="E546">
        <v>0.45723470052083298</v>
      </c>
      <c r="F546">
        <v>34.977514244011999</v>
      </c>
      <c r="G546">
        <v>0.97472105909676299</v>
      </c>
      <c r="H546">
        <v>15.972411253862999</v>
      </c>
      <c r="I546">
        <v>38.165970947140003</v>
      </c>
      <c r="J546">
        <v>0.98093243998020496</v>
      </c>
      <c r="K546" s="8">
        <v>17.197048778893102</v>
      </c>
      <c r="L546" s="7">
        <v>29</v>
      </c>
      <c r="M546">
        <v>0.49930826822916602</v>
      </c>
      <c r="N546">
        <v>36.306124490573303</v>
      </c>
      <c r="O546">
        <v>0.98122754509751997</v>
      </c>
      <c r="P546">
        <v>17.264789303149101</v>
      </c>
      <c r="Q546">
        <v>39.4687059557371</v>
      </c>
      <c r="R546">
        <v>0.98532896756101296</v>
      </c>
      <c r="S546" s="1">
        <v>18.335393226408499</v>
      </c>
      <c r="T546" s="7"/>
      <c r="U546" s="1"/>
      <c r="V546" s="1"/>
      <c r="W546" s="8"/>
      <c r="X546" s="7"/>
      <c r="Y546" s="1"/>
      <c r="Z546" s="1"/>
      <c r="AA546" s="8"/>
      <c r="AB546" s="7">
        <v>16</v>
      </c>
      <c r="AC546">
        <v>0.41554768880208298</v>
      </c>
      <c r="AD546">
        <v>35.111650981974499</v>
      </c>
      <c r="AE546">
        <v>0.97863787990740803</v>
      </c>
      <c r="AF546">
        <v>16.7035564776603</v>
      </c>
      <c r="AG546">
        <v>38.273579859712299</v>
      </c>
      <c r="AH546">
        <v>0.98321208255785097</v>
      </c>
      <c r="AI546" s="1">
        <v>17.7500317518294</v>
      </c>
      <c r="AJ546" s="1">
        <v>6.5361347198486301</v>
      </c>
      <c r="AK546" s="1">
        <v>3.46043348312377</v>
      </c>
      <c r="AL546" s="7"/>
      <c r="AM546" s="1"/>
      <c r="AN546" s="1"/>
      <c r="AO546" s="8"/>
      <c r="AP546" s="1"/>
      <c r="AQ546" s="1"/>
      <c r="AR546" s="1"/>
      <c r="AS546" s="8"/>
      <c r="AT546" s="7">
        <v>0.32</v>
      </c>
      <c r="AU546">
        <v>0.42576090494791602</v>
      </c>
      <c r="AV546">
        <v>32.732106516949798</v>
      </c>
      <c r="AW546">
        <v>0.98722407767988096</v>
      </c>
      <c r="AX546">
        <v>18.936077374492701</v>
      </c>
      <c r="AY546">
        <v>36.164956231601202</v>
      </c>
      <c r="AZ546">
        <v>0.99009409014443595</v>
      </c>
      <c r="BA546" s="1">
        <v>20.0410562844413</v>
      </c>
      <c r="BB546" s="1">
        <v>10.1062629222869</v>
      </c>
      <c r="BC546" s="1">
        <v>6.1147146224975497</v>
      </c>
      <c r="BD546" s="7"/>
      <c r="BE546" s="1"/>
      <c r="BF546" s="1"/>
      <c r="BG546" s="8"/>
      <c r="BH546" s="1"/>
      <c r="BI546" s="1"/>
      <c r="BJ546" s="1"/>
      <c r="BK546" s="8"/>
    </row>
    <row r="547" spans="1:63">
      <c r="A547" s="49"/>
      <c r="B547" s="7" t="s">
        <v>18</v>
      </c>
      <c r="C547" s="17">
        <v>0.25</v>
      </c>
      <c r="D547" s="7">
        <v>36</v>
      </c>
      <c r="E547">
        <v>0.244140625</v>
      </c>
      <c r="F547">
        <v>32.585755537460201</v>
      </c>
      <c r="G547">
        <v>0.95549887720956195</v>
      </c>
      <c r="H547">
        <v>13.5162903136649</v>
      </c>
      <c r="I547">
        <v>35.8313358823941</v>
      </c>
      <c r="J547">
        <v>0.96433141260824895</v>
      </c>
      <c r="K547" s="8">
        <v>14.477140899920601</v>
      </c>
      <c r="L547" s="7">
        <v>34</v>
      </c>
      <c r="M547">
        <v>0.2315673828125</v>
      </c>
      <c r="N547">
        <v>33.363082583437802</v>
      </c>
      <c r="O547">
        <v>0.96227501202368104</v>
      </c>
      <c r="P547">
        <v>14.233708899703799</v>
      </c>
      <c r="Q547">
        <v>36.649756420408202</v>
      </c>
      <c r="R547">
        <v>0.96826245348003404</v>
      </c>
      <c r="S547" s="1">
        <v>14.9842664954163</v>
      </c>
      <c r="T547" s="7"/>
      <c r="U547" s="1"/>
      <c r="V547" s="1"/>
      <c r="W547" s="8"/>
      <c r="X547" s="7"/>
      <c r="Y547" s="1"/>
      <c r="Z547" s="1"/>
      <c r="AA547" s="8"/>
      <c r="AB547" s="7">
        <v>8</v>
      </c>
      <c r="AC547">
        <v>0.26141357421875</v>
      </c>
      <c r="AD547">
        <v>33.4102689394024</v>
      </c>
      <c r="AE547">
        <v>0.96771533403763599</v>
      </c>
      <c r="AF547">
        <v>14.910037027211301</v>
      </c>
      <c r="AG547">
        <v>36.637840700769502</v>
      </c>
      <c r="AH547">
        <v>0.97393099014548501</v>
      </c>
      <c r="AI547" s="1">
        <v>15.838754637640299</v>
      </c>
      <c r="AJ547" s="1">
        <v>5.9544651508331299</v>
      </c>
      <c r="AK547" s="1">
        <v>3.53966164588928</v>
      </c>
      <c r="AL547" s="7"/>
      <c r="AM547" s="1"/>
      <c r="AN547" s="1"/>
      <c r="AO547" s="8"/>
      <c r="AP547" s="1"/>
      <c r="AQ547" s="1"/>
      <c r="AR547" s="1"/>
      <c r="AS547" s="8"/>
      <c r="AT547" s="7">
        <v>0.16</v>
      </c>
      <c r="AU547">
        <v>0.29624430338541602</v>
      </c>
      <c r="AV547">
        <v>31.743658889358102</v>
      </c>
      <c r="AW547">
        <v>0.98068321935121905</v>
      </c>
      <c r="AX547">
        <v>17.140652517803399</v>
      </c>
      <c r="AY547">
        <v>35.077485164808699</v>
      </c>
      <c r="AZ547">
        <v>0.984657783922116</v>
      </c>
      <c r="BA547" s="1">
        <v>18.141119049969099</v>
      </c>
      <c r="BB547" s="1">
        <v>7.4551398754119802</v>
      </c>
      <c r="BC547" s="1">
        <v>4.7833561897277797</v>
      </c>
      <c r="BD547" s="7"/>
      <c r="BE547" s="1"/>
      <c r="BF547" s="1"/>
      <c r="BG547" s="8"/>
      <c r="BH547" s="1"/>
      <c r="BI547" s="1"/>
      <c r="BJ547" s="1"/>
      <c r="BK547" s="8"/>
    </row>
    <row r="548" spans="1:63">
      <c r="A548" s="49"/>
      <c r="B548" s="7" t="s">
        <v>18</v>
      </c>
      <c r="C548" s="17">
        <v>0.12</v>
      </c>
      <c r="D548" s="7">
        <v>41</v>
      </c>
      <c r="E548">
        <v>0.10614013671875</v>
      </c>
      <c r="F548">
        <v>30.0280512975961</v>
      </c>
      <c r="G548">
        <v>0.91615383787443005</v>
      </c>
      <c r="H548">
        <v>10.7651681148166</v>
      </c>
      <c r="I548">
        <v>33.318936582902801</v>
      </c>
      <c r="J548">
        <v>0.93095595681193999</v>
      </c>
      <c r="K548" s="8">
        <v>11.6087378445899</v>
      </c>
      <c r="L548" s="7">
        <v>39</v>
      </c>
      <c r="M548">
        <v>0.104146321614583</v>
      </c>
      <c r="N548">
        <v>30.864553385475901</v>
      </c>
      <c r="O548">
        <v>0.92970594718240696</v>
      </c>
      <c r="P548">
        <v>11.530814166268099</v>
      </c>
      <c r="Q548">
        <v>34.210324180595101</v>
      </c>
      <c r="R548">
        <v>0.93772337072946299</v>
      </c>
      <c r="S548" s="1">
        <v>12.0567490170478</v>
      </c>
      <c r="T548" s="7"/>
      <c r="U548" s="1"/>
      <c r="V548" s="1"/>
      <c r="W548" s="8"/>
      <c r="X548" s="7"/>
      <c r="Y548" s="1"/>
      <c r="Z548" s="1"/>
      <c r="AA548" s="8"/>
      <c r="AB548" s="7">
        <v>4</v>
      </c>
      <c r="AC548">
        <v>0.15712483723958301</v>
      </c>
      <c r="AD548">
        <v>31.743727407542799</v>
      </c>
      <c r="AE548">
        <v>0.95128935933828596</v>
      </c>
      <c r="AF548">
        <v>13.1237615837696</v>
      </c>
      <c r="AG548">
        <v>35.025853241151303</v>
      </c>
      <c r="AH548">
        <v>0.95911264121512996</v>
      </c>
      <c r="AI548" s="1">
        <v>13.884109428133399</v>
      </c>
      <c r="AJ548" s="1">
        <v>7.0865268707275302</v>
      </c>
      <c r="AK548" s="1">
        <v>5.1621162891387904</v>
      </c>
      <c r="AL548" s="7"/>
      <c r="AM548" s="1"/>
      <c r="AN548" s="1"/>
      <c r="AO548" s="8"/>
      <c r="AP548" s="1"/>
      <c r="AQ548" s="1"/>
      <c r="AR548" s="1"/>
      <c r="AS548" s="8"/>
      <c r="AT548" s="7">
        <v>0.08</v>
      </c>
      <c r="AU548">
        <v>0.19732666015625</v>
      </c>
      <c r="AV548">
        <v>30.6193644600502</v>
      </c>
      <c r="AW548">
        <v>0.97049122104300201</v>
      </c>
      <c r="AX548">
        <v>15.3004876078839</v>
      </c>
      <c r="AY548">
        <v>33.920126806223003</v>
      </c>
      <c r="AZ548">
        <v>0.97612588335508799</v>
      </c>
      <c r="BA548" s="1">
        <v>16.220726885751098</v>
      </c>
      <c r="BB548" s="1">
        <v>5.7204718589782697</v>
      </c>
      <c r="BC548" s="1">
        <v>3.49797391891479</v>
      </c>
      <c r="BD548" s="7"/>
      <c r="BE548" s="1"/>
      <c r="BF548" s="1"/>
      <c r="BG548" s="8"/>
      <c r="BH548" s="1"/>
      <c r="BI548" s="1"/>
      <c r="BJ548" s="1"/>
      <c r="BK548" s="8"/>
    </row>
    <row r="549" spans="1:63">
      <c r="A549" s="49"/>
      <c r="B549" s="7" t="s">
        <v>18</v>
      </c>
      <c r="C549" s="17">
        <v>0.06</v>
      </c>
      <c r="D549" s="7">
        <v>45</v>
      </c>
      <c r="E549">
        <v>5.3120930989583301E-2</v>
      </c>
      <c r="F549">
        <v>28.230418354668299</v>
      </c>
      <c r="G549">
        <v>0.87198169155206595</v>
      </c>
      <c r="H549">
        <v>8.9272791559188907</v>
      </c>
      <c r="I549">
        <v>31.491194756091101</v>
      </c>
      <c r="J549">
        <v>0.88948961421752504</v>
      </c>
      <c r="K549" s="8">
        <v>9.5659690500091301</v>
      </c>
      <c r="L549" s="7">
        <v>43</v>
      </c>
      <c r="M549">
        <v>5.340576171875E-2</v>
      </c>
      <c r="N549">
        <v>29.102609976080199</v>
      </c>
      <c r="O549">
        <v>0.89083283125412105</v>
      </c>
      <c r="P549">
        <v>9.6190795298975598</v>
      </c>
      <c r="Q549">
        <v>32.421445072443198</v>
      </c>
      <c r="R549">
        <v>0.90166125114456996</v>
      </c>
      <c r="S549" s="1">
        <v>10.072753214540199</v>
      </c>
      <c r="T549" s="7"/>
      <c r="U549" s="1"/>
      <c r="V549" s="1"/>
      <c r="W549" s="8"/>
      <c r="X549" s="7"/>
      <c r="Y549" s="1"/>
      <c r="Z549" s="1"/>
      <c r="AA549" s="8"/>
      <c r="AB549" s="7">
        <v>2</v>
      </c>
      <c r="AC549">
        <v>9.2305501302083301E-2</v>
      </c>
      <c r="AD549">
        <v>30.103695687206599</v>
      </c>
      <c r="AE549">
        <v>0.92544247322537398</v>
      </c>
      <c r="AF549">
        <v>11.2750850684972</v>
      </c>
      <c r="AG549">
        <v>33.403531604351897</v>
      </c>
      <c r="AH549">
        <v>0.937151332253639</v>
      </c>
      <c r="AI549" s="1">
        <v>12.017039239690501</v>
      </c>
      <c r="AJ549" s="1">
        <v>7.1078753471374503</v>
      </c>
      <c r="AK549" s="1">
        <v>5.7645409107208199</v>
      </c>
      <c r="AL549" s="7"/>
      <c r="AM549" s="1"/>
      <c r="AN549" s="1"/>
      <c r="AO549" s="8"/>
      <c r="AP549" s="1"/>
      <c r="AQ549" s="1"/>
      <c r="AR549" s="1"/>
      <c r="AS549" s="8"/>
      <c r="AT549" s="7">
        <v>0.04</v>
      </c>
      <c r="AU549">
        <v>0.120137532552083</v>
      </c>
      <c r="AV549">
        <v>29.393009331630399</v>
      </c>
      <c r="AW549">
        <v>0.95450671640351303</v>
      </c>
      <c r="AX549">
        <v>13.420527157009399</v>
      </c>
      <c r="AY549">
        <v>32.639142022694301</v>
      </c>
      <c r="AZ549">
        <v>0.96238123416252097</v>
      </c>
      <c r="BA549" s="1">
        <v>14.245954564933699</v>
      </c>
      <c r="BB549" s="1">
        <v>6.4880943298339799</v>
      </c>
      <c r="BC549" s="1">
        <v>4.3293039798736501</v>
      </c>
      <c r="BD549" s="7"/>
      <c r="BE549" s="1"/>
      <c r="BF549" s="1"/>
      <c r="BG549" s="8"/>
      <c r="BH549" s="1"/>
      <c r="BI549" s="1"/>
      <c r="BJ549" s="1"/>
      <c r="BK549" s="8"/>
    </row>
    <row r="550" spans="1:63">
      <c r="A550" s="49"/>
      <c r="B550" s="7" t="s">
        <v>113</v>
      </c>
      <c r="C550" s="17">
        <v>1.5</v>
      </c>
      <c r="D550" s="7">
        <v>30</v>
      </c>
      <c r="E550">
        <v>1.431396484375</v>
      </c>
      <c r="F550">
        <v>34.946038594286598</v>
      </c>
      <c r="G550">
        <v>0.99240099438838103</v>
      </c>
      <c r="H550">
        <v>21.192432347773401</v>
      </c>
      <c r="I550">
        <v>38.027276808432198</v>
      </c>
      <c r="J550">
        <v>0.99519920681624896</v>
      </c>
      <c r="K550" s="8">
        <v>23.186870028603298</v>
      </c>
      <c r="L550" s="7">
        <v>27</v>
      </c>
      <c r="M550">
        <v>1.4066569010416601</v>
      </c>
      <c r="N550">
        <v>36.418041722011303</v>
      </c>
      <c r="O550">
        <v>0.994316898104455</v>
      </c>
      <c r="P550">
        <v>22.454145571743599</v>
      </c>
      <c r="Q550">
        <v>39.5878443445432</v>
      </c>
      <c r="R550">
        <v>0.99643349977393303</v>
      </c>
      <c r="S550" s="1">
        <v>24.477577441150299</v>
      </c>
      <c r="T550" s="13">
        <f>bdrate(E550:E553,F550:F553,M550:M553,N550:N553)</f>
        <v>-0.21981037599201592</v>
      </c>
      <c r="U550" s="12">
        <f>bdrate(E550:E553,H550:H553,M550:M553,P550:P553)</f>
        <v>-0.16637497725427364</v>
      </c>
      <c r="V550" s="12">
        <f>bdrate(E550:E553,I550:I553,M550:M553,Q550:Q553)</f>
        <v>-0.23255373570374982</v>
      </c>
      <c r="W550" s="14">
        <f>bdrate(E550:E553,K550:K553,M550:M553,S550:S553)</f>
        <v>-0.14041000007983451</v>
      </c>
      <c r="X550" s="13">
        <f>bdrate(E552:E555,F552:F555,M552:M555,N552:N555)</f>
        <v>-0.23768644373533865</v>
      </c>
      <c r="Y550" s="12">
        <f>bdrate(E552:E555,H552:H555,M552:M555,P552:P555)</f>
        <v>-0.15434680476648632</v>
      </c>
      <c r="Z550" s="12">
        <f>bdrate(E552:E555,I552:I555,M552:M555,Q552:Q555)</f>
        <v>-0.264028161342305</v>
      </c>
      <c r="AA550" s="14">
        <f>bdrate(E552:E555,K552:K555,M552:M555,S552:S555)</f>
        <v>-0.12186871292771728</v>
      </c>
      <c r="AB550" s="7">
        <v>64</v>
      </c>
      <c r="AC550">
        <v>1.84759521484375</v>
      </c>
      <c r="AD550">
        <v>37.567615416272901</v>
      </c>
      <c r="AE550">
        <v>0.99658892725069803</v>
      </c>
      <c r="AF550">
        <v>24.671090181231602</v>
      </c>
      <c r="AG550">
        <v>40.4017326161498</v>
      </c>
      <c r="AH550">
        <v>0.99783927135946204</v>
      </c>
      <c r="AI550" s="1">
        <v>26.653997714403399</v>
      </c>
      <c r="AJ550" s="1">
        <v>7.5435929298400799</v>
      </c>
      <c r="AK550" s="1">
        <v>4.15976691246032</v>
      </c>
      <c r="AL550" s="13">
        <f>bdrate(E550:E553,F550:F553,AC550:AC553,AD550:AD553)</f>
        <v>-5.8528764763248753E-2</v>
      </c>
      <c r="AM550" s="12">
        <f>bdrate(E550:E553,H550:H553,AC550:AC553,AF550:AF553)</f>
        <v>-0.16700233733999981</v>
      </c>
      <c r="AN550" s="12">
        <f>bdrate(E550:E553,I550:I553,AC550:AC553,AG550:AG553)</f>
        <v>-3.8199979214960877E-2</v>
      </c>
      <c r="AO550" s="14">
        <f>bdrate(E550:E553,K550:K553,AC550:AC553,AI550:AI553)</f>
        <v>-0.13524773987797412</v>
      </c>
      <c r="AP550" s="12">
        <f>bdrate(E552:E555,F552:F555,AC552:AC555,AD552:AD555)</f>
        <v>-9.8365005255574123E-2</v>
      </c>
      <c r="AQ550" s="12">
        <f>bdrate(E552:E555,H552:H555,AC552:AC555,AF552:AF555)</f>
        <v>-0.20994098909794778</v>
      </c>
      <c r="AR550" s="12">
        <f>bdrate(E552:E555,I552:I555,AC552:AC555,AG552:AG555)</f>
        <v>-8.8746430347680927E-2</v>
      </c>
      <c r="AS550" s="14">
        <f>bdrate(E552:E555,K552:K555,AC552:AC555,AI552:AI555)</f>
        <v>-0.18168575181836355</v>
      </c>
      <c r="AT550" s="7">
        <v>3.2</v>
      </c>
      <c r="AU550">
        <v>1.5256144205729101</v>
      </c>
      <c r="AV550">
        <v>33.361827080199603</v>
      </c>
      <c r="AW550">
        <v>0.99756880567498896</v>
      </c>
      <c r="AX550">
        <v>26.141803266741402</v>
      </c>
      <c r="AY550">
        <v>36.693595042103503</v>
      </c>
      <c r="AZ550">
        <v>0.99820819075464895</v>
      </c>
      <c r="BA550" s="1">
        <v>27.467082268732199</v>
      </c>
      <c r="BB550" s="1">
        <v>58.553933143615701</v>
      </c>
      <c r="BC550" s="1">
        <v>16.722930192947299</v>
      </c>
      <c r="BD550" s="13">
        <f>bdrate(E550:E553,F550:F553,AU550:AU553,AV550:AV553)</f>
        <v>0.36692718300039329</v>
      </c>
      <c r="BE550" s="12">
        <f>bdrate(E550:E553,H550:H553,AU550:AU553,AX550:AX553)</f>
        <v>-0.44414283902074481</v>
      </c>
      <c r="BF550" s="12">
        <f>bdrate(E550:E553,I550:I553,AU550:AU553,AY550:AY553)</f>
        <v>0.26939931669185491</v>
      </c>
      <c r="BG550" s="14">
        <f>bdrate(E550:E553,K550:K553,AU550:AU553,BA550:BA553)</f>
        <v>-0.38731280580448102</v>
      </c>
      <c r="BH550" s="12">
        <f>bdrate(E552:E555,F552:F555,AU552:AU555,AV552:AV555)</f>
        <v>0.18218322946651444</v>
      </c>
      <c r="BI550" s="12">
        <f>bdrate(E552:E555,H552:H555,AU552:AU555,AX552:AX555)</f>
        <v>-0.43662447927704051</v>
      </c>
      <c r="BJ550" s="12">
        <f>bdrate(E552:E555,I552:I555,AU552:AU555,AY552:AY555)</f>
        <v>0.10554224619526775</v>
      </c>
      <c r="BK550" s="14">
        <f>bdrate(E552:E555,K552:K555,AU552:AU555,BA552:BA555)</f>
        <v>-0.40703232160786162</v>
      </c>
    </row>
    <row r="551" spans="1:63">
      <c r="A551" s="49"/>
      <c r="B551" s="7" t="s">
        <v>18</v>
      </c>
      <c r="C551" s="17">
        <v>1</v>
      </c>
      <c r="D551" s="7">
        <v>34</v>
      </c>
      <c r="E551">
        <v>0.93613688151041596</v>
      </c>
      <c r="F551">
        <v>31.829404206295401</v>
      </c>
      <c r="G551">
        <v>0.98435320048207897</v>
      </c>
      <c r="H551">
        <v>18.055744820057601</v>
      </c>
      <c r="I551">
        <v>34.8920290403601</v>
      </c>
      <c r="J551">
        <v>0.98895205783435702</v>
      </c>
      <c r="K551" s="8">
        <v>19.567186078913998</v>
      </c>
      <c r="L551" s="7">
        <v>31</v>
      </c>
      <c r="M551">
        <v>0.94700113932291596</v>
      </c>
      <c r="N551">
        <v>33.515221511181601</v>
      </c>
      <c r="O551">
        <v>0.98869206387934805</v>
      </c>
      <c r="P551">
        <v>19.4661665353652</v>
      </c>
      <c r="Q551">
        <v>36.657517763573402</v>
      </c>
      <c r="R551">
        <v>0.99203767673876597</v>
      </c>
      <c r="S551" s="1">
        <v>20.989601945338698</v>
      </c>
      <c r="T551" s="7"/>
      <c r="U551" s="1"/>
      <c r="V551" s="1"/>
      <c r="W551" s="8"/>
      <c r="X551" s="7"/>
      <c r="Y551" s="1"/>
      <c r="Z551" s="1"/>
      <c r="AA551" s="8"/>
      <c r="AB551" s="7">
        <v>32</v>
      </c>
      <c r="AC551">
        <v>1.4151407877604101</v>
      </c>
      <c r="AD551">
        <v>35.455830111376997</v>
      </c>
      <c r="AE551">
        <v>0.99440806366124201</v>
      </c>
      <c r="AF551">
        <v>22.524377814476001</v>
      </c>
      <c r="AG551">
        <v>38.3120312846902</v>
      </c>
      <c r="AH551">
        <v>0.99619412128069895</v>
      </c>
      <c r="AI551" s="1">
        <v>24.195450553495299</v>
      </c>
      <c r="AJ551" s="1">
        <v>7.5985643863677899</v>
      </c>
      <c r="AK551" s="1">
        <v>3.90092897415161</v>
      </c>
      <c r="AL551" s="7"/>
      <c r="AM551" s="1"/>
      <c r="AN551" s="1"/>
      <c r="AO551" s="8"/>
      <c r="AP551" s="1"/>
      <c r="AQ551" s="1"/>
      <c r="AR551" s="1"/>
      <c r="AS551" s="8"/>
      <c r="AT551" s="7">
        <v>1.28</v>
      </c>
      <c r="AU551">
        <v>1.0852254231770799</v>
      </c>
      <c r="AV551">
        <v>30.563932605301702</v>
      </c>
      <c r="AW551">
        <v>0.99535658972746599</v>
      </c>
      <c r="AX551">
        <v>23.3316294217367</v>
      </c>
      <c r="AY551">
        <v>34.124077131039002</v>
      </c>
      <c r="AZ551">
        <v>0.99642747827645906</v>
      </c>
      <c r="BA551" s="1">
        <v>24.470251217014098</v>
      </c>
      <c r="BB551" s="1">
        <v>11.958258628845201</v>
      </c>
      <c r="BC551" s="1">
        <v>5.1233975887298504</v>
      </c>
      <c r="BD551" s="7"/>
      <c r="BE551" s="1"/>
      <c r="BF551" s="1"/>
      <c r="BG551" s="8"/>
      <c r="BH551" s="1"/>
      <c r="BI551" s="1"/>
      <c r="BJ551" s="1"/>
      <c r="BK551" s="8"/>
    </row>
    <row r="552" spans="1:63">
      <c r="A552" s="49"/>
      <c r="B552" s="7" t="s">
        <v>18</v>
      </c>
      <c r="C552" s="17">
        <v>0.5</v>
      </c>
      <c r="D552" s="7">
        <v>40</v>
      </c>
      <c r="E552">
        <v>0.43690999348958298</v>
      </c>
      <c r="F552">
        <v>27.4706484028797</v>
      </c>
      <c r="G552">
        <v>0.95660901325146896</v>
      </c>
      <c r="H552">
        <v>13.6260047352672</v>
      </c>
      <c r="I552">
        <v>30.582244654375899</v>
      </c>
      <c r="J552">
        <v>0.96542893201271296</v>
      </c>
      <c r="K552" s="8">
        <v>14.6128720380093</v>
      </c>
      <c r="L552" s="7">
        <v>37</v>
      </c>
      <c r="M552">
        <v>0.47690836588541602</v>
      </c>
      <c r="N552">
        <v>29.2710140619266</v>
      </c>
      <c r="O552">
        <v>0.96870089015288297</v>
      </c>
      <c r="P552">
        <v>15.044680136989999</v>
      </c>
      <c r="Q552">
        <v>32.457706946633003</v>
      </c>
      <c r="R552">
        <v>0.97461751174961297</v>
      </c>
      <c r="S552" s="1">
        <v>15.954658061797</v>
      </c>
      <c r="T552" s="7"/>
      <c r="U552" s="1"/>
      <c r="V552" s="1"/>
      <c r="W552" s="8"/>
      <c r="X552" s="7"/>
      <c r="Y552" s="1"/>
      <c r="Z552" s="1"/>
      <c r="AA552" s="8"/>
      <c r="AB552" s="7">
        <v>16</v>
      </c>
      <c r="AC552">
        <v>0.99322509765625</v>
      </c>
      <c r="AD552">
        <v>32.557257492014998</v>
      </c>
      <c r="AE552">
        <v>0.98931650567398599</v>
      </c>
      <c r="AF552">
        <v>19.712866763057502</v>
      </c>
      <c r="AG552">
        <v>35.465028584005097</v>
      </c>
      <c r="AH552">
        <v>0.99241115165395699</v>
      </c>
      <c r="AI552" s="1">
        <v>21.1982412593688</v>
      </c>
      <c r="AJ552" s="1">
        <v>6.9178540706634504</v>
      </c>
      <c r="AK552" s="1">
        <v>3.7064349651336599</v>
      </c>
      <c r="AL552" s="7"/>
      <c r="AM552" s="1"/>
      <c r="AN552" s="1"/>
      <c r="AO552" s="8"/>
      <c r="AP552" s="1"/>
      <c r="AQ552" s="1"/>
      <c r="AR552" s="1"/>
      <c r="AS552" s="8"/>
      <c r="AT552" s="7">
        <v>0.32</v>
      </c>
      <c r="AU552">
        <v>0.60748291015625</v>
      </c>
      <c r="AV552">
        <v>27.6799159243559</v>
      </c>
      <c r="AW552">
        <v>0.98784345372017601</v>
      </c>
      <c r="AX552">
        <v>19.151897922230301</v>
      </c>
      <c r="AY552">
        <v>31.186995477404999</v>
      </c>
      <c r="AZ552">
        <v>0.99023734400303398</v>
      </c>
      <c r="BA552" s="1">
        <v>20.1043201349054</v>
      </c>
      <c r="BB552" s="1">
        <v>10.343919754028301</v>
      </c>
      <c r="BC552" s="1">
        <v>6.7227585315704301</v>
      </c>
      <c r="BD552" s="7"/>
      <c r="BE552" s="1"/>
      <c r="BF552" s="1"/>
      <c r="BG552" s="8"/>
      <c r="BH552" s="1"/>
      <c r="BI552" s="1"/>
      <c r="BJ552" s="1"/>
      <c r="BK552" s="8"/>
    </row>
    <row r="553" spans="1:63">
      <c r="A553" s="49"/>
      <c r="B553" s="7" t="s">
        <v>18</v>
      </c>
      <c r="C553" s="17">
        <v>0.25</v>
      </c>
      <c r="D553" s="7">
        <v>44</v>
      </c>
      <c r="E553">
        <v>0.240478515625</v>
      </c>
      <c r="F553">
        <v>24.846819663241298</v>
      </c>
      <c r="G553">
        <v>0.91726022685352404</v>
      </c>
      <c r="H553">
        <v>10.8228567417496</v>
      </c>
      <c r="I553">
        <v>27.972873609615601</v>
      </c>
      <c r="J553">
        <v>0.93012350245369402</v>
      </c>
      <c r="K553" s="8">
        <v>11.5566887149725</v>
      </c>
      <c r="L553" s="7">
        <v>42</v>
      </c>
      <c r="M553">
        <v>0.23905436197916599</v>
      </c>
      <c r="N553">
        <v>25.9504846440833</v>
      </c>
      <c r="O553">
        <v>0.92982165255263005</v>
      </c>
      <c r="P553">
        <v>11.537968627227499</v>
      </c>
      <c r="Q553">
        <v>29.2001623866174</v>
      </c>
      <c r="R553">
        <v>0.93913795193521099</v>
      </c>
      <c r="S553" s="1">
        <v>12.1565343731681</v>
      </c>
      <c r="T553" s="7"/>
      <c r="U553" s="1"/>
      <c r="V553" s="1"/>
      <c r="W553" s="8"/>
      <c r="X553" s="7"/>
      <c r="Y553" s="1"/>
      <c r="Z553" s="1"/>
      <c r="AA553" s="8"/>
      <c r="AB553" s="7">
        <v>8</v>
      </c>
      <c r="AC553">
        <v>0.69517008463541596</v>
      </c>
      <c r="AD553">
        <v>30.460856354037102</v>
      </c>
      <c r="AE553">
        <v>0.981920103103881</v>
      </c>
      <c r="AF553">
        <v>17.428040504964098</v>
      </c>
      <c r="AG553">
        <v>33.450679432837099</v>
      </c>
      <c r="AH553">
        <v>0.98591203824444595</v>
      </c>
      <c r="AI553" s="1">
        <v>18.511518360139899</v>
      </c>
      <c r="AJ553" s="1">
        <v>5.92036604881286</v>
      </c>
      <c r="AK553" s="1">
        <v>3.3151674270629798</v>
      </c>
      <c r="AL553" s="7"/>
      <c r="AM553" s="1"/>
      <c r="AN553" s="1"/>
      <c r="AO553" s="8"/>
      <c r="AP553" s="1"/>
      <c r="AQ553" s="1"/>
      <c r="AR553" s="1"/>
      <c r="AS553" s="8"/>
      <c r="AT553" s="7">
        <v>0.16</v>
      </c>
      <c r="AU553">
        <v>0.44472249348958298</v>
      </c>
      <c r="AV553">
        <v>26.581732386294998</v>
      </c>
      <c r="AW553">
        <v>0.98035068213191401</v>
      </c>
      <c r="AX553">
        <v>17.066525216889801</v>
      </c>
      <c r="AY553">
        <v>29.982528371029598</v>
      </c>
      <c r="AZ553">
        <v>0.98388444471660397</v>
      </c>
      <c r="BA553" s="1">
        <v>17.9275472568624</v>
      </c>
      <c r="BB553" s="1">
        <v>7.1060819625854403</v>
      </c>
      <c r="BC553" s="1">
        <v>4.7493295669555602</v>
      </c>
      <c r="BD553" s="7"/>
      <c r="BE553" s="1"/>
      <c r="BF553" s="1"/>
      <c r="BG553" s="8"/>
      <c r="BH553" s="1"/>
      <c r="BI553" s="1"/>
      <c r="BJ553" s="1"/>
      <c r="BK553" s="8"/>
    </row>
    <row r="554" spans="1:63">
      <c r="A554" s="49"/>
      <c r="B554" s="7" t="s">
        <v>18</v>
      </c>
      <c r="C554" s="17">
        <v>0.12</v>
      </c>
      <c r="D554" s="7">
        <v>49</v>
      </c>
      <c r="E554">
        <v>0.102254231770833</v>
      </c>
      <c r="F554">
        <v>22.105690203343599</v>
      </c>
      <c r="G554">
        <v>0.83763302611939106</v>
      </c>
      <c r="H554">
        <v>7.8950230342015502</v>
      </c>
      <c r="I554">
        <v>25.2752879196516</v>
      </c>
      <c r="J554">
        <v>0.85507748748336099</v>
      </c>
      <c r="K554" s="8">
        <v>8.3886414522366497</v>
      </c>
      <c r="L554" s="7">
        <v>47</v>
      </c>
      <c r="M554">
        <v>0.10565185546875</v>
      </c>
      <c r="N554">
        <v>22.9873867583138</v>
      </c>
      <c r="O554">
        <v>0.85817047590196804</v>
      </c>
      <c r="P554">
        <v>8.4823335435607792</v>
      </c>
      <c r="Q554">
        <v>26.270925349141802</v>
      </c>
      <c r="R554">
        <v>0.87083835937668597</v>
      </c>
      <c r="S554" s="1">
        <v>8.8886644717046401</v>
      </c>
      <c r="T554" s="7"/>
      <c r="U554" s="1"/>
      <c r="V554" s="1"/>
      <c r="W554" s="8"/>
      <c r="X554" s="7"/>
      <c r="Y554" s="1"/>
      <c r="Z554" s="1"/>
      <c r="AA554" s="8"/>
      <c r="AB554" s="7">
        <v>4</v>
      </c>
      <c r="AC554">
        <v>0.45143636067708298</v>
      </c>
      <c r="AD554">
        <v>27.964422610640501</v>
      </c>
      <c r="AE554">
        <v>0.96743726840926503</v>
      </c>
      <c r="AF554">
        <v>14.8727917058188</v>
      </c>
      <c r="AG554">
        <v>31.0084931047606</v>
      </c>
      <c r="AH554">
        <v>0.97361620369480895</v>
      </c>
      <c r="AI554" s="1">
        <v>15.786627146359301</v>
      </c>
      <c r="AJ554" s="1">
        <v>7.4509873390197701</v>
      </c>
      <c r="AK554" s="1">
        <v>5.3841059207916198</v>
      </c>
      <c r="AL554" s="7"/>
      <c r="AM554" s="1"/>
      <c r="AN554" s="1"/>
      <c r="AO554" s="8"/>
      <c r="AP554" s="1"/>
      <c r="AQ554" s="1"/>
      <c r="AR554" s="1"/>
      <c r="AS554" s="8"/>
      <c r="AT554" s="7">
        <v>0.08</v>
      </c>
      <c r="AU554">
        <v>0.31150309244791602</v>
      </c>
      <c r="AV554">
        <v>25.261863242758601</v>
      </c>
      <c r="AW554">
        <v>0.96692012177916897</v>
      </c>
      <c r="AX554">
        <v>14.804360979138799</v>
      </c>
      <c r="AY554">
        <v>28.624616378993199</v>
      </c>
      <c r="AZ554">
        <v>0.97217591138749104</v>
      </c>
      <c r="BA554" s="1">
        <v>15.555790522238199</v>
      </c>
      <c r="BB554" s="1">
        <v>5.4492323398589999</v>
      </c>
      <c r="BC554" s="1">
        <v>3.4646761417388898</v>
      </c>
      <c r="BD554" s="7"/>
      <c r="BE554" s="1"/>
      <c r="BF554" s="1"/>
      <c r="BG554" s="8"/>
      <c r="BH554" s="1"/>
      <c r="BI554" s="1"/>
      <c r="BJ554" s="1"/>
      <c r="BK554" s="8"/>
    </row>
    <row r="555" spans="1:63">
      <c r="A555" s="49"/>
      <c r="B555" s="7" t="s">
        <v>18</v>
      </c>
      <c r="C555" s="17">
        <v>0.06</v>
      </c>
      <c r="D555" s="7">
        <v>51</v>
      </c>
      <c r="E555">
        <v>7.2184244791666602E-2</v>
      </c>
      <c r="F555">
        <v>21.184791246496602</v>
      </c>
      <c r="G555">
        <v>0.79847089706391305</v>
      </c>
      <c r="H555">
        <v>6.95662228272821</v>
      </c>
      <c r="I555">
        <v>24.350033378578399</v>
      </c>
      <c r="J555">
        <v>0.81733899871448401</v>
      </c>
      <c r="K555" s="8">
        <v>7.3835416602686799</v>
      </c>
      <c r="L555" s="7">
        <v>51</v>
      </c>
      <c r="M555">
        <v>5.4341634114583301E-2</v>
      </c>
      <c r="N555">
        <v>21.059843512456698</v>
      </c>
      <c r="O555">
        <v>0.780255921073432</v>
      </c>
      <c r="P555">
        <v>6.5808281829816302</v>
      </c>
      <c r="Q555">
        <v>24.3110896021328</v>
      </c>
      <c r="R555">
        <v>0.79561204258551999</v>
      </c>
      <c r="S555" s="1">
        <v>6.8954469651439698</v>
      </c>
      <c r="T555" s="7"/>
      <c r="U555" s="1"/>
      <c r="V555" s="1"/>
      <c r="W555" s="8"/>
      <c r="X555" s="7"/>
      <c r="Y555" s="1"/>
      <c r="Z555" s="1"/>
      <c r="AA555" s="8"/>
      <c r="AB555" s="7">
        <v>2</v>
      </c>
      <c r="AC555">
        <v>0.26808675130208298</v>
      </c>
      <c r="AD555">
        <v>25.813603306549499</v>
      </c>
      <c r="AE555">
        <v>0.94242080520388805</v>
      </c>
      <c r="AF555">
        <v>12.397344127134099</v>
      </c>
      <c r="AG555">
        <v>28.896029832243499</v>
      </c>
      <c r="AH555">
        <v>0.95079548048042795</v>
      </c>
      <c r="AI555" s="1">
        <v>13.0799500470693</v>
      </c>
      <c r="AJ555" s="1">
        <v>7.4018235206604004</v>
      </c>
      <c r="AK555" s="1">
        <v>5.4165694713592503</v>
      </c>
      <c r="AL555" s="7"/>
      <c r="AM555" s="1"/>
      <c r="AN555" s="1"/>
      <c r="AO555" s="8"/>
      <c r="AP555" s="1"/>
      <c r="AQ555" s="1"/>
      <c r="AR555" s="1"/>
      <c r="AS555" s="8"/>
      <c r="AT555" s="7">
        <v>0.04</v>
      </c>
      <c r="AU555">
        <v>0.19976806640625</v>
      </c>
      <c r="AV555">
        <v>23.850663497889499</v>
      </c>
      <c r="AW555">
        <v>0.94481411166089002</v>
      </c>
      <c r="AX555">
        <v>12.5817196212527</v>
      </c>
      <c r="AY555">
        <v>27.1409222505367</v>
      </c>
      <c r="AZ555">
        <v>0.95238553374522295</v>
      </c>
      <c r="BA555" s="1">
        <v>13.2226107962965</v>
      </c>
      <c r="BB555" s="1">
        <v>6.1622650623321498</v>
      </c>
      <c r="BC555" s="1">
        <v>4.2532806396484304</v>
      </c>
      <c r="BD555" s="7"/>
      <c r="BE555" s="1"/>
      <c r="BF555" s="1"/>
      <c r="BG555" s="8"/>
      <c r="BH555" s="1"/>
      <c r="BI555" s="1"/>
      <c r="BJ555" s="1"/>
      <c r="BK555" s="8"/>
    </row>
    <row r="556" spans="1:63">
      <c r="A556" s="49"/>
      <c r="B556" s="7" t="s">
        <v>114</v>
      </c>
      <c r="C556" s="17">
        <v>1.5</v>
      </c>
      <c r="D556" s="7">
        <v>27</v>
      </c>
      <c r="E556">
        <v>1.40484619140625</v>
      </c>
      <c r="F556">
        <v>37.977277760310599</v>
      </c>
      <c r="G556">
        <v>0.99098850594523502</v>
      </c>
      <c r="H556">
        <v>20.4520319948174</v>
      </c>
      <c r="I556">
        <v>41.082612637576297</v>
      </c>
      <c r="J556">
        <v>0.99467290595226299</v>
      </c>
      <c r="K556" s="8">
        <v>22.735096358503501</v>
      </c>
      <c r="L556" s="7">
        <v>24</v>
      </c>
      <c r="M556">
        <v>1.4095458984375</v>
      </c>
      <c r="N556">
        <v>39.166930762746901</v>
      </c>
      <c r="O556">
        <v>0.99307909940077399</v>
      </c>
      <c r="P556">
        <v>21.598373882274799</v>
      </c>
      <c r="Q556">
        <v>42.320973667180802</v>
      </c>
      <c r="R556">
        <v>0.99579036194991299</v>
      </c>
      <c r="S556" s="1">
        <v>23.757552437385701</v>
      </c>
      <c r="T556" s="13">
        <f>bdrate(E556:E559,F556:F559,M556:M559,N556:N559)</f>
        <v>-0.17024680951884152</v>
      </c>
      <c r="U556" s="12">
        <f>bdrate(E556:E559,H556:H559,M556:M559,P556:P559)</f>
        <v>-0.17442686676785479</v>
      </c>
      <c r="V556" s="12">
        <f>bdrate(E556:E559,I556:I559,M556:M559,Q556:Q559)</f>
        <v>-0.20031515251405607</v>
      </c>
      <c r="W556" s="14">
        <f>bdrate(E556:E559,K556:K559,M556:M559,S556:S559)</f>
        <v>-0.11985631270195096</v>
      </c>
      <c r="X556" s="13">
        <f>bdrate(E558:E561,F558:F561,M558:M561,N558:N561)</f>
        <v>-0.19159907446718216</v>
      </c>
      <c r="Y556" s="12">
        <f>bdrate(E558:E561,H558:H561,M558:M561,P558:P561)</f>
        <v>-0.16888842654021108</v>
      </c>
      <c r="Z556" s="12">
        <f>bdrate(E558:E561,I558:I561,M558:M561,Q558:Q561)</f>
        <v>-0.26273285994923645</v>
      </c>
      <c r="AA556" s="14">
        <f>bdrate(E558:E561,K558:K561,M558:M561,S558:S561)</f>
        <v>-0.11994388167913694</v>
      </c>
      <c r="AB556" s="7">
        <v>64</v>
      </c>
      <c r="AC556">
        <v>1.3736775716145799</v>
      </c>
      <c r="AD556">
        <v>38.050674238914901</v>
      </c>
      <c r="AE556">
        <v>0.99332236784643302</v>
      </c>
      <c r="AF556">
        <v>21.753775083238899</v>
      </c>
      <c r="AG556">
        <v>40.975574593064302</v>
      </c>
      <c r="AH556">
        <v>0.99556471647949396</v>
      </c>
      <c r="AI556" s="1">
        <v>23.530786131591</v>
      </c>
      <c r="AJ556" s="1">
        <v>7.8213865756988499</v>
      </c>
      <c r="AK556" s="1">
        <v>4.2905457019805899</v>
      </c>
      <c r="AL556" s="13">
        <f>bdrate(E556:E559,F556:F559,AC556:AC559,AD556:AD559)</f>
        <v>2.0408750826073074E-3</v>
      </c>
      <c r="AM556" s="12">
        <f>bdrate(E556:E559,H556:H559,AC556:AC559,AF556:AF559)</f>
        <v>-0.21081569986178561</v>
      </c>
      <c r="AN556" s="12">
        <f>bdrate(E556:E559,I556:I559,AC556:AC559,AG556:AG559)</f>
        <v>-6.3858948399211357E-3</v>
      </c>
      <c r="AO556" s="14">
        <f>bdrate(E556:E559,K556:K559,AC556:AC559,AI556:AI559)</f>
        <v>-0.14072401999212569</v>
      </c>
      <c r="AP556" s="12">
        <f>bdrate(E558:E561,F558:F561,AC558:AC561,AD558:AD561)</f>
        <v>-6.0299771533445234E-3</v>
      </c>
      <c r="AQ556" s="12">
        <f>bdrate(E558:E561,H558:H561,AC558:AC561,AF558:AF561)</f>
        <v>-0.27444635120425531</v>
      </c>
      <c r="AR556" s="12">
        <f>bdrate(E558:E561,I558:I561,AC558:AC561,AG558:AG561)</f>
        <v>-7.9554687911229993E-2</v>
      </c>
      <c r="AS556" s="14">
        <f>bdrate(E558:E561,K558:K561,AC558:AC561,AI558:AI561)</f>
        <v>-0.22776620573010986</v>
      </c>
      <c r="AT556" s="7">
        <v>3.2</v>
      </c>
      <c r="AU556">
        <v>1.4250284830729101</v>
      </c>
      <c r="AV556">
        <v>34.595535421710601</v>
      </c>
      <c r="AW556">
        <v>0.99713167879124898</v>
      </c>
      <c r="AX556">
        <v>25.423722158435702</v>
      </c>
      <c r="AY556">
        <v>38.189726890889403</v>
      </c>
      <c r="AZ556">
        <v>0.99794316394863103</v>
      </c>
      <c r="BA556" s="1">
        <v>26.868003241650001</v>
      </c>
      <c r="BB556" s="1">
        <v>50.520618200302103</v>
      </c>
      <c r="BC556" s="1">
        <v>15.4964983463287</v>
      </c>
      <c r="BD556" s="13">
        <f>bdrate(E556:E559,F556:F559,AU556:AU559,AV556:AV559)</f>
        <v>0.93659830195125182</v>
      </c>
      <c r="BE556" s="12">
        <f>bdrate(E556:E559,H556:H559,AU556:AU559,AX556:AX559)</f>
        <v>-0.53499670964804946</v>
      </c>
      <c r="BF556" s="12">
        <f>bdrate(E556:E559,I556:I559,AU556:AU559,AY556:AY559)</f>
        <v>0.66751606248736906</v>
      </c>
      <c r="BG556" s="14">
        <f>bdrate(E556:E559,K556:K559,AU556:AU559,BA556:BA559)</f>
        <v>-0.45987422328488237</v>
      </c>
      <c r="BH556" s="12">
        <f>bdrate(E558:E561,F558:F561,AU558:AU561,AV558:AV561)</f>
        <v>1.0140953868116251</v>
      </c>
      <c r="BI556" s="12">
        <f>bdrate(E558:E561,H558:H561,AU558:AU561,AX558:AX561)</f>
        <v>-0.57053346259108728</v>
      </c>
      <c r="BJ556" s="12">
        <f>bdrate(E558:E561,I558:I561,AU558:AU561,AY558:AY561)</f>
        <v>0.61305329319730517</v>
      </c>
      <c r="BK556" s="14">
        <f>bdrate(E558:E561,K558:K561,AU558:AU561,BA558:BA561)</f>
        <v>-0.5365146861140403</v>
      </c>
    </row>
    <row r="557" spans="1:63">
      <c r="A557" s="49"/>
      <c r="B557" s="7" t="s">
        <v>18</v>
      </c>
      <c r="C557" s="17">
        <v>1</v>
      </c>
      <c r="D557" s="7">
        <v>31</v>
      </c>
      <c r="E557">
        <v>0.91725667317708304</v>
      </c>
      <c r="F557">
        <v>35.0357134448873</v>
      </c>
      <c r="G557">
        <v>0.98338393126050405</v>
      </c>
      <c r="H557">
        <v>17.794717198238299</v>
      </c>
      <c r="I557">
        <v>38.142791621517901</v>
      </c>
      <c r="J557">
        <v>0.98850564816542896</v>
      </c>
      <c r="K557" s="8">
        <v>19.395155135296299</v>
      </c>
      <c r="L557" s="7">
        <v>28</v>
      </c>
      <c r="M557">
        <v>0.9459228515625</v>
      </c>
      <c r="N557">
        <v>36.352344486191299</v>
      </c>
      <c r="O557">
        <v>0.98775950426329995</v>
      </c>
      <c r="P557">
        <v>19.122009930276</v>
      </c>
      <c r="Q557">
        <v>39.538459381048</v>
      </c>
      <c r="R557">
        <v>0.991183701625312</v>
      </c>
      <c r="S557" s="1">
        <v>20.5471372018383</v>
      </c>
      <c r="T557" s="7"/>
      <c r="U557" s="1"/>
      <c r="V557" s="1"/>
      <c r="W557" s="8"/>
      <c r="X557" s="7"/>
      <c r="Y557" s="1"/>
      <c r="Z557" s="1"/>
      <c r="AA557" s="8"/>
      <c r="AB557" s="7">
        <v>32</v>
      </c>
      <c r="AC557">
        <v>1.0180460611979101</v>
      </c>
      <c r="AD557">
        <v>35.925568389948801</v>
      </c>
      <c r="AE557">
        <v>0.98939538838762198</v>
      </c>
      <c r="AF557">
        <v>19.7450523263444</v>
      </c>
      <c r="AG557">
        <v>38.9703918641356</v>
      </c>
      <c r="AH557">
        <v>0.99221133271986595</v>
      </c>
      <c r="AI557" s="1">
        <v>21.085368481553701</v>
      </c>
      <c r="AJ557" s="1">
        <v>7.0680575370788503</v>
      </c>
      <c r="AK557" s="1">
        <v>3.5008614063262899</v>
      </c>
      <c r="AL557" s="7"/>
      <c r="AM557" s="1"/>
      <c r="AN557" s="1"/>
      <c r="AO557" s="8"/>
      <c r="AP557" s="1"/>
      <c r="AQ557" s="1"/>
      <c r="AR557" s="1"/>
      <c r="AS557" s="8"/>
      <c r="AT557" s="7">
        <v>1.28</v>
      </c>
      <c r="AU557">
        <v>0.94753011067708304</v>
      </c>
      <c r="AV557">
        <v>31.352793250310899</v>
      </c>
      <c r="AW557">
        <v>0.99425423730293405</v>
      </c>
      <c r="AX557">
        <v>22.406523145576301</v>
      </c>
      <c r="AY557">
        <v>35.299542479115601</v>
      </c>
      <c r="AZ557">
        <v>0.99560351576594397</v>
      </c>
      <c r="BA557" s="1">
        <v>23.568944798980802</v>
      </c>
      <c r="BB557" s="1">
        <v>13.5685334205627</v>
      </c>
      <c r="BC557" s="1">
        <v>5.0728819370269704</v>
      </c>
      <c r="BD557" s="7"/>
      <c r="BE557" s="1"/>
      <c r="BF557" s="1"/>
      <c r="BG557" s="8"/>
      <c r="BH557" s="1"/>
      <c r="BI557" s="1"/>
      <c r="BJ557" s="1"/>
      <c r="BK557" s="8"/>
    </row>
    <row r="558" spans="1:63">
      <c r="A558" s="49"/>
      <c r="B558" s="7" t="s">
        <v>18</v>
      </c>
      <c r="C558" s="17">
        <v>0.5</v>
      </c>
      <c r="D558" s="7">
        <v>36</v>
      </c>
      <c r="E558">
        <v>0.48453776041666602</v>
      </c>
      <c r="F558">
        <v>31.423076988544899</v>
      </c>
      <c r="G558">
        <v>0.96263230827926605</v>
      </c>
      <c r="H558">
        <v>14.2750372858626</v>
      </c>
      <c r="I558">
        <v>34.654496648877199</v>
      </c>
      <c r="J558">
        <v>0.97008774199069103</v>
      </c>
      <c r="K558" s="8">
        <v>15.2415080181426</v>
      </c>
      <c r="L558" s="7">
        <v>34</v>
      </c>
      <c r="M558">
        <v>0.46280924479166602</v>
      </c>
      <c r="N558">
        <v>32.182732511800999</v>
      </c>
      <c r="O558">
        <v>0.968561375435945</v>
      </c>
      <c r="P558">
        <v>15.025364625470001</v>
      </c>
      <c r="Q558">
        <v>35.607707833343603</v>
      </c>
      <c r="R558">
        <v>0.97330141540205195</v>
      </c>
      <c r="S558" s="1">
        <v>15.7351176176631</v>
      </c>
      <c r="T558" s="7"/>
      <c r="U558" s="1"/>
      <c r="V558" s="1"/>
      <c r="W558" s="8"/>
      <c r="X558" s="7"/>
      <c r="Y558" s="1"/>
      <c r="Z558" s="1"/>
      <c r="AA558" s="8"/>
      <c r="AB558" s="7">
        <v>16</v>
      </c>
      <c r="AC558">
        <v>0.68809000651041596</v>
      </c>
      <c r="AD558">
        <v>33.008750054461203</v>
      </c>
      <c r="AE558">
        <v>0.98211816318362499</v>
      </c>
      <c r="AF558">
        <v>17.475878726629301</v>
      </c>
      <c r="AG558">
        <v>36.289097504685799</v>
      </c>
      <c r="AH558">
        <v>0.98581172897799396</v>
      </c>
      <c r="AI558" s="1">
        <v>18.480705242995299</v>
      </c>
      <c r="AJ558" s="1">
        <v>7.1199169158935502</v>
      </c>
      <c r="AK558" s="1">
        <v>3.7894802093505802</v>
      </c>
      <c r="AL558" s="7"/>
      <c r="AM558" s="1"/>
      <c r="AN558" s="1"/>
      <c r="AO558" s="8"/>
      <c r="AP558" s="1"/>
      <c r="AQ558" s="1"/>
      <c r="AR558" s="1"/>
      <c r="AS558" s="8"/>
      <c r="AT558" s="7">
        <v>0.32</v>
      </c>
      <c r="AU558">
        <v>0.49139404296875</v>
      </c>
      <c r="AV558">
        <v>28.506810502245699</v>
      </c>
      <c r="AW558">
        <v>0.98647047778423502</v>
      </c>
      <c r="AX558">
        <v>18.687175398931998</v>
      </c>
      <c r="AY558">
        <v>32.635176859469198</v>
      </c>
      <c r="AZ558">
        <v>0.98886786015584405</v>
      </c>
      <c r="BA558" s="1">
        <v>19.5342134661005</v>
      </c>
      <c r="BB558" s="1">
        <v>9.9172451496124197</v>
      </c>
      <c r="BC558" s="1">
        <v>5.89469242095947</v>
      </c>
      <c r="BD558" s="7"/>
      <c r="BE558" s="1"/>
      <c r="BF558" s="1"/>
      <c r="BG558" s="8"/>
      <c r="BH558" s="1"/>
      <c r="BI558" s="1"/>
      <c r="BJ558" s="1"/>
      <c r="BK558" s="8"/>
    </row>
    <row r="559" spans="1:63">
      <c r="A559" s="49"/>
      <c r="B559" s="7" t="s">
        <v>18</v>
      </c>
      <c r="C559" s="17">
        <v>0.25</v>
      </c>
      <c r="D559" s="7">
        <v>41</v>
      </c>
      <c r="E559">
        <v>0.21828206380208301</v>
      </c>
      <c r="F559">
        <v>28.187036381538199</v>
      </c>
      <c r="G559">
        <v>0.92230120472251698</v>
      </c>
      <c r="H559">
        <v>11.095857148978901</v>
      </c>
      <c r="I559">
        <v>31.576225755285201</v>
      </c>
      <c r="J559">
        <v>0.93194269297136201</v>
      </c>
      <c r="K559" s="8">
        <v>11.671252395737501</v>
      </c>
      <c r="L559" s="7">
        <v>39</v>
      </c>
      <c r="M559">
        <v>0.2181396484375</v>
      </c>
      <c r="N559">
        <v>28.9157991233754</v>
      </c>
      <c r="O559">
        <v>0.93304722368191795</v>
      </c>
      <c r="P559">
        <v>11.742314094716299</v>
      </c>
      <c r="Q559">
        <v>32.562182574967103</v>
      </c>
      <c r="R559">
        <v>0.93886487774314697</v>
      </c>
      <c r="S559" s="1">
        <v>12.137092149628799</v>
      </c>
      <c r="T559" s="7"/>
      <c r="U559" s="1"/>
      <c r="V559" s="1"/>
      <c r="W559" s="8"/>
      <c r="X559" s="7"/>
      <c r="Y559" s="1"/>
      <c r="Z559" s="1"/>
      <c r="AA559" s="8"/>
      <c r="AB559" s="7">
        <v>8</v>
      </c>
      <c r="AC559">
        <v>0.44000244140625</v>
      </c>
      <c r="AD559">
        <v>30.976262105796899</v>
      </c>
      <c r="AE559">
        <v>0.97014280696353705</v>
      </c>
      <c r="AF559">
        <v>15.249510240080699</v>
      </c>
      <c r="AG559">
        <v>34.465171306887399</v>
      </c>
      <c r="AH559">
        <v>0.97444252773433604</v>
      </c>
      <c r="AI559" s="1">
        <v>15.924821018187901</v>
      </c>
      <c r="AJ559" s="1">
        <v>6.4913749694824201</v>
      </c>
      <c r="AK559" s="1">
        <v>3.60550332069396</v>
      </c>
      <c r="AL559" s="7"/>
      <c r="AM559" s="1"/>
      <c r="AN559" s="1"/>
      <c r="AO559" s="8"/>
      <c r="AP559" s="1"/>
      <c r="AQ559" s="1"/>
      <c r="AR559" s="1"/>
      <c r="AS559" s="8"/>
      <c r="AT559" s="7">
        <v>0.16</v>
      </c>
      <c r="AU559">
        <v>0.35296630859375</v>
      </c>
      <c r="AV559">
        <v>27.347896762454798</v>
      </c>
      <c r="AW559">
        <v>0.97873994775145401</v>
      </c>
      <c r="AX559">
        <v>16.7243567249254</v>
      </c>
      <c r="AY559">
        <v>31.474535567009699</v>
      </c>
      <c r="AZ559">
        <v>0.98190817945659703</v>
      </c>
      <c r="BA559" s="1">
        <v>17.425177287636402</v>
      </c>
      <c r="BB559" s="1">
        <v>7.0416367053985596</v>
      </c>
      <c r="BC559" s="1">
        <v>4.2718601226806596</v>
      </c>
      <c r="BD559" s="7"/>
      <c r="BE559" s="1"/>
      <c r="BF559" s="1"/>
      <c r="BG559" s="8"/>
      <c r="BH559" s="1"/>
      <c r="BI559" s="1"/>
      <c r="BJ559" s="1"/>
      <c r="BK559" s="8"/>
    </row>
    <row r="560" spans="1:63">
      <c r="A560" s="49"/>
      <c r="B560" s="7" t="s">
        <v>18</v>
      </c>
      <c r="C560" s="17">
        <v>0.12</v>
      </c>
      <c r="D560" s="7">
        <v>45</v>
      </c>
      <c r="E560">
        <v>0.10013834635416601</v>
      </c>
      <c r="F560">
        <v>25.968558485218601</v>
      </c>
      <c r="G560">
        <v>0.86582378401292803</v>
      </c>
      <c r="H560">
        <v>8.7232446018042999</v>
      </c>
      <c r="I560">
        <v>29.4969592138401</v>
      </c>
      <c r="J560">
        <v>0.87601336678386998</v>
      </c>
      <c r="K560" s="8">
        <v>9.0662513284892992</v>
      </c>
      <c r="L560" s="7">
        <v>43</v>
      </c>
      <c r="M560">
        <v>0.104573567708333</v>
      </c>
      <c r="N560">
        <v>26.643834348909799</v>
      </c>
      <c r="O560">
        <v>0.88317593730752997</v>
      </c>
      <c r="P560">
        <v>9.3246769473867097</v>
      </c>
      <c r="Q560">
        <v>30.409256571127699</v>
      </c>
      <c r="R560">
        <v>0.88961555491909905</v>
      </c>
      <c r="S560" s="1">
        <v>9.5709212127603909</v>
      </c>
      <c r="T560" s="7"/>
      <c r="U560" s="1"/>
      <c r="V560" s="1"/>
      <c r="W560" s="8"/>
      <c r="X560" s="7"/>
      <c r="Y560" s="1"/>
      <c r="Z560" s="1"/>
      <c r="AA560" s="8"/>
      <c r="AB560" s="7">
        <v>4</v>
      </c>
      <c r="AC560">
        <v>0.26922607421875</v>
      </c>
      <c r="AD560">
        <v>28.924180410059801</v>
      </c>
      <c r="AE560">
        <v>0.95102209731500498</v>
      </c>
      <c r="AF560">
        <v>13.099998160229701</v>
      </c>
      <c r="AG560">
        <v>32.546716267055103</v>
      </c>
      <c r="AH560">
        <v>0.95648855248999398</v>
      </c>
      <c r="AI560" s="1">
        <v>13.6139646864588</v>
      </c>
      <c r="AJ560" s="1">
        <v>7.4327538013458199</v>
      </c>
      <c r="AK560" s="1">
        <v>4.9051394462585396</v>
      </c>
      <c r="AL560" s="7"/>
      <c r="AM560" s="1"/>
      <c r="AN560" s="1"/>
      <c r="AO560" s="8"/>
      <c r="AP560" s="1"/>
      <c r="AQ560" s="1"/>
      <c r="AR560" s="1"/>
      <c r="AS560" s="8"/>
      <c r="AT560" s="7">
        <v>0.08</v>
      </c>
      <c r="AU560">
        <v>0.24021402994791599</v>
      </c>
      <c r="AV560">
        <v>26.4866882094848</v>
      </c>
      <c r="AW560">
        <v>0.96751352328078</v>
      </c>
      <c r="AX560">
        <v>14.8829738697367</v>
      </c>
      <c r="AY560">
        <v>30.570887028887299</v>
      </c>
      <c r="AZ560">
        <v>0.971478432549987</v>
      </c>
      <c r="BA560" s="1">
        <v>15.4482661079123</v>
      </c>
      <c r="BB560" s="1">
        <v>5.7567503452300999</v>
      </c>
      <c r="BC560" s="1">
        <v>3.93726253509521</v>
      </c>
      <c r="BD560" s="7"/>
      <c r="BE560" s="1"/>
      <c r="BF560" s="1"/>
      <c r="BG560" s="8"/>
      <c r="BH560" s="1"/>
      <c r="BI560" s="1"/>
      <c r="BJ560" s="1"/>
      <c r="BK560" s="8"/>
    </row>
    <row r="561" spans="1:63">
      <c r="A561" s="49"/>
      <c r="B561" s="7" t="s">
        <v>18</v>
      </c>
      <c r="C561" s="17">
        <v>0.06</v>
      </c>
      <c r="D561" s="7">
        <v>48</v>
      </c>
      <c r="E561">
        <v>5.2876790364583301E-2</v>
      </c>
      <c r="F561">
        <v>24.5569472344384</v>
      </c>
      <c r="G561">
        <v>0.81082063650838598</v>
      </c>
      <c r="H561">
        <v>7.2312624008287703</v>
      </c>
      <c r="I561">
        <v>28.122376388022001</v>
      </c>
      <c r="J561">
        <v>0.82125587655890397</v>
      </c>
      <c r="K561" s="8">
        <v>7.4776822756356802</v>
      </c>
      <c r="L561" s="7">
        <v>46</v>
      </c>
      <c r="M561">
        <v>5.7230631510416602E-2</v>
      </c>
      <c r="N561">
        <v>25.198831537216101</v>
      </c>
      <c r="O561">
        <v>0.83641088020732102</v>
      </c>
      <c r="P561">
        <v>7.86245584351333</v>
      </c>
      <c r="Q561">
        <v>29.0191186352423</v>
      </c>
      <c r="R561">
        <v>0.84262151959034104</v>
      </c>
      <c r="S561" s="1">
        <v>8.0305465239800693</v>
      </c>
      <c r="T561" s="7"/>
      <c r="U561" s="1"/>
      <c r="V561" s="1"/>
      <c r="W561" s="8"/>
      <c r="X561" s="7"/>
      <c r="Y561" s="1"/>
      <c r="Z561" s="1"/>
      <c r="AA561" s="8"/>
      <c r="AB561" s="7">
        <v>2</v>
      </c>
      <c r="AC561">
        <v>0.14967854817708301</v>
      </c>
      <c r="AD561">
        <v>27.033296231848102</v>
      </c>
      <c r="AE561">
        <v>0.91847724682384901</v>
      </c>
      <c r="AF561">
        <v>10.8872116181542</v>
      </c>
      <c r="AG561">
        <v>30.776847160647801</v>
      </c>
      <c r="AH561">
        <v>0.92526758524449204</v>
      </c>
      <c r="AI561" s="1">
        <v>11.264909845838</v>
      </c>
      <c r="AJ561" s="1">
        <v>7.4380793571472097</v>
      </c>
      <c r="AK561" s="1">
        <v>5.4343056678771902</v>
      </c>
      <c r="AL561" s="7"/>
      <c r="AM561" s="1"/>
      <c r="AN561" s="1"/>
      <c r="AO561" s="8"/>
      <c r="AP561" s="1"/>
      <c r="AQ561" s="1"/>
      <c r="AR561" s="1"/>
      <c r="AS561" s="8"/>
      <c r="AT561" s="7">
        <v>0.04</v>
      </c>
      <c r="AU561">
        <v>0.15618896484375</v>
      </c>
      <c r="AV561">
        <v>25.677147879137301</v>
      </c>
      <c r="AW561">
        <v>0.95010105622085606</v>
      </c>
      <c r="AX561">
        <v>13.019086470769</v>
      </c>
      <c r="AY561">
        <v>29.508072255653499</v>
      </c>
      <c r="AZ561">
        <v>0.95578721087434804</v>
      </c>
      <c r="BA561" s="1">
        <v>13.5445208713728</v>
      </c>
      <c r="BB561" s="1">
        <v>6.4373002052307102</v>
      </c>
      <c r="BC561" s="1">
        <v>4.4802680015563903</v>
      </c>
      <c r="BD561" s="7"/>
      <c r="BE561" s="1"/>
      <c r="BF561" s="1"/>
      <c r="BG561" s="8"/>
      <c r="BH561" s="1"/>
      <c r="BI561" s="1"/>
      <c r="BJ561" s="1"/>
      <c r="BK561" s="8"/>
    </row>
    <row r="562" spans="1:63">
      <c r="A562" s="49"/>
      <c r="B562" s="7" t="s">
        <v>115</v>
      </c>
      <c r="C562" s="17">
        <v>1.5</v>
      </c>
      <c r="D562" s="7">
        <v>20</v>
      </c>
      <c r="E562">
        <v>1.4455362955729101</v>
      </c>
      <c r="F562">
        <v>43.394107534559502</v>
      </c>
      <c r="G562">
        <v>0.99689084190063904</v>
      </c>
      <c r="H562">
        <v>25.073571937064699</v>
      </c>
      <c r="I562">
        <v>46.736574537634603</v>
      </c>
      <c r="J562">
        <v>0.99822696948123801</v>
      </c>
      <c r="K562" s="8">
        <v>27.512837889249901</v>
      </c>
      <c r="L562" s="7">
        <v>18</v>
      </c>
      <c r="M562">
        <v>1.3692423502604101</v>
      </c>
      <c r="N562">
        <v>43.7719683793485</v>
      </c>
      <c r="O562">
        <v>0.99715306950919402</v>
      </c>
      <c r="P562">
        <v>25.456231362348198</v>
      </c>
      <c r="Q562">
        <v>47.115635412072898</v>
      </c>
      <c r="R562">
        <v>0.99839610816570201</v>
      </c>
      <c r="S562" s="1">
        <v>27.948249236775901</v>
      </c>
      <c r="T562" s="13">
        <f>bdrate(E562:E565,F562:F565,M562:M565,N562:N565)</f>
        <v>-0.21880675324008669</v>
      </c>
      <c r="U562" s="12">
        <f>bdrate(E562:E565,H562:H565,M562:M565,P562:P565)</f>
        <v>-0.20910240673346991</v>
      </c>
      <c r="V562" s="12">
        <f>bdrate(E562:E565,I562:I565,M562:M565,Q562:Q565)</f>
        <v>-0.22062443347194405</v>
      </c>
      <c r="W562" s="14">
        <f>bdrate(E562:E565,K562:K565,M562:M565,S562:S565)</f>
        <v>-0.18926689166331712</v>
      </c>
      <c r="X562" s="13">
        <f>bdrate(E564:E567,F564:F567,M564:M567,N564:N567)</f>
        <v>-0.23993276357244686</v>
      </c>
      <c r="Y562" s="12">
        <f>bdrate(E564:E567,H564:H567,M564:M567,P564:P567)</f>
        <v>-0.21439250243400299</v>
      </c>
      <c r="Z562" s="12">
        <f>bdrate(E564:E567,I564:I567,M564:M567,Q564:Q567)</f>
        <v>-0.25195548760516273</v>
      </c>
      <c r="AA562" s="14">
        <f>bdrate(E564:E567,K564:K567,M564:M567,S564:S567)</f>
        <v>-0.18933658531509423</v>
      </c>
      <c r="AB562" s="7">
        <v>256</v>
      </c>
      <c r="AC562">
        <v>1.4467976888020799</v>
      </c>
      <c r="AD562">
        <v>43.928388985194701</v>
      </c>
      <c r="AE562">
        <v>0.99755409420689001</v>
      </c>
      <c r="AF562">
        <v>26.115602743317801</v>
      </c>
      <c r="AG562">
        <v>46.856806148948799</v>
      </c>
      <c r="AH562">
        <v>0.99846448159272305</v>
      </c>
      <c r="AI562" s="1">
        <v>28.137449730139402</v>
      </c>
      <c r="AJ562" s="1">
        <v>20.632545232772799</v>
      </c>
      <c r="AK562" s="1">
        <v>10.4846231937408</v>
      </c>
      <c r="AL562" s="13">
        <f>bdrate(E562:E565,F562:F565,AC562:AC565,AD562:AD565)</f>
        <v>-0.11648374964867914</v>
      </c>
      <c r="AM562" s="12">
        <f>bdrate(E562:E565,H562:H565,AC562:AC565,AF562:AF565)</f>
        <v>-0.19977132293184696</v>
      </c>
      <c r="AN562" s="12">
        <f>bdrate(E562:E565,I562:I565,AC562:AC565,AG562:AG565)</f>
        <v>-6.5664556791659501E-2</v>
      </c>
      <c r="AO562" s="14">
        <f>bdrate(E562:E565,K562:K565,AC562:AC565,AI562:AI565)</f>
        <v>-0.12499323451333821</v>
      </c>
      <c r="AP562" s="12">
        <f>bdrate(E564:E567,F564:F567,AC564:AC567,AD564:AD567)</f>
        <v>-0.1879318268911524</v>
      </c>
      <c r="AQ562" s="12">
        <f>bdrate(E564:E567,H564:H567,AC564:AC567,AF564:AF567)</f>
        <v>-0.26236785272121466</v>
      </c>
      <c r="AR562" s="12">
        <f>bdrate(E564:E567,I564:I567,AC564:AC567,AG564:AG567)</f>
        <v>-0.15279432810834703</v>
      </c>
      <c r="AS562" s="14">
        <f>bdrate(E564:E567,K564:K567,AC564:AC567,AI564:AI567)</f>
        <v>-0.20344162792867171</v>
      </c>
      <c r="AT562" s="7">
        <v>6.4</v>
      </c>
      <c r="AU562">
        <v>1.26519775390625</v>
      </c>
      <c r="AV562">
        <v>40.233724670411398</v>
      </c>
      <c r="AW562">
        <v>0.99850558196217998</v>
      </c>
      <c r="AX562">
        <v>28.255278990916398</v>
      </c>
      <c r="AY562">
        <v>43.220080101102297</v>
      </c>
      <c r="AZ562">
        <v>0.99900676290672297</v>
      </c>
      <c r="BA562" s="1">
        <v>30.029470697208499</v>
      </c>
      <c r="BB562" s="1">
        <v>58.6101007461547</v>
      </c>
      <c r="BC562" s="1">
        <v>15.7629401683807</v>
      </c>
      <c r="BD562" s="13">
        <f>bdrate(E562:E565,F562:F565,AU562:AU565,AV562:AV565)</f>
        <v>0.49695800746723506</v>
      </c>
      <c r="BE562" s="12">
        <f>bdrate(E562:E565,H562:H565,AU562:AU565,AX562:AX565)</f>
        <v>-0.46596366595800853</v>
      </c>
      <c r="BF562" s="12">
        <f>bdrate(E562:E565,I562:I565,AU562:AU565,AY562:AY565)</f>
        <v>0.46668803191827823</v>
      </c>
      <c r="BG562" s="14">
        <f>bdrate(E562:E565,K562:K565,AU562:AU565,BA562:BA565)</f>
        <v>-0.40913158123519255</v>
      </c>
      <c r="BH562" s="12">
        <f>bdrate(E564:E567,F564:F567,AU564:AU567,AV564:AV567)</f>
        <v>0.13962665633514271</v>
      </c>
      <c r="BI562" s="12">
        <f>bdrate(E564:E567,H564:H567,AU564:AU567,AX564:AX567)</f>
        <v>-0.44587889347702436</v>
      </c>
      <c r="BJ562" s="12">
        <f>bdrate(E564:E567,I564:I567,AU564:AU567,AY564:AY567)</f>
        <v>0.12627202082107658</v>
      </c>
      <c r="BK562" s="14">
        <f>bdrate(E564:E567,K564:K567,AU564:AU567,BA564:BA567)</f>
        <v>-0.40113362019380716</v>
      </c>
    </row>
    <row r="563" spans="1:63">
      <c r="A563" s="49"/>
      <c r="B563" s="7" t="s">
        <v>18</v>
      </c>
      <c r="C563" s="17">
        <v>1</v>
      </c>
      <c r="D563" s="7">
        <v>24</v>
      </c>
      <c r="E563">
        <v>0.99869791666666596</v>
      </c>
      <c r="F563">
        <v>41.397607486534802</v>
      </c>
      <c r="G563">
        <v>0.99559928779496298</v>
      </c>
      <c r="H563">
        <v>23.564770322213199</v>
      </c>
      <c r="I563">
        <v>44.615095499071003</v>
      </c>
      <c r="J563">
        <v>0.99726332628692205</v>
      </c>
      <c r="K563" s="8">
        <v>25.627769793737102</v>
      </c>
      <c r="L563" s="7">
        <v>22</v>
      </c>
      <c r="M563">
        <v>0.92604573567708304</v>
      </c>
      <c r="N563">
        <v>42.056163690567701</v>
      </c>
      <c r="O563">
        <v>0.99604590947105498</v>
      </c>
      <c r="P563">
        <v>24.0295339173176</v>
      </c>
      <c r="Q563">
        <v>45.3091469668638</v>
      </c>
      <c r="R563">
        <v>0.99758031975027495</v>
      </c>
      <c r="S563" s="1">
        <v>26.162420203646199</v>
      </c>
      <c r="T563" s="7"/>
      <c r="U563" s="1"/>
      <c r="V563" s="1"/>
      <c r="W563" s="8"/>
      <c r="X563" s="7"/>
      <c r="Y563" s="1"/>
      <c r="Z563" s="1"/>
      <c r="AA563" s="8"/>
      <c r="AB563" s="7">
        <v>128</v>
      </c>
      <c r="AC563">
        <v>1.0643107096354101</v>
      </c>
      <c r="AD563">
        <v>42.459750885380899</v>
      </c>
      <c r="AE563">
        <v>0.99664316120424701</v>
      </c>
      <c r="AF563">
        <v>24.740695142170601</v>
      </c>
      <c r="AG563">
        <v>45.323487793343403</v>
      </c>
      <c r="AH563">
        <v>0.99774485351515696</v>
      </c>
      <c r="AI563" s="1">
        <v>26.468252429244799</v>
      </c>
      <c r="AJ563" s="1">
        <v>34.219132900238002</v>
      </c>
      <c r="AK563" s="1">
        <v>16.385260581970201</v>
      </c>
      <c r="AL563" s="7"/>
      <c r="AM563" s="1"/>
      <c r="AN563" s="1"/>
      <c r="AO563" s="8"/>
      <c r="AP563" s="1"/>
      <c r="AQ563" s="1"/>
      <c r="AR563" s="1"/>
      <c r="AS563" s="8"/>
      <c r="AT563" s="7">
        <v>3.2</v>
      </c>
      <c r="AU563">
        <v>0.94215901692708304</v>
      </c>
      <c r="AV563">
        <v>38.348123907181197</v>
      </c>
      <c r="AW563">
        <v>0.99781980251992397</v>
      </c>
      <c r="AX563">
        <v>26.615041666601801</v>
      </c>
      <c r="AY563">
        <v>41.402830141729297</v>
      </c>
      <c r="AZ563">
        <v>0.99853249229641905</v>
      </c>
      <c r="BA563" s="1">
        <v>28.3341961027552</v>
      </c>
      <c r="BB563" s="1">
        <v>48.078975200652998</v>
      </c>
      <c r="BC563" s="1">
        <v>15.2972266674041</v>
      </c>
      <c r="BD563" s="7"/>
      <c r="BE563" s="1"/>
      <c r="BF563" s="1"/>
      <c r="BG563" s="8"/>
      <c r="BH563" s="1"/>
      <c r="BI563" s="1"/>
      <c r="BJ563" s="1"/>
      <c r="BK563" s="8"/>
    </row>
    <row r="564" spans="1:63">
      <c r="A564" s="49"/>
      <c r="B564" s="7" t="s">
        <v>18</v>
      </c>
      <c r="C564" s="17">
        <v>0.5</v>
      </c>
      <c r="D564" s="7">
        <v>32</v>
      </c>
      <c r="E564">
        <v>0.45281982421875</v>
      </c>
      <c r="F564">
        <v>36.501504442201401</v>
      </c>
      <c r="G564">
        <v>0.98925902681476696</v>
      </c>
      <c r="H564">
        <v>19.689563676282098</v>
      </c>
      <c r="I564">
        <v>39.573127506248198</v>
      </c>
      <c r="J564">
        <v>0.99245076783500996</v>
      </c>
      <c r="K564" s="8">
        <v>21.220972183662699</v>
      </c>
      <c r="L564" s="7">
        <v>29</v>
      </c>
      <c r="M564">
        <v>0.47454833984375</v>
      </c>
      <c r="N564">
        <v>38.416625103230302</v>
      </c>
      <c r="O564">
        <v>0.99235282384256196</v>
      </c>
      <c r="P564">
        <v>21.1649890545355</v>
      </c>
      <c r="Q564">
        <v>41.5476442266378</v>
      </c>
      <c r="R564">
        <v>0.99464044947696495</v>
      </c>
      <c r="S564" s="1">
        <v>22.708716307458499</v>
      </c>
      <c r="T564" s="7"/>
      <c r="U564" s="1"/>
      <c r="V564" s="1"/>
      <c r="W564" s="8"/>
      <c r="X564" s="7"/>
      <c r="Y564" s="1"/>
      <c r="Z564" s="1"/>
      <c r="AA564" s="8"/>
      <c r="AB564" s="7">
        <v>16</v>
      </c>
      <c r="AC564">
        <v>0.42425537109375</v>
      </c>
      <c r="AD564">
        <v>36.850524507314503</v>
      </c>
      <c r="AE564">
        <v>0.99121432249619301</v>
      </c>
      <c r="AF564">
        <v>20.5622474244195</v>
      </c>
      <c r="AG564">
        <v>39.6582742381852</v>
      </c>
      <c r="AH564">
        <v>0.99336573138715201</v>
      </c>
      <c r="AI564" s="1">
        <v>21.7820694844572</v>
      </c>
      <c r="AJ564" s="1">
        <v>6.3564510345458896</v>
      </c>
      <c r="AK564" s="1">
        <v>3.9081602096557599</v>
      </c>
      <c r="AL564" s="7"/>
      <c r="AM564" s="1"/>
      <c r="AN564" s="1"/>
      <c r="AO564" s="8"/>
      <c r="AP564" s="1"/>
      <c r="AQ564" s="1"/>
      <c r="AR564" s="1"/>
      <c r="AS564" s="8"/>
      <c r="AT564" s="7">
        <v>0.64</v>
      </c>
      <c r="AU564">
        <v>0.43772379557291602</v>
      </c>
      <c r="AV564">
        <v>34.086269129022597</v>
      </c>
      <c r="AW564">
        <v>0.99451691604847403</v>
      </c>
      <c r="AX564">
        <v>22.609751045806298</v>
      </c>
      <c r="AY564">
        <v>37.367383054453001</v>
      </c>
      <c r="AZ564">
        <v>0.99597102862795395</v>
      </c>
      <c r="BA564" s="1">
        <v>23.9480581849072</v>
      </c>
      <c r="BB564" s="1">
        <v>9.8968536853790194</v>
      </c>
      <c r="BC564" s="1">
        <v>5.5723631381988499</v>
      </c>
      <c r="BD564" s="7"/>
      <c r="BE564" s="1"/>
      <c r="BF564" s="1"/>
      <c r="BG564" s="8"/>
      <c r="BH564" s="1"/>
      <c r="BI564" s="1"/>
      <c r="BJ564" s="1"/>
      <c r="BK564" s="8"/>
    </row>
    <row r="565" spans="1:63">
      <c r="A565" s="49"/>
      <c r="B565" s="7" t="s">
        <v>18</v>
      </c>
      <c r="C565" s="17">
        <v>0.25</v>
      </c>
      <c r="D565" s="7">
        <v>38</v>
      </c>
      <c r="E565">
        <v>0.22660319010416599</v>
      </c>
      <c r="F565">
        <v>32.515145116676699</v>
      </c>
      <c r="G565">
        <v>0.97683238130899397</v>
      </c>
      <c r="H565">
        <v>16.351186033487402</v>
      </c>
      <c r="I565">
        <v>35.565377327164299</v>
      </c>
      <c r="J565">
        <v>0.98237992048606604</v>
      </c>
      <c r="K565" s="8">
        <v>17.5399213608375</v>
      </c>
      <c r="L565" s="7">
        <v>36</v>
      </c>
      <c r="M565">
        <v>0.22444661458333301</v>
      </c>
      <c r="N565">
        <v>34.101010555653197</v>
      </c>
      <c r="O565">
        <v>0.98257738589819199</v>
      </c>
      <c r="P565">
        <v>17.588866825765798</v>
      </c>
      <c r="Q565">
        <v>37.212433828261098</v>
      </c>
      <c r="R565">
        <v>0.98659699562912295</v>
      </c>
      <c r="S565" s="1">
        <v>18.7279784078112</v>
      </c>
      <c r="T565" s="7"/>
      <c r="U565" s="1"/>
      <c r="V565" s="1"/>
      <c r="W565" s="8"/>
      <c r="X565" s="7"/>
      <c r="Y565" s="1"/>
      <c r="Z565" s="1"/>
      <c r="AA565" s="8"/>
      <c r="AB565" s="7">
        <v>8</v>
      </c>
      <c r="AC565">
        <v>0.29811604817708298</v>
      </c>
      <c r="AD565">
        <v>35.083132322441799</v>
      </c>
      <c r="AE565">
        <v>0.98741226222357203</v>
      </c>
      <c r="AF565">
        <v>19.00052312743</v>
      </c>
      <c r="AG565">
        <v>37.918913927912598</v>
      </c>
      <c r="AH565">
        <v>0.99008361390812705</v>
      </c>
      <c r="AI565" s="1">
        <v>20.036465724340999</v>
      </c>
      <c r="AJ565" s="1">
        <v>6.06809401512146</v>
      </c>
      <c r="AK565" s="1">
        <v>3.3851368427276598</v>
      </c>
      <c r="AL565" s="7"/>
      <c r="AM565" s="1"/>
      <c r="AN565" s="1"/>
      <c r="AO565" s="8"/>
      <c r="AP565" s="1"/>
      <c r="AQ565" s="1"/>
      <c r="AR565" s="1"/>
      <c r="AS565" s="8"/>
      <c r="AT565" s="7">
        <v>0.16</v>
      </c>
      <c r="AU565">
        <v>0.22564697265625</v>
      </c>
      <c r="AV565">
        <v>31.8631671077849</v>
      </c>
      <c r="AW565">
        <v>0.98793868832044196</v>
      </c>
      <c r="AX565">
        <v>19.186054596737002</v>
      </c>
      <c r="AY565">
        <v>35.006923645152703</v>
      </c>
      <c r="AZ565">
        <v>0.99043644860556501</v>
      </c>
      <c r="BA565" s="1">
        <v>20.193808038957702</v>
      </c>
      <c r="BB565" s="1">
        <v>7.1500589847564697</v>
      </c>
      <c r="BC565" s="1">
        <v>4.7295978069305402</v>
      </c>
      <c r="BD565" s="7"/>
      <c r="BE565" s="1"/>
      <c r="BF565" s="1"/>
      <c r="BG565" s="8"/>
      <c r="BH565" s="1"/>
      <c r="BI565" s="1"/>
      <c r="BJ565" s="1"/>
      <c r="BK565" s="8"/>
    </row>
    <row r="566" spans="1:63">
      <c r="A566" s="49"/>
      <c r="B566" s="7" t="s">
        <v>18</v>
      </c>
      <c r="C566" s="17">
        <v>0.12</v>
      </c>
      <c r="D566" s="7">
        <v>43</v>
      </c>
      <c r="E566">
        <v>0.1187744140625</v>
      </c>
      <c r="F566">
        <v>29.410153163784202</v>
      </c>
      <c r="G566">
        <v>0.95359049518559702</v>
      </c>
      <c r="H566">
        <v>13.3339306544263</v>
      </c>
      <c r="I566">
        <v>32.471790730149998</v>
      </c>
      <c r="J566">
        <v>0.96235102861549704</v>
      </c>
      <c r="K566" s="8">
        <v>14.2424688475244</v>
      </c>
      <c r="L566" s="7">
        <v>42</v>
      </c>
      <c r="M566">
        <v>0.1092529296875</v>
      </c>
      <c r="N566">
        <v>30.202570211569</v>
      </c>
      <c r="O566">
        <v>0.95990308210814101</v>
      </c>
      <c r="P566">
        <v>13.968890087763601</v>
      </c>
      <c r="Q566">
        <v>33.356448457829799</v>
      </c>
      <c r="R566">
        <v>0.96648953857684095</v>
      </c>
      <c r="S566" s="1">
        <v>14.7481959209453</v>
      </c>
      <c r="T566" s="7"/>
      <c r="U566" s="1"/>
      <c r="V566" s="1"/>
      <c r="W566" s="8"/>
      <c r="X566" s="7"/>
      <c r="Y566" s="1"/>
      <c r="Z566" s="1"/>
      <c r="AA566" s="8"/>
      <c r="AB566" s="7">
        <v>4</v>
      </c>
      <c r="AC566">
        <v>0.20412190755208301</v>
      </c>
      <c r="AD566">
        <v>33.153937008757303</v>
      </c>
      <c r="AE566">
        <v>0.98162416118699103</v>
      </c>
      <c r="AF566">
        <v>17.357528272888601</v>
      </c>
      <c r="AG566">
        <v>35.998423452010996</v>
      </c>
      <c r="AH566">
        <v>0.98509305912369305</v>
      </c>
      <c r="AI566" s="1">
        <v>18.2661147102387</v>
      </c>
      <c r="AJ566" s="1">
        <v>7.2650251388549796</v>
      </c>
      <c r="AK566" s="1">
        <v>5.02339744567871</v>
      </c>
      <c r="AL566" s="7"/>
      <c r="AM566" s="1"/>
      <c r="AN566" s="1"/>
      <c r="AO566" s="8"/>
      <c r="AP566" s="1"/>
      <c r="AQ566" s="1"/>
      <c r="AR566" s="1"/>
      <c r="AS566" s="8"/>
      <c r="AT566" s="7">
        <v>0.08</v>
      </c>
      <c r="AU566">
        <v>0.15635172526041599</v>
      </c>
      <c r="AV566">
        <v>30.4456806300728</v>
      </c>
      <c r="AW566">
        <v>0.98174604550514599</v>
      </c>
      <c r="AX566">
        <v>17.386430364539901</v>
      </c>
      <c r="AY566">
        <v>33.487948330368702</v>
      </c>
      <c r="AZ566">
        <v>0.98514483386098906</v>
      </c>
      <c r="BA566" s="1">
        <v>18.2812248671781</v>
      </c>
      <c r="BB566" s="1">
        <v>5.3221671581268302</v>
      </c>
      <c r="BC566" s="1">
        <v>3.2806768417358398</v>
      </c>
      <c r="BD566" s="7"/>
      <c r="BE566" s="1"/>
      <c r="BF566" s="1"/>
      <c r="BG566" s="8"/>
      <c r="BH566" s="1"/>
      <c r="BI566" s="1"/>
      <c r="BJ566" s="1"/>
      <c r="BK566" s="8"/>
    </row>
    <row r="567" spans="1:63">
      <c r="A567" s="49"/>
      <c r="B567" s="7" t="s">
        <v>18</v>
      </c>
      <c r="C567" s="17">
        <v>0.06</v>
      </c>
      <c r="D567" s="7">
        <v>48</v>
      </c>
      <c r="E567">
        <v>5.8329264322916602E-2</v>
      </c>
      <c r="F567">
        <v>26.5046497558113</v>
      </c>
      <c r="G567">
        <v>0.90618666942937798</v>
      </c>
      <c r="H567">
        <v>10.2773544539582</v>
      </c>
      <c r="I567">
        <v>29.621927415912499</v>
      </c>
      <c r="J567">
        <v>0.91895989306707404</v>
      </c>
      <c r="K567" s="8">
        <v>10.912999945931199</v>
      </c>
      <c r="L567" s="7">
        <v>47</v>
      </c>
      <c r="M567">
        <v>5.5379231770833301E-2</v>
      </c>
      <c r="N567">
        <v>27.201089708632399</v>
      </c>
      <c r="O567">
        <v>0.91943843341050102</v>
      </c>
      <c r="P567">
        <v>10.9387209713964</v>
      </c>
      <c r="Q567">
        <v>30.381585189821202</v>
      </c>
      <c r="R567">
        <v>0.930229950021219</v>
      </c>
      <c r="S567" s="1">
        <v>11.563309659200799</v>
      </c>
      <c r="T567" s="7"/>
      <c r="U567" s="1"/>
      <c r="V567" s="1"/>
      <c r="W567" s="8"/>
      <c r="X567" s="7"/>
      <c r="Y567" s="1"/>
      <c r="Z567" s="1"/>
      <c r="AA567" s="8"/>
      <c r="AB567" s="7">
        <v>2</v>
      </c>
      <c r="AC567">
        <v>0.13584391276041599</v>
      </c>
      <c r="AD567">
        <v>31.213367738834499</v>
      </c>
      <c r="AE567">
        <v>0.97157634791130398</v>
      </c>
      <c r="AF567">
        <v>15.4632012133932</v>
      </c>
      <c r="AG567">
        <v>34.0576057148158</v>
      </c>
      <c r="AH567">
        <v>0.97634377436345698</v>
      </c>
      <c r="AI567" s="1">
        <v>16.260545460978499</v>
      </c>
      <c r="AJ567" s="1">
        <v>6.8369157314300502</v>
      </c>
      <c r="AK567" s="1">
        <v>5.4826810359954798</v>
      </c>
      <c r="AL567" s="7"/>
      <c r="AM567" s="1"/>
      <c r="AN567" s="1"/>
      <c r="AO567" s="8"/>
      <c r="AP567" s="1"/>
      <c r="AQ567" s="1"/>
      <c r="AR567" s="1"/>
      <c r="AS567" s="8"/>
      <c r="AT567" s="7">
        <v>0.04</v>
      </c>
      <c r="AU567">
        <v>0.108296712239583</v>
      </c>
      <c r="AV567">
        <v>29.0129634060028</v>
      </c>
      <c r="AW567">
        <v>0.972816886698605</v>
      </c>
      <c r="AX567">
        <v>15.657008046975101</v>
      </c>
      <c r="AY567">
        <v>31.965611121736998</v>
      </c>
      <c r="AZ567">
        <v>0.97738051655651104</v>
      </c>
      <c r="BA567" s="1">
        <v>16.455173171914598</v>
      </c>
      <c r="BB567" s="1">
        <v>6.7087247371673504</v>
      </c>
      <c r="BC567" s="1">
        <v>4.4439303874969402</v>
      </c>
      <c r="BD567" s="7"/>
      <c r="BE567" s="1"/>
      <c r="BF567" s="1"/>
      <c r="BG567" s="8"/>
      <c r="BH567" s="1"/>
      <c r="BI567" s="1"/>
      <c r="BJ567" s="1"/>
      <c r="BK567" s="8"/>
    </row>
    <row r="568" spans="1:63">
      <c r="A568" s="49"/>
      <c r="B568" s="7" t="s">
        <v>116</v>
      </c>
      <c r="C568" s="17">
        <v>1.5</v>
      </c>
      <c r="D568" s="7">
        <v>30</v>
      </c>
      <c r="E568">
        <v>1.39361572265625</v>
      </c>
      <c r="F568">
        <v>34.5779106851816</v>
      </c>
      <c r="G568">
        <v>0.99143848235986198</v>
      </c>
      <c r="H568">
        <v>20.6744924416438</v>
      </c>
      <c r="I568">
        <v>37.6856337576369</v>
      </c>
      <c r="J568">
        <v>0.99380469707823904</v>
      </c>
      <c r="K568" s="8">
        <v>22.079374537701501</v>
      </c>
      <c r="L568" s="7">
        <v>27</v>
      </c>
      <c r="M568">
        <v>1.3651123046875</v>
      </c>
      <c r="N568">
        <v>35.872329056977698</v>
      </c>
      <c r="O568">
        <v>0.99353538152894805</v>
      </c>
      <c r="P568">
        <v>21.894571012253898</v>
      </c>
      <c r="Q568">
        <v>39.049745132118098</v>
      </c>
      <c r="R568">
        <v>0.995316923459592</v>
      </c>
      <c r="S568" s="1">
        <v>23.294687440319699</v>
      </c>
      <c r="T568" s="13">
        <f>bdrate(E568:E571,F568:F571,M568:M571,N568:N571)</f>
        <v>-0.24556711205163695</v>
      </c>
      <c r="U568" s="12">
        <f>bdrate(E568:E571,H568:H571,M568:M571,P568:P571)</f>
        <v>-0.21508338767521751</v>
      </c>
      <c r="V568" s="12">
        <f>bdrate(E568:E571,I568:I571,M568:M571,Q568:Q571)</f>
        <v>-0.26572636593975807</v>
      </c>
      <c r="W568" s="14">
        <f>bdrate(E568:E571,K568:K571,M568:M571,S568:S571)</f>
        <v>-0.17850833480754136</v>
      </c>
      <c r="X568" s="13">
        <f>bdrate(E570:E573,F570:F573,M570:M573,N570:N573)</f>
        <v>-0.29069790363418535</v>
      </c>
      <c r="Y568" s="12">
        <f>bdrate(E570:E573,H570:H573,M570:M573,P570:P573)</f>
        <v>-0.25363609346709415</v>
      </c>
      <c r="Z568" s="12">
        <f>bdrate(E570:E573,I570:I573,M570:M573,Q570:Q573)</f>
        <v>-0.33234222389946178</v>
      </c>
      <c r="AA568" s="14">
        <f>bdrate(E570:E573,K570:K573,M570:M573,S570:S573)</f>
        <v>-0.21333618898325057</v>
      </c>
      <c r="AB568" s="7">
        <v>64</v>
      </c>
      <c r="AC568">
        <v>1.96527099609375</v>
      </c>
      <c r="AD568">
        <v>36.247658858033603</v>
      </c>
      <c r="AE568">
        <v>0.99600773369132001</v>
      </c>
      <c r="AF568">
        <v>23.987804963093801</v>
      </c>
      <c r="AG568">
        <v>39.143922058609697</v>
      </c>
      <c r="AH568">
        <v>0.99725067355289299</v>
      </c>
      <c r="AI568" s="1">
        <v>25.6077369021842</v>
      </c>
      <c r="AJ568" s="1">
        <v>9.7854526042938197</v>
      </c>
      <c r="AK568" s="1">
        <v>4.2356107234954798</v>
      </c>
      <c r="AL568" s="13">
        <f>bdrate(E568:E571,F568:F571,AC568:AC571,AD568:AD571)</f>
        <v>0.1598953097427136</v>
      </c>
      <c r="AM568" s="12">
        <f>bdrate(E568:E571,H568:H571,AC568:AC571,AF568:AF571)</f>
        <v>-0.12560565304442706</v>
      </c>
      <c r="AN568" s="12">
        <f>bdrate(E568:E571,I568:I571,AC568:AC571,AG568:AG571)</f>
        <v>0.15185523584312355</v>
      </c>
      <c r="AO568" s="14">
        <f>bdrate(E568:E571,K568:K571,AC568:AC571,AI568:AI571)</f>
        <v>-8.4813492691369397E-2</v>
      </c>
      <c r="AP568" s="12">
        <f>bdrate(E570:E573,F570:F573,AC570:AC573,AD570:AD573)</f>
        <v>6.1180506681036473E-2</v>
      </c>
      <c r="AQ568" s="12">
        <f>bdrate(E570:E573,H570:H573,AC570:AC573,AF570:AF573)</f>
        <v>-0.21730585785655165</v>
      </c>
      <c r="AR568" s="12">
        <f>bdrate(E570:E573,I570:I573,AC570:AC573,AG570:AG573)</f>
        <v>-6.1679327605211887E-3</v>
      </c>
      <c r="AS568" s="14">
        <f>bdrate(E570:E573,K570:K573,AC570:AC573,AI570:AI573)</f>
        <v>-0.17548065901189891</v>
      </c>
      <c r="AT568" s="7">
        <v>3.2</v>
      </c>
      <c r="AU568">
        <v>1.5105183919270799</v>
      </c>
      <c r="AV568">
        <v>31.803582547617001</v>
      </c>
      <c r="AW568">
        <v>0.99717611292316</v>
      </c>
      <c r="AX568">
        <v>25.4915267408124</v>
      </c>
      <c r="AY568">
        <v>35.338059816819303</v>
      </c>
      <c r="AZ568">
        <v>0.99784503577801797</v>
      </c>
      <c r="BA568" s="1">
        <v>26.665599358627901</v>
      </c>
      <c r="BB568" s="1">
        <v>58.107753276824901</v>
      </c>
      <c r="BC568" s="1">
        <v>15.467755317687899</v>
      </c>
      <c r="BD568" s="13">
        <f>bdrate(E568:E571,F568:F571,AU568:AU571,AV568:AV571)</f>
        <v>0.8043266311284234</v>
      </c>
      <c r="BE568" s="12">
        <f>bdrate(E568:E571,H568:H571,AU568:AU571,AX568:AX571)</f>
        <v>-0.50252609788273528</v>
      </c>
      <c r="BF568" s="12">
        <f>bdrate(E568:E571,I568:I571,AU568:AU571,AY568:AY571)</f>
        <v>0.56927020266298811</v>
      </c>
      <c r="BG568" s="14">
        <f>bdrate(E568:E571,K568:K571,AU568:AU571,BA568:BA571)</f>
        <v>-0.46488325485199145</v>
      </c>
      <c r="BH568" s="12">
        <f>bdrate(E570:E573,F570:F573,AU570:AU573,AV570:AV573)</f>
        <v>0.56613199096659539</v>
      </c>
      <c r="BI568" s="12">
        <f>bdrate(E570:E573,H570:H573,AU570:AU573,AX570:AX573)</f>
        <v>-0.53330728659106941</v>
      </c>
      <c r="BJ568" s="12">
        <f>bdrate(E570:E573,I570:I573,AU570:AU573,AY570:AY573)</f>
        <v>0.29676716248514445</v>
      </c>
      <c r="BK568" s="14">
        <f>bdrate(E570:E573,K570:K573,AU570:AU573,BA570:BA573)</f>
        <v>-0.5096610596232598</v>
      </c>
    </row>
    <row r="569" spans="1:63">
      <c r="A569" s="49"/>
      <c r="B569" s="7" t="s">
        <v>18</v>
      </c>
      <c r="C569" s="17">
        <v>1</v>
      </c>
      <c r="D569" s="7">
        <v>34</v>
      </c>
      <c r="E569">
        <v>0.91158040364583304</v>
      </c>
      <c r="F569">
        <v>31.695665789692999</v>
      </c>
      <c r="G569">
        <v>0.98419358539950796</v>
      </c>
      <c r="H569">
        <v>18.0116663075157</v>
      </c>
      <c r="I569">
        <v>34.810675854989803</v>
      </c>
      <c r="J569">
        <v>0.98770762457237204</v>
      </c>
      <c r="K569" s="8">
        <v>19.103641842066299</v>
      </c>
      <c r="L569" s="7">
        <v>31</v>
      </c>
      <c r="M569">
        <v>0.89591471354166596</v>
      </c>
      <c r="N569">
        <v>33.169418539091602</v>
      </c>
      <c r="O569">
        <v>0.98796533053036595</v>
      </c>
      <c r="P569">
        <v>19.195658330570399</v>
      </c>
      <c r="Q569">
        <v>36.3844587341747</v>
      </c>
      <c r="R569">
        <v>0.99031899505252896</v>
      </c>
      <c r="S569" s="1">
        <v>20.140795579304701</v>
      </c>
      <c r="T569" s="7"/>
      <c r="U569" s="1"/>
      <c r="V569" s="1"/>
      <c r="W569" s="8"/>
      <c r="X569" s="7"/>
      <c r="Y569" s="1"/>
      <c r="Z569" s="1"/>
      <c r="AA569" s="8"/>
      <c r="AB569" s="7">
        <v>32</v>
      </c>
      <c r="AC569">
        <v>1.46856689453125</v>
      </c>
      <c r="AD569">
        <v>34.184184500271598</v>
      </c>
      <c r="AE569">
        <v>0.99335733336208298</v>
      </c>
      <c r="AF569">
        <v>21.7765754207086</v>
      </c>
      <c r="AG569">
        <v>37.166965079325699</v>
      </c>
      <c r="AH569">
        <v>0.99507354711499196</v>
      </c>
      <c r="AI569" s="1">
        <v>23.074656663054899</v>
      </c>
      <c r="AJ569" s="1">
        <v>8.0410311222076398</v>
      </c>
      <c r="AK569" s="1">
        <v>3.6171956062316801</v>
      </c>
      <c r="AL569" s="7"/>
      <c r="AM569" s="1"/>
      <c r="AN569" s="1"/>
      <c r="AO569" s="8"/>
      <c r="AP569" s="1"/>
      <c r="AQ569" s="1"/>
      <c r="AR569" s="1"/>
      <c r="AS569" s="8"/>
      <c r="AT569" s="7">
        <v>1.28</v>
      </c>
      <c r="AU569">
        <v>1.03204345703125</v>
      </c>
      <c r="AV569">
        <v>28.563256558675601</v>
      </c>
      <c r="AW569">
        <v>0.99440338441925202</v>
      </c>
      <c r="AX569">
        <v>22.520745228044898</v>
      </c>
      <c r="AY569">
        <v>32.459579209201898</v>
      </c>
      <c r="AZ569">
        <v>0.99549965022852804</v>
      </c>
      <c r="BA569" s="1">
        <v>23.4675373113201</v>
      </c>
      <c r="BB569" s="1">
        <v>13.7295312881469</v>
      </c>
      <c r="BC569" s="1">
        <v>5.4127922058105398</v>
      </c>
      <c r="BD569" s="7"/>
      <c r="BE569" s="1"/>
      <c r="BF569" s="1"/>
      <c r="BG569" s="8"/>
      <c r="BH569" s="1"/>
      <c r="BI569" s="1"/>
      <c r="BJ569" s="1"/>
      <c r="BK569" s="8"/>
    </row>
    <row r="570" spans="1:63">
      <c r="A570" s="49"/>
      <c r="B570" s="7" t="s">
        <v>18</v>
      </c>
      <c r="C570" s="17">
        <v>0.5</v>
      </c>
      <c r="D570" s="7">
        <v>40</v>
      </c>
      <c r="E570">
        <v>0.44266764322916602</v>
      </c>
      <c r="F570">
        <v>27.587989135232</v>
      </c>
      <c r="G570">
        <v>0.96313979660056404</v>
      </c>
      <c r="H570">
        <v>14.3344227261644</v>
      </c>
      <c r="I570">
        <v>30.797523813942899</v>
      </c>
      <c r="J570">
        <v>0.96943335834767197</v>
      </c>
      <c r="K570" s="8">
        <v>15.147522744562</v>
      </c>
      <c r="L570" s="7">
        <v>37</v>
      </c>
      <c r="M570">
        <v>0.44795735677083298</v>
      </c>
      <c r="N570">
        <v>29.245514755624999</v>
      </c>
      <c r="O570">
        <v>0.97222956630740198</v>
      </c>
      <c r="P570">
        <v>15.5641733779273</v>
      </c>
      <c r="Q570">
        <v>32.576171183708297</v>
      </c>
      <c r="R570">
        <v>0.97609211948767605</v>
      </c>
      <c r="S570" s="1">
        <v>16.2145892336572</v>
      </c>
      <c r="T570" s="7"/>
      <c r="U570" s="1"/>
      <c r="V570" s="1"/>
      <c r="W570" s="8"/>
      <c r="X570" s="7"/>
      <c r="Y570" s="1"/>
      <c r="Z570" s="1"/>
      <c r="AA570" s="8"/>
      <c r="AB570" s="7">
        <v>16</v>
      </c>
      <c r="AC570">
        <v>1.00750732421875</v>
      </c>
      <c r="AD570">
        <v>31.181768906846798</v>
      </c>
      <c r="AE570">
        <v>0.98842233579473004</v>
      </c>
      <c r="AF570">
        <v>19.363790507195699</v>
      </c>
      <c r="AG570">
        <v>34.388645481683398</v>
      </c>
      <c r="AH570">
        <v>0.99066717601175802</v>
      </c>
      <c r="AI570" s="1">
        <v>20.2998692464162</v>
      </c>
      <c r="AJ570" s="1">
        <v>6.7771723270416198</v>
      </c>
      <c r="AK570" s="1">
        <v>3.8869106769561701</v>
      </c>
      <c r="AL570" s="7"/>
      <c r="AM570" s="1"/>
      <c r="AN570" s="1"/>
      <c r="AO570" s="8"/>
      <c r="AP570" s="1"/>
      <c r="AQ570" s="1"/>
      <c r="AR570" s="1"/>
      <c r="AS570" s="8"/>
      <c r="AT570" s="7">
        <v>0.32</v>
      </c>
      <c r="AU570">
        <v>0.51186116536458304</v>
      </c>
      <c r="AV570">
        <v>25.697737633700399</v>
      </c>
      <c r="AW570">
        <v>0.98678546582436999</v>
      </c>
      <c r="AX570">
        <v>18.789481415386302</v>
      </c>
      <c r="AY570">
        <v>29.729523955113802</v>
      </c>
      <c r="AZ570">
        <v>0.98893086218978499</v>
      </c>
      <c r="BA570" s="1">
        <v>19.558862055755601</v>
      </c>
      <c r="BB570" s="1">
        <v>10.550546884536701</v>
      </c>
      <c r="BC570" s="1">
        <v>5.87278127670288</v>
      </c>
      <c r="BD570" s="7"/>
      <c r="BE570" s="1"/>
      <c r="BF570" s="1"/>
      <c r="BG570" s="8"/>
      <c r="BH570" s="1"/>
      <c r="BI570" s="1"/>
      <c r="BJ570" s="1"/>
      <c r="BK570" s="8"/>
    </row>
    <row r="571" spans="1:63">
      <c r="A571" s="49"/>
      <c r="B571" s="7" t="s">
        <v>18</v>
      </c>
      <c r="C571" s="17">
        <v>0.25</v>
      </c>
      <c r="D571" s="7">
        <v>45</v>
      </c>
      <c r="E571">
        <v>0.22060139973958301</v>
      </c>
      <c r="F571">
        <v>24.363761209287802</v>
      </c>
      <c r="G571">
        <v>0.92943770076050303</v>
      </c>
      <c r="H571">
        <v>11.514272763632301</v>
      </c>
      <c r="I571">
        <v>27.6539313449159</v>
      </c>
      <c r="J571">
        <v>0.93942128957775395</v>
      </c>
      <c r="K571" s="8">
        <v>12.176799760091599</v>
      </c>
      <c r="L571" s="7">
        <v>42</v>
      </c>
      <c r="M571">
        <v>0.23744710286458301</v>
      </c>
      <c r="N571">
        <v>26.194802945375599</v>
      </c>
      <c r="O571">
        <v>0.94983999568653399</v>
      </c>
      <c r="P571">
        <v>12.996424348305601</v>
      </c>
      <c r="Q571">
        <v>29.6471802387073</v>
      </c>
      <c r="R571">
        <v>0.95544593798494803</v>
      </c>
      <c r="S571" s="1">
        <v>13.5111269498731</v>
      </c>
      <c r="T571" s="7"/>
      <c r="U571" s="1"/>
      <c r="V571" s="1"/>
      <c r="W571" s="8"/>
      <c r="X571" s="7"/>
      <c r="Y571" s="1"/>
      <c r="Z571" s="1"/>
      <c r="AA571" s="8"/>
      <c r="AB571" s="7">
        <v>8</v>
      </c>
      <c r="AC571">
        <v>0.67405192057291596</v>
      </c>
      <c r="AD571">
        <v>29.177996989055</v>
      </c>
      <c r="AE571">
        <v>0.98118010014953005</v>
      </c>
      <c r="AF571">
        <v>17.2538269198762</v>
      </c>
      <c r="AG571">
        <v>32.536946618607402</v>
      </c>
      <c r="AH571">
        <v>0.98406063142856004</v>
      </c>
      <c r="AI571" s="1">
        <v>17.975288869155001</v>
      </c>
      <c r="AJ571" s="1">
        <v>6.9352953433990399</v>
      </c>
      <c r="AK571" s="1">
        <v>3.4924743175506499</v>
      </c>
      <c r="AL571" s="7"/>
      <c r="AM571" s="1"/>
      <c r="AN571" s="1"/>
      <c r="AO571" s="8"/>
      <c r="AP571" s="1"/>
      <c r="AQ571" s="1"/>
      <c r="AR571" s="1"/>
      <c r="AS571" s="8"/>
      <c r="AT571" s="7">
        <v>0.16</v>
      </c>
      <c r="AU571">
        <v>0.35988362630208298</v>
      </c>
      <c r="AV571">
        <v>24.211053635625301</v>
      </c>
      <c r="AW571">
        <v>0.97945167694892499</v>
      </c>
      <c r="AX571">
        <v>16.872236151203602</v>
      </c>
      <c r="AY571">
        <v>28.313209384877698</v>
      </c>
      <c r="AZ571">
        <v>0.98240271158653103</v>
      </c>
      <c r="BA571" s="1">
        <v>17.545542479696099</v>
      </c>
      <c r="BB571" s="1">
        <v>7.0165896415710396</v>
      </c>
      <c r="BC571" s="1">
        <v>4.8358585834503103</v>
      </c>
      <c r="BD571" s="7"/>
      <c r="BE571" s="1"/>
      <c r="BF571" s="1"/>
      <c r="BG571" s="8"/>
      <c r="BH571" s="1"/>
      <c r="BI571" s="1"/>
      <c r="BJ571" s="1"/>
      <c r="BK571" s="8"/>
    </row>
    <row r="572" spans="1:63">
      <c r="A572" s="49"/>
      <c r="B572" s="7" t="s">
        <v>18</v>
      </c>
      <c r="C572" s="17">
        <v>0.12</v>
      </c>
      <c r="D572" s="7">
        <v>49</v>
      </c>
      <c r="E572">
        <v>0.11930338541666601</v>
      </c>
      <c r="F572">
        <v>22.087311193803401</v>
      </c>
      <c r="G572">
        <v>0.88827977495181698</v>
      </c>
      <c r="H572">
        <v>9.5186819813138595</v>
      </c>
      <c r="I572">
        <v>25.440018359007599</v>
      </c>
      <c r="J572">
        <v>0.90133243415137898</v>
      </c>
      <c r="K572" s="8">
        <v>10.058255858095601</v>
      </c>
      <c r="L572" s="7">
        <v>47</v>
      </c>
      <c r="M572">
        <v>0.11572265625</v>
      </c>
      <c r="N572">
        <v>23.213326453792899</v>
      </c>
      <c r="O572">
        <v>0.90676313481871995</v>
      </c>
      <c r="P572">
        <v>10.304123367962299</v>
      </c>
      <c r="Q572">
        <v>26.7846965450928</v>
      </c>
      <c r="R572">
        <v>0.91503852365462701</v>
      </c>
      <c r="S572" s="1">
        <v>10.707779496162001</v>
      </c>
      <c r="T572" s="7"/>
      <c r="U572" s="1"/>
      <c r="V572" s="1"/>
      <c r="W572" s="8"/>
      <c r="X572" s="7"/>
      <c r="Y572" s="1"/>
      <c r="Z572" s="1"/>
      <c r="AA572" s="8"/>
      <c r="AB572" s="7">
        <v>4</v>
      </c>
      <c r="AC572">
        <v>0.43117268880208298</v>
      </c>
      <c r="AD572">
        <v>27.0091238600784</v>
      </c>
      <c r="AE572">
        <v>0.96956023869258601</v>
      </c>
      <c r="AF572">
        <v>15.1655875739685</v>
      </c>
      <c r="AG572">
        <v>30.493460409006001</v>
      </c>
      <c r="AH572">
        <v>0.97364180303653403</v>
      </c>
      <c r="AI572" s="1">
        <v>15.790843010431001</v>
      </c>
      <c r="AJ572" s="1">
        <v>7.5220918655395499</v>
      </c>
      <c r="AK572" s="1">
        <v>5.2574212551116899</v>
      </c>
      <c r="AL572" s="7"/>
      <c r="AM572" s="1"/>
      <c r="AN572" s="1"/>
      <c r="AO572" s="8"/>
      <c r="AP572" s="1"/>
      <c r="AQ572" s="1"/>
      <c r="AR572" s="1"/>
      <c r="AS572" s="8"/>
      <c r="AT572" s="7">
        <v>0.08</v>
      </c>
      <c r="AU572">
        <v>0.24611409505208301</v>
      </c>
      <c r="AV572">
        <v>23.347960696210901</v>
      </c>
      <c r="AW572">
        <v>0.96881667629313295</v>
      </c>
      <c r="AX572">
        <v>15.0607759695274</v>
      </c>
      <c r="AY572">
        <v>27.309836147531701</v>
      </c>
      <c r="AZ572">
        <v>0.97295615306500705</v>
      </c>
      <c r="BA572" s="1">
        <v>15.679315307848899</v>
      </c>
      <c r="BB572" s="1">
        <v>5.4835917949676496</v>
      </c>
      <c r="BC572" s="1">
        <v>3.4023909568786599</v>
      </c>
      <c r="BD572" s="7"/>
      <c r="BE572" s="1"/>
      <c r="BF572" s="1"/>
      <c r="BG572" s="8"/>
      <c r="BH572" s="1"/>
      <c r="BI572" s="1"/>
      <c r="BJ572" s="1"/>
      <c r="BK572" s="8"/>
    </row>
    <row r="573" spans="1:63">
      <c r="A573" s="49"/>
      <c r="B573" s="7" t="s">
        <v>18</v>
      </c>
      <c r="C573" s="17">
        <v>0.06</v>
      </c>
      <c r="D573" s="7">
        <v>51</v>
      </c>
      <c r="E573">
        <v>8.48388671875E-2</v>
      </c>
      <c r="F573">
        <v>21.009756321679099</v>
      </c>
      <c r="G573">
        <v>0.85993607607523204</v>
      </c>
      <c r="H573">
        <v>8.5367371095245108</v>
      </c>
      <c r="I573">
        <v>24.416571868297702</v>
      </c>
      <c r="J573">
        <v>0.87306192764355695</v>
      </c>
      <c r="K573" s="8">
        <v>8.9640810103794895</v>
      </c>
      <c r="L573" s="7">
        <v>52</v>
      </c>
      <c r="M573">
        <v>5.3080240885416602E-2</v>
      </c>
      <c r="N573">
        <v>20.531171647231901</v>
      </c>
      <c r="O573">
        <v>0.83481714808233698</v>
      </c>
      <c r="P573">
        <v>7.8203503997014199</v>
      </c>
      <c r="Q573">
        <v>24.164623261024701</v>
      </c>
      <c r="R573">
        <v>0.845299898586509</v>
      </c>
      <c r="S573" s="1">
        <v>8.1050940159924298</v>
      </c>
      <c r="T573" s="7"/>
      <c r="U573" s="1"/>
      <c r="V573" s="1"/>
      <c r="W573" s="8"/>
      <c r="X573" s="7"/>
      <c r="Y573" s="1"/>
      <c r="Z573" s="1"/>
      <c r="AA573" s="8"/>
      <c r="AB573" s="7">
        <v>2</v>
      </c>
      <c r="AC573">
        <v>0.26312255859375</v>
      </c>
      <c r="AD573">
        <v>25.062913223639999</v>
      </c>
      <c r="AE573">
        <v>0.95212557994202796</v>
      </c>
      <c r="AF573">
        <v>13.1989647395592</v>
      </c>
      <c r="AG573">
        <v>28.647002880752801</v>
      </c>
      <c r="AH573">
        <v>0.95769177088763302</v>
      </c>
      <c r="AI573" s="1">
        <v>13.7357515247118</v>
      </c>
      <c r="AJ573" s="1">
        <v>7.1074724197387598</v>
      </c>
      <c r="AK573" s="1">
        <v>5.8028297424316397</v>
      </c>
      <c r="AL573" s="7"/>
      <c r="AM573" s="1"/>
      <c r="AN573" s="1"/>
      <c r="AO573" s="8"/>
      <c r="AP573" s="1"/>
      <c r="AQ573" s="1"/>
      <c r="AR573" s="1"/>
      <c r="AS573" s="8"/>
      <c r="AT573" s="7">
        <v>0.04</v>
      </c>
      <c r="AU573">
        <v>0.15989176432291599</v>
      </c>
      <c r="AV573">
        <v>22.3343650774408</v>
      </c>
      <c r="AW573">
        <v>0.95251970196319702</v>
      </c>
      <c r="AX573">
        <v>13.234865636152399</v>
      </c>
      <c r="AY573">
        <v>26.079715964518499</v>
      </c>
      <c r="AZ573">
        <v>0.958091739283494</v>
      </c>
      <c r="BA573" s="1">
        <v>13.777003629528</v>
      </c>
      <c r="BB573" s="1">
        <v>6.2858698368072501</v>
      </c>
      <c r="BC573" s="1">
        <v>4.3619914054870597</v>
      </c>
      <c r="BD573" s="7"/>
      <c r="BE573" s="1"/>
      <c r="BF573" s="1"/>
      <c r="BG573" s="8"/>
      <c r="BH573" s="1"/>
      <c r="BI573" s="1"/>
      <c r="BJ573" s="1"/>
      <c r="BK573" s="8"/>
    </row>
    <row r="574" spans="1:63">
      <c r="A574" s="49"/>
      <c r="B574" s="7" t="s">
        <v>117</v>
      </c>
      <c r="C574" s="17">
        <v>1.5</v>
      </c>
      <c r="D574" s="7">
        <v>20</v>
      </c>
      <c r="E574">
        <v>1.4428507486979101</v>
      </c>
      <c r="F574">
        <v>42.4851936770375</v>
      </c>
      <c r="G574">
        <v>0.993910991487025</v>
      </c>
      <c r="H574">
        <v>22.154534187628201</v>
      </c>
      <c r="I574">
        <v>45.609619746383501</v>
      </c>
      <c r="J574">
        <v>0.99657725728030599</v>
      </c>
      <c r="K574" s="8">
        <v>24.6562574462979</v>
      </c>
      <c r="L574" s="7">
        <v>18</v>
      </c>
      <c r="M574">
        <v>1.42572021484375</v>
      </c>
      <c r="N574">
        <v>42.867859375487001</v>
      </c>
      <c r="O574">
        <v>0.99446616072340499</v>
      </c>
      <c r="P574">
        <v>22.5697345854921</v>
      </c>
      <c r="Q574">
        <v>46.103955601003697</v>
      </c>
      <c r="R574">
        <v>0.99715222718147301</v>
      </c>
      <c r="S574" s="1">
        <v>25.454946595561101</v>
      </c>
      <c r="T574" s="13">
        <f>bdrate(E574:E577,F574:F577,M574:M577,N574:N577)</f>
        <v>-0.18333636353583527</v>
      </c>
      <c r="U574" s="12">
        <f>bdrate(E574:E577,H574:H577,M574:M577,P574:P577)</f>
        <v>-0.18900287027812013</v>
      </c>
      <c r="V574" s="12">
        <f>bdrate(E574:E577,I574:I577,M574:M577,Q574:Q577)</f>
        <v>-0.18962803699182529</v>
      </c>
      <c r="W574" s="14">
        <f>bdrate(E574:E577,K574:K577,M574:M577,S574:S577)</f>
        <v>-0.15625780472080131</v>
      </c>
      <c r="X574" s="13">
        <f>bdrate(E576:E579,F576:F579,M576:M579,N576:N579)</f>
        <v>-0.24555846991470831</v>
      </c>
      <c r="Y574" s="12">
        <f>bdrate(E576:E579,H576:H579,M576:M579,P576:P579)</f>
        <v>-0.25444859687419563</v>
      </c>
      <c r="Z574" s="12">
        <f>bdrate(E576:E579,I576:I579,M576:M579,Q576:Q579)</f>
        <v>-0.26643976625523336</v>
      </c>
      <c r="AA574" s="14">
        <f>bdrate(E576:E579,K576:K579,M576:M579,S576:S579)</f>
        <v>-0.19629271281472482</v>
      </c>
      <c r="AB574" s="7">
        <v>256</v>
      </c>
      <c r="AC574">
        <v>1.5047403971354101</v>
      </c>
      <c r="AD574">
        <v>43.001689596523498</v>
      </c>
      <c r="AE574">
        <v>0.99529193001397298</v>
      </c>
      <c r="AF574">
        <v>23.2715708994095</v>
      </c>
      <c r="AG574">
        <v>45.786374386861098</v>
      </c>
      <c r="AH574">
        <v>0.99698632554122801</v>
      </c>
      <c r="AI574" s="1">
        <v>25.209036625704702</v>
      </c>
      <c r="AJ574" s="1">
        <v>21.695197343826202</v>
      </c>
      <c r="AK574" s="1">
        <v>9.9070513248443604</v>
      </c>
      <c r="AL574" s="13">
        <f>bdrate(E574:E577,F574:F577,AC574:AC577,AD574:AD577)</f>
        <v>-9.361238309066211E-2</v>
      </c>
      <c r="AM574" s="12">
        <f>bdrate(E574:E577,H574:H577,AC574:AC577,AF574:AF577)</f>
        <v>-0.23828490557362569</v>
      </c>
      <c r="AN574" s="12">
        <f>bdrate(E574:E577,I574:I577,AC574:AC577,AG574:AG577)</f>
        <v>-6.190497563091546E-2</v>
      </c>
      <c r="AO574" s="14">
        <f>bdrate(E574:E577,K574:K577,AC574:AC577,AI574:AI577)</f>
        <v>-8.5013017948753378E-2</v>
      </c>
      <c r="AP574" s="12">
        <f>bdrate(E576:E579,F576:F579,AC576:AC579,AD576:AD579)</f>
        <v>-0.12941055267158252</v>
      </c>
      <c r="AQ574" s="12">
        <f>bdrate(E576:E579,H576:H579,AC576:AC579,AF576:AF579)</f>
        <v>-0.31568119619184609</v>
      </c>
      <c r="AR574" s="12">
        <f>bdrate(E576:E579,I576:I579,AC576:AC579,AG576:AG579)</f>
        <v>-0.13711786439737472</v>
      </c>
      <c r="AS574" s="14">
        <f>bdrate(E576:E579,K576:K579,AC576:AC579,AI576:AI579)</f>
        <v>-0.19866305511893401</v>
      </c>
      <c r="AT574" s="7">
        <v>6.4</v>
      </c>
      <c r="AU574">
        <v>1.5921427408854101</v>
      </c>
      <c r="AV574">
        <v>40.212104918052603</v>
      </c>
      <c r="AW574">
        <v>0.997780562524887</v>
      </c>
      <c r="AX574">
        <v>26.537570851941101</v>
      </c>
      <c r="AY574">
        <v>43.238648914828701</v>
      </c>
      <c r="AZ574">
        <v>0.99846774192907894</v>
      </c>
      <c r="BA574" s="1">
        <v>28.1466808239412</v>
      </c>
      <c r="BB574" s="1">
        <v>62.404307126998901</v>
      </c>
      <c r="BC574" s="1">
        <v>16.908330917358398</v>
      </c>
      <c r="BD574" s="13">
        <f>bdrate(E574:E577,F574:F577,AU574:AU577,AV574:AV577)</f>
        <v>1.1907890638895333</v>
      </c>
      <c r="BE574" s="12">
        <f>bdrate(E574:E577,H574:H577,AU574:AU577,AX574:AX577)</f>
        <v>-0.57859361493075356</v>
      </c>
      <c r="BF574" s="12">
        <f>bdrate(E574:E577,I574:I577,AU574:AU577,AY574:AY577)</f>
        <v>1.0782102853100626</v>
      </c>
      <c r="BG574" s="14">
        <f>bdrate(E574:E577,K574:K577,AU574:AU577,BA574:BA577)</f>
        <v>-0.49634591590702659</v>
      </c>
      <c r="BH574" s="12">
        <f>bdrate(E576:E579,F576:F579,AU576:AU579,AV576:AV579)</f>
        <v>0.39530406845879607</v>
      </c>
      <c r="BI574" s="12">
        <f>bdrate(E576:E579,H576:H579,AU576:AU579,AX576:AX579)</f>
        <v>-0.54015805144608797</v>
      </c>
      <c r="BJ574" s="12">
        <f>bdrate(E576:E579,I576:I579,AU576:AU579,AY576:AY579)</f>
        <v>0.27958991793846444</v>
      </c>
      <c r="BK574" s="14">
        <f>bdrate(E576:E579,K576:K579,AU576:AU579,BA576:BA579)</f>
        <v>-0.47379023942758314</v>
      </c>
    </row>
    <row r="575" spans="1:63">
      <c r="A575" s="49"/>
      <c r="B575" s="7" t="s">
        <v>18</v>
      </c>
      <c r="C575" s="17">
        <v>1</v>
      </c>
      <c r="D575" s="7">
        <v>23</v>
      </c>
      <c r="E575">
        <v>0.90907796223958304</v>
      </c>
      <c r="F575">
        <v>40.7948251486009</v>
      </c>
      <c r="G575">
        <v>0.991298644233917</v>
      </c>
      <c r="H575">
        <v>20.604130742945902</v>
      </c>
      <c r="I575">
        <v>43.816974400565201</v>
      </c>
      <c r="J575">
        <v>0.99416288208108605</v>
      </c>
      <c r="K575" s="8">
        <v>22.338015331732599</v>
      </c>
      <c r="L575" s="7">
        <v>20</v>
      </c>
      <c r="M575">
        <v>0.966064453125</v>
      </c>
      <c r="N575">
        <v>41.441146000122899</v>
      </c>
      <c r="O575">
        <v>0.99234091819569703</v>
      </c>
      <c r="P575">
        <v>21.158232918852001</v>
      </c>
      <c r="Q575">
        <v>44.523293271736399</v>
      </c>
      <c r="R575">
        <v>0.995143323997419</v>
      </c>
      <c r="S575" s="1">
        <v>23.136608681112499</v>
      </c>
      <c r="T575" s="7"/>
      <c r="U575" s="1"/>
      <c r="V575" s="1"/>
      <c r="W575" s="8"/>
      <c r="X575" s="7"/>
      <c r="Y575" s="1"/>
      <c r="Z575" s="1"/>
      <c r="AA575" s="8"/>
      <c r="AB575" s="7">
        <v>128</v>
      </c>
      <c r="AC575">
        <v>0.90456136067708304</v>
      </c>
      <c r="AD575">
        <v>41.1193250020657</v>
      </c>
      <c r="AE575">
        <v>0.99249847054085205</v>
      </c>
      <c r="AF575">
        <v>21.248501808817402</v>
      </c>
      <c r="AG575">
        <v>43.937107004448798</v>
      </c>
      <c r="AH575">
        <v>0.99441068948262401</v>
      </c>
      <c r="AI575" s="1">
        <v>22.526417622329401</v>
      </c>
      <c r="AJ575" s="1">
        <v>38.607524156570399</v>
      </c>
      <c r="AK575" s="1">
        <v>15.8990323543548</v>
      </c>
      <c r="AL575" s="7"/>
      <c r="AM575" s="1"/>
      <c r="AN575" s="1"/>
      <c r="AO575" s="8"/>
      <c r="AP575" s="1"/>
      <c r="AQ575" s="1"/>
      <c r="AR575" s="1"/>
      <c r="AS575" s="8"/>
      <c r="AT575" s="7">
        <v>3.2</v>
      </c>
      <c r="AU575">
        <v>1.0366007486979101</v>
      </c>
      <c r="AV575">
        <v>38.165694369023598</v>
      </c>
      <c r="AW575">
        <v>0.99653295744463199</v>
      </c>
      <c r="AX575">
        <v>24.6004082766929</v>
      </c>
      <c r="AY575">
        <v>41.355652662687397</v>
      </c>
      <c r="AZ575">
        <v>0.99753087917092798</v>
      </c>
      <c r="BA575" s="1">
        <v>26.074576568826199</v>
      </c>
      <c r="BB575" s="1">
        <v>43.485262870788503</v>
      </c>
      <c r="BC575" s="1">
        <v>16.190675973892201</v>
      </c>
      <c r="BD575" s="7"/>
      <c r="BE575" s="1"/>
      <c r="BF575" s="1"/>
      <c r="BG575" s="8"/>
      <c r="BH575" s="1"/>
      <c r="BI575" s="1"/>
      <c r="BJ575" s="1"/>
      <c r="BK575" s="8"/>
    </row>
    <row r="576" spans="1:63">
      <c r="A576" s="49"/>
      <c r="B576" s="7" t="s">
        <v>18</v>
      </c>
      <c r="C576" s="17">
        <v>0.5</v>
      </c>
      <c r="D576" s="7">
        <v>29</v>
      </c>
      <c r="E576">
        <v>0.48689778645833298</v>
      </c>
      <c r="F576">
        <v>38.203744750954002</v>
      </c>
      <c r="G576">
        <v>0.98709081159708401</v>
      </c>
      <c r="H576">
        <v>18.891010608485999</v>
      </c>
      <c r="I576">
        <v>41.2247579614926</v>
      </c>
      <c r="J576">
        <v>0.99098826478284796</v>
      </c>
      <c r="K576" s="8">
        <v>20.451915772033399</v>
      </c>
      <c r="L576" s="7">
        <v>26</v>
      </c>
      <c r="M576">
        <v>0.47981770833333298</v>
      </c>
      <c r="N576">
        <v>39.120334591026399</v>
      </c>
      <c r="O576">
        <v>0.98887944223826196</v>
      </c>
      <c r="P576">
        <v>19.538734297710501</v>
      </c>
      <c r="Q576">
        <v>42.166898449685199</v>
      </c>
      <c r="R576">
        <v>0.99204384319658101</v>
      </c>
      <c r="S576" s="1">
        <v>20.9929666619763</v>
      </c>
      <c r="T576" s="7"/>
      <c r="U576" s="1"/>
      <c r="V576" s="1"/>
      <c r="W576" s="8"/>
      <c r="X576" s="7"/>
      <c r="Y576" s="1"/>
      <c r="Z576" s="1"/>
      <c r="AA576" s="8"/>
      <c r="AB576" s="7">
        <v>32</v>
      </c>
      <c r="AC576">
        <v>0.46181233723958298</v>
      </c>
      <c r="AD576">
        <v>38.382043939456103</v>
      </c>
      <c r="AE576">
        <v>0.988918835545196</v>
      </c>
      <c r="AF576">
        <v>19.554145997408401</v>
      </c>
      <c r="AG576">
        <v>41.282739548831501</v>
      </c>
      <c r="AH576">
        <v>0.99127770399358595</v>
      </c>
      <c r="AI576" s="1">
        <v>20.593691788674899</v>
      </c>
      <c r="AJ576" s="1">
        <v>7.5111439228057799</v>
      </c>
      <c r="AK576" s="1">
        <v>3.8283133506774898</v>
      </c>
      <c r="AL576" s="7"/>
      <c r="AM576" s="1"/>
      <c r="AN576" s="1"/>
      <c r="AO576" s="8"/>
      <c r="AP576" s="1"/>
      <c r="AQ576" s="1"/>
      <c r="AR576" s="1"/>
      <c r="AS576" s="8"/>
      <c r="AT576" s="7">
        <v>0.64</v>
      </c>
      <c r="AU576">
        <v>0.42234293619791602</v>
      </c>
      <c r="AV576">
        <v>34.0190823994851</v>
      </c>
      <c r="AW576">
        <v>0.99189836558761302</v>
      </c>
      <c r="AX576">
        <v>20.914273583217199</v>
      </c>
      <c r="AY576">
        <v>37.555141181897397</v>
      </c>
      <c r="AZ576">
        <v>0.99391131930378396</v>
      </c>
      <c r="BA576" s="1">
        <v>22.154768007045199</v>
      </c>
      <c r="BB576" s="1">
        <v>10.6885914802551</v>
      </c>
      <c r="BC576" s="1">
        <v>5.3922972679138104</v>
      </c>
      <c r="BD576" s="7"/>
      <c r="BE576" s="1"/>
      <c r="BF576" s="1"/>
      <c r="BG576" s="8"/>
      <c r="BH576" s="1"/>
      <c r="BI576" s="1"/>
      <c r="BJ576" s="1"/>
      <c r="BK576" s="8"/>
    </row>
    <row r="577" spans="1:63">
      <c r="A577" s="49"/>
      <c r="B577" s="7" t="s">
        <v>18</v>
      </c>
      <c r="C577" s="17">
        <v>0.25</v>
      </c>
      <c r="D577" s="7">
        <v>35</v>
      </c>
      <c r="E577">
        <v>0.24540201822916599</v>
      </c>
      <c r="F577">
        <v>34.914914251388304</v>
      </c>
      <c r="G577">
        <v>0.97834910937040098</v>
      </c>
      <c r="H577">
        <v>16.645242338342001</v>
      </c>
      <c r="I577">
        <v>37.964711206986799</v>
      </c>
      <c r="J577">
        <v>0.98368483060820699</v>
      </c>
      <c r="K577" s="8">
        <v>17.874084128023199</v>
      </c>
      <c r="L577" s="7">
        <v>33</v>
      </c>
      <c r="M577">
        <v>0.22349039713541599</v>
      </c>
      <c r="N577">
        <v>35.804366993604198</v>
      </c>
      <c r="O577">
        <v>0.98164065160941205</v>
      </c>
      <c r="P577">
        <v>17.361427368272501</v>
      </c>
      <c r="Q577">
        <v>38.931545716682201</v>
      </c>
      <c r="R577">
        <v>0.98551757279349195</v>
      </c>
      <c r="S577" s="1">
        <v>18.391586457318098</v>
      </c>
      <c r="T577" s="7"/>
      <c r="U577" s="1"/>
      <c r="V577" s="1"/>
      <c r="W577" s="8"/>
      <c r="X577" s="7"/>
      <c r="Y577" s="1"/>
      <c r="Z577" s="1"/>
      <c r="AA577" s="8"/>
      <c r="AB577" s="7">
        <v>8</v>
      </c>
      <c r="AC577">
        <v>0.22259521484375</v>
      </c>
      <c r="AD577">
        <v>35.058906106779403</v>
      </c>
      <c r="AE577">
        <v>0.98242921490108903</v>
      </c>
      <c r="AF577">
        <v>17.552088328981601</v>
      </c>
      <c r="AG577">
        <v>38.159755323682496</v>
      </c>
      <c r="AH577">
        <v>0.98531056177410403</v>
      </c>
      <c r="AI577" s="1">
        <v>18.3299481279102</v>
      </c>
      <c r="AJ577" s="1">
        <v>6.2956035137176496</v>
      </c>
      <c r="AK577" s="1">
        <v>3.70450568199157</v>
      </c>
      <c r="AL577" s="7"/>
      <c r="AM577" s="1"/>
      <c r="AN577" s="1"/>
      <c r="AO577" s="8"/>
      <c r="AP577" s="1"/>
      <c r="AQ577" s="1"/>
      <c r="AR577" s="1"/>
      <c r="AS577" s="8"/>
      <c r="AT577" s="7">
        <v>0.32</v>
      </c>
      <c r="AU577">
        <v>0.25718180338541602</v>
      </c>
      <c r="AV577">
        <v>33.211648267992999</v>
      </c>
      <c r="AW577">
        <v>0.98857536817350899</v>
      </c>
      <c r="AX577">
        <v>19.4215778673295</v>
      </c>
      <c r="AY577">
        <v>36.703653478407901</v>
      </c>
      <c r="AZ577">
        <v>0.99092951758725401</v>
      </c>
      <c r="BA577" s="1">
        <v>20.423696144148899</v>
      </c>
      <c r="BB577" s="1">
        <v>9.3973739147186208</v>
      </c>
      <c r="BC577" s="1">
        <v>6.6929671764373699</v>
      </c>
      <c r="BD577" s="7"/>
      <c r="BE577" s="1"/>
      <c r="BF577" s="1"/>
      <c r="BG577" s="8"/>
      <c r="BH577" s="1"/>
      <c r="BI577" s="1"/>
      <c r="BJ577" s="1"/>
      <c r="BK577" s="8"/>
    </row>
    <row r="578" spans="1:63">
      <c r="A578" s="49"/>
      <c r="B578" s="7" t="s">
        <v>18</v>
      </c>
      <c r="C578" s="17">
        <v>0.12</v>
      </c>
      <c r="D578" s="7">
        <v>41</v>
      </c>
      <c r="E578">
        <v>0.10978190104166601</v>
      </c>
      <c r="F578">
        <v>31.428940257043099</v>
      </c>
      <c r="G578">
        <v>0.95906483803815201</v>
      </c>
      <c r="H578">
        <v>13.879034869649701</v>
      </c>
      <c r="I578">
        <v>34.515516431102903</v>
      </c>
      <c r="J578">
        <v>0.96644011610235103</v>
      </c>
      <c r="K578" s="8">
        <v>14.7417955030751</v>
      </c>
      <c r="L578" s="7">
        <v>38</v>
      </c>
      <c r="M578">
        <v>0.119588216145833</v>
      </c>
      <c r="N578">
        <v>32.979748960168003</v>
      </c>
      <c r="O578">
        <v>0.96985660004097796</v>
      </c>
      <c r="P578">
        <v>15.2080776396018</v>
      </c>
      <c r="Q578">
        <v>36.1960136053642</v>
      </c>
      <c r="R578">
        <v>0.97449299627085795</v>
      </c>
      <c r="S578" s="1">
        <v>15.933405543390901</v>
      </c>
      <c r="T578" s="7"/>
      <c r="U578" s="1"/>
      <c r="V578" s="1"/>
      <c r="W578" s="8"/>
      <c r="X578" s="7"/>
      <c r="Y578" s="1"/>
      <c r="Z578" s="1"/>
      <c r="AA578" s="8"/>
      <c r="AB578" s="7">
        <v>4</v>
      </c>
      <c r="AC578">
        <v>0.14711507161458301</v>
      </c>
      <c r="AD578">
        <v>33.425019192967802</v>
      </c>
      <c r="AE578">
        <v>0.97649640330828902</v>
      </c>
      <c r="AF578">
        <v>16.288656737350301</v>
      </c>
      <c r="AG578">
        <v>36.561330757009102</v>
      </c>
      <c r="AH578">
        <v>0.97971485268910397</v>
      </c>
      <c r="AI578" s="1">
        <v>16.928218340983399</v>
      </c>
      <c r="AJ578" s="1">
        <v>7.8140962123870796</v>
      </c>
      <c r="AK578" s="1">
        <v>4.80734992027282</v>
      </c>
      <c r="AL578" s="7"/>
      <c r="AM578" s="1"/>
      <c r="AN578" s="1"/>
      <c r="AO578" s="8"/>
      <c r="AP578" s="1"/>
      <c r="AQ578" s="1"/>
      <c r="AR578" s="1"/>
      <c r="AS578" s="8"/>
      <c r="AT578" s="7">
        <v>0.08</v>
      </c>
      <c r="AU578">
        <v>0.12017822265625</v>
      </c>
      <c r="AV578">
        <v>30.799665329598501</v>
      </c>
      <c r="AW578">
        <v>0.97934306815179695</v>
      </c>
      <c r="AX578">
        <v>16.849341833171898</v>
      </c>
      <c r="AY578">
        <v>34.217423406984103</v>
      </c>
      <c r="AZ578">
        <v>0.98268186227357901</v>
      </c>
      <c r="BA578" s="1">
        <v>17.6149881085347</v>
      </c>
      <c r="BB578" s="1">
        <v>5.6012303829193097</v>
      </c>
      <c r="BC578" s="1">
        <v>3.3465158939361501</v>
      </c>
      <c r="BD578" s="7"/>
      <c r="BE578" s="1"/>
      <c r="BF578" s="1"/>
      <c r="BG578" s="8"/>
      <c r="BH578" s="1"/>
      <c r="BI578" s="1"/>
      <c r="BJ578" s="1"/>
      <c r="BK578" s="8"/>
    </row>
    <row r="579" spans="1:63" ht="15" thickBot="1">
      <c r="A579" s="50"/>
      <c r="B579" s="9" t="s">
        <v>18</v>
      </c>
      <c r="C579" s="18">
        <v>0.06</v>
      </c>
      <c r="D579" s="9">
        <v>46</v>
      </c>
      <c r="E579" s="10">
        <v>5.2897135416666602E-2</v>
      </c>
      <c r="F579" s="10">
        <v>28.767637339507701</v>
      </c>
      <c r="G579" s="10">
        <v>0.92753109418441304</v>
      </c>
      <c r="H579" s="10">
        <v>11.398482959031901</v>
      </c>
      <c r="I579" s="10">
        <v>31.9013609991053</v>
      </c>
      <c r="J579" s="10">
        <v>0.93681856832084498</v>
      </c>
      <c r="K579" s="11">
        <v>11.9941053728949</v>
      </c>
      <c r="L579" s="9">
        <v>44</v>
      </c>
      <c r="M579" s="10">
        <v>5.2530924479166602E-2</v>
      </c>
      <c r="N579" s="10">
        <v>29.742413545206102</v>
      </c>
      <c r="O579" s="10">
        <v>0.94079541962383895</v>
      </c>
      <c r="P579" s="10">
        <v>12.276446926834801</v>
      </c>
      <c r="Q579" s="10">
        <v>32.998519204444001</v>
      </c>
      <c r="R579" s="10">
        <v>0.94685706312533302</v>
      </c>
      <c r="S579" s="10">
        <v>12.745544485479201</v>
      </c>
      <c r="T579" s="9"/>
      <c r="U579" s="10"/>
      <c r="V579" s="10"/>
      <c r="W579" s="11"/>
      <c r="X579" s="9"/>
      <c r="Y579" s="10"/>
      <c r="Z579" s="10"/>
      <c r="AA579" s="11"/>
      <c r="AB579" s="9">
        <v>2</v>
      </c>
      <c r="AC579" s="10">
        <v>9.527587890625E-2</v>
      </c>
      <c r="AD579" s="10">
        <v>31.516153826184201</v>
      </c>
      <c r="AE579" s="10">
        <v>0.96636374105741196</v>
      </c>
      <c r="AF579" s="10">
        <v>14.7319231284257</v>
      </c>
      <c r="AG579" s="10">
        <v>34.763005087137202</v>
      </c>
      <c r="AH579" s="10">
        <v>0.97012298547673903</v>
      </c>
      <c r="AI579" s="10">
        <v>15.246628017981401</v>
      </c>
      <c r="AJ579" s="10">
        <v>7.3688693046569798</v>
      </c>
      <c r="AK579" s="10">
        <v>5.23947978019714</v>
      </c>
      <c r="AL579" s="9"/>
      <c r="AM579" s="10"/>
      <c r="AN579" s="10"/>
      <c r="AO579" s="11"/>
      <c r="AP579" s="10"/>
      <c r="AQ579" s="10"/>
      <c r="AR579" s="10"/>
      <c r="AS579" s="11"/>
      <c r="AT579" s="9">
        <v>0.04</v>
      </c>
      <c r="AU579" s="10">
        <v>8.3597819010416602E-2</v>
      </c>
      <c r="AV579" s="10">
        <v>29.4236471456591</v>
      </c>
      <c r="AW579" s="10">
        <v>0.97154911995660498</v>
      </c>
      <c r="AX579" s="10">
        <v>15.4590429545243</v>
      </c>
      <c r="AY579" s="10">
        <v>32.662256683908502</v>
      </c>
      <c r="AZ579" s="10">
        <v>0.97587465640720605</v>
      </c>
      <c r="BA579" s="10">
        <v>16.1752649272441</v>
      </c>
      <c r="BB579" s="10">
        <v>6.2635631561279297</v>
      </c>
      <c r="BC579" s="10">
        <v>4.5233631134033203</v>
      </c>
      <c r="BD579" s="9"/>
      <c r="BE579" s="10"/>
      <c r="BF579" s="10"/>
      <c r="BG579" s="11"/>
      <c r="BH579" s="10"/>
      <c r="BI579" s="10"/>
      <c r="BJ579" s="10"/>
      <c r="BK579" s="11"/>
    </row>
    <row r="583" spans="1:63" ht="15" thickBot="1">
      <c r="A583" s="51" t="s">
        <v>119</v>
      </c>
      <c r="B583" s="52"/>
      <c r="C583" s="52"/>
      <c r="D583" s="52"/>
      <c r="E583" s="52"/>
      <c r="F583" s="52"/>
      <c r="G583" s="52"/>
      <c r="H583" s="52"/>
      <c r="I583" s="52"/>
      <c r="J583" s="52"/>
    </row>
    <row r="584" spans="1:63">
      <c r="A584" s="27"/>
      <c r="C584" s="45" t="s">
        <v>5</v>
      </c>
      <c r="D584" s="46"/>
      <c r="E584" s="46"/>
      <c r="F584" s="47"/>
      <c r="G584" s="45" t="s">
        <v>6</v>
      </c>
      <c r="H584" s="46"/>
      <c r="I584" s="46"/>
      <c r="J584" s="47"/>
    </row>
    <row r="585" spans="1:63" ht="15" thickBot="1">
      <c r="A585" t="s">
        <v>234</v>
      </c>
      <c r="B585" s="37" t="s">
        <v>120</v>
      </c>
      <c r="C585" s="4" t="s">
        <v>10</v>
      </c>
      <c r="D585" s="3" t="s">
        <v>11</v>
      </c>
      <c r="E585" s="3" t="s">
        <v>13</v>
      </c>
      <c r="F585" s="6" t="s">
        <v>14</v>
      </c>
      <c r="G585" s="4" t="s">
        <v>10</v>
      </c>
      <c r="H585" s="3" t="s">
        <v>11</v>
      </c>
      <c r="I585" s="3" t="s">
        <v>13</v>
      </c>
      <c r="J585" s="6" t="s">
        <v>14</v>
      </c>
    </row>
    <row r="586" spans="1:63">
      <c r="A586" s="48" t="s">
        <v>126</v>
      </c>
      <c r="B586" s="15" t="s">
        <v>121</v>
      </c>
      <c r="C586" s="34">
        <f>AVERAGE(T4:T147)</f>
        <v>-0.15051528407870715</v>
      </c>
      <c r="D586" s="28">
        <f t="shared" ref="D586:F586" si="0">AVERAGE(U4:U147)</f>
        <v>-0.15983582038356034</v>
      </c>
      <c r="E586" s="28">
        <f t="shared" si="0"/>
        <v>-0.15854289285737144</v>
      </c>
      <c r="F586" s="29">
        <f t="shared" si="0"/>
        <v>-0.13092346780042166</v>
      </c>
      <c r="G586" s="28">
        <f>AVERAGE(X4:X147)</f>
        <v>-0.23613007588382098</v>
      </c>
      <c r="H586" s="28">
        <f>AVERAGE(Y4:Y147)</f>
        <v>-0.23145223065501555</v>
      </c>
      <c r="I586" s="28">
        <f>AVERAGE(Z4:Z147)</f>
        <v>-0.25123663734575763</v>
      </c>
      <c r="J586" s="29">
        <f>AVERAGE(AA4:AA147)</f>
        <v>-0.18951653712929506</v>
      </c>
    </row>
    <row r="587" spans="1:63">
      <c r="A587" s="49"/>
      <c r="B587" s="7" t="s">
        <v>122</v>
      </c>
      <c r="C587" s="35">
        <f>AVERAGE(T148:T291)</f>
        <v>-0.15260581639051526</v>
      </c>
      <c r="D587" s="30">
        <f t="shared" ref="D587:F587" si="1">AVERAGE(U148:U291)</f>
        <v>-0.17217682847822649</v>
      </c>
      <c r="E587" s="30">
        <f t="shared" si="1"/>
        <v>-0.15901382773724101</v>
      </c>
      <c r="F587" s="31">
        <f t="shared" si="1"/>
        <v>-0.13629938163752134</v>
      </c>
      <c r="G587" s="30">
        <f>AVERAGE(X148:X291)</f>
        <v>-0.23698408981397048</v>
      </c>
      <c r="H587" s="30">
        <f>AVERAGE(Y148:Y291)</f>
        <v>-0.24662214324028039</v>
      </c>
      <c r="I587" s="30">
        <f>AVERAGE(Z148:Z291)</f>
        <v>-0.2532872185895394</v>
      </c>
      <c r="J587" s="31">
        <f>AVERAGE(AA148:AA291)</f>
        <v>-0.1875768383879948</v>
      </c>
    </row>
    <row r="588" spans="1:63">
      <c r="A588" s="49"/>
      <c r="B588" s="7" t="s">
        <v>123</v>
      </c>
      <c r="C588" s="35">
        <f>AVERAGE(T292:T435)</f>
        <v>-0.22365807697689921</v>
      </c>
      <c r="D588" s="30">
        <f t="shared" ref="D588:F588" si="2">AVERAGE(U292:U435)</f>
        <v>-0.2406430391074624</v>
      </c>
      <c r="E588" s="30">
        <f t="shared" si="2"/>
        <v>-0.2259489548592514</v>
      </c>
      <c r="F588" s="31">
        <f t="shared" si="2"/>
        <v>-0.18883375486526358</v>
      </c>
      <c r="G588" s="30">
        <f>AVERAGE(X292:X435)</f>
        <v>-0.28821259776667191</v>
      </c>
      <c r="H588" s="30">
        <f>AVERAGE(Y292:Y435)</f>
        <v>-0.28162159394487529</v>
      </c>
      <c r="I588" s="30">
        <f>AVERAGE(Z292:Z435)</f>
        <v>-0.29566031059670045</v>
      </c>
      <c r="J588" s="31">
        <f>AVERAGE(AA292:AA435)</f>
        <v>-0.22831835371345163</v>
      </c>
    </row>
    <row r="589" spans="1:63" ht="15" thickBot="1">
      <c r="A589" s="49"/>
      <c r="B589" s="7" t="s">
        <v>124</v>
      </c>
      <c r="C589" s="35">
        <f>AVERAGE(T436:T579)</f>
        <v>-0.1901407326351896</v>
      </c>
      <c r="D589" s="30">
        <f t="shared" ref="D589:F589" si="3">AVERAGE(U436:U579)</f>
        <v>-0.18251254025701233</v>
      </c>
      <c r="E589" s="30">
        <f t="shared" si="3"/>
        <v>-0.20438102895648849</v>
      </c>
      <c r="F589" s="31">
        <f t="shared" si="3"/>
        <v>-0.14624613669066469</v>
      </c>
      <c r="G589" s="30">
        <f>AVERAGE(X436:X579)</f>
        <v>-0.23537128860027057</v>
      </c>
      <c r="H589" s="30">
        <f>AVERAGE(Y436:Y579)</f>
        <v>-0.20664713652042752</v>
      </c>
      <c r="I589" s="30">
        <f>AVERAGE(Z436:Z579)</f>
        <v>-0.27037984624076833</v>
      </c>
      <c r="J589" s="31">
        <f>AVERAGE(AA436:AA579)</f>
        <v>-0.16044845770641267</v>
      </c>
    </row>
    <row r="590" spans="1:63" ht="15" thickBot="1">
      <c r="A590" s="50"/>
      <c r="B590" s="38" t="s">
        <v>125</v>
      </c>
      <c r="C590" s="39">
        <f>AVERAGE(T4:T579)</f>
        <v>-0.17922997752032788</v>
      </c>
      <c r="D590" s="40">
        <f t="shared" ref="D590:F590" si="4">AVERAGE(U4:U579)</f>
        <v>-0.18879205705656543</v>
      </c>
      <c r="E590" s="40">
        <f t="shared" si="4"/>
        <v>-0.18697167610258805</v>
      </c>
      <c r="F590" s="41">
        <f t="shared" si="4"/>
        <v>-0.15057568524846787</v>
      </c>
      <c r="G590" s="40">
        <f>AVERAGE(X4:X579)</f>
        <v>-0.24917451301618346</v>
      </c>
      <c r="H590" s="40">
        <f>AVERAGE(Y4:Y579)</f>
        <v>-0.24158577609014956</v>
      </c>
      <c r="I590" s="40">
        <f>AVERAGE(Z4:Z579)</f>
        <v>-0.26764100319319162</v>
      </c>
      <c r="J590" s="41">
        <f>AVERAGE(AA4:AA579)</f>
        <v>-0.19146504673428855</v>
      </c>
    </row>
    <row r="591" spans="1:63">
      <c r="A591" s="48" t="s">
        <v>130</v>
      </c>
      <c r="B591" s="15" t="s">
        <v>121</v>
      </c>
      <c r="C591" s="34">
        <f>AVERAGE(AL4:AL147)</f>
        <v>-0.18742336793790859</v>
      </c>
      <c r="D591" s="28">
        <f>AVERAGE(AM4:AM147)</f>
        <v>-0.2598710419047548</v>
      </c>
      <c r="E591" s="28">
        <f t="shared" ref="E591:F591" si="5">AVERAGE(AN4:AN147)</f>
        <v>-0.16004836858299065</v>
      </c>
      <c r="F591" s="28">
        <f t="shared" si="5"/>
        <v>-0.1690836173687921</v>
      </c>
      <c r="G591" s="34">
        <f>AVERAGE(AP4:AP147)</f>
        <v>-0.19628168194356718</v>
      </c>
      <c r="H591" s="28">
        <f>AVERAGE(AQ4:AQ147)</f>
        <v>-0.26707390811466253</v>
      </c>
      <c r="I591" s="28">
        <f>AVERAGE(AR4:AR147)</f>
        <v>-0.17193732946575735</v>
      </c>
      <c r="J591" s="29">
        <f>AVERAGE(AS4:AS147)</f>
        <v>-0.18664805589123581</v>
      </c>
    </row>
    <row r="592" spans="1:63">
      <c r="A592" s="49"/>
      <c r="B592" s="7" t="s">
        <v>122</v>
      </c>
      <c r="C592" s="35">
        <f>AVERAGE(AL148:AL291)</f>
        <v>-0.17268515886130253</v>
      </c>
      <c r="D592" s="30">
        <f t="shared" ref="D592:F592" si="6">AVERAGE(AM148:AM291)</f>
        <v>-0.26383641491033044</v>
      </c>
      <c r="E592" s="30">
        <f t="shared" si="6"/>
        <v>-0.14477673801097746</v>
      </c>
      <c r="F592" s="30">
        <f t="shared" si="6"/>
        <v>-0.17729490489544161</v>
      </c>
      <c r="G592" s="35">
        <f>AVERAGE(AP148:AP291)</f>
        <v>-0.18946167556902638</v>
      </c>
      <c r="H592" s="30">
        <f>AVERAGE(AQ148:AQ291)</f>
        <v>-0.28781165769524703</v>
      </c>
      <c r="I592" s="30">
        <f>AVERAGE(AR148:AR291)</f>
        <v>-0.18720746784174938</v>
      </c>
      <c r="J592" s="31">
        <f>AVERAGE(AS148:AS291)</f>
        <v>-0.19190458077855221</v>
      </c>
    </row>
    <row r="593" spans="1:10">
      <c r="A593" s="49"/>
      <c r="B593" s="7" t="s">
        <v>123</v>
      </c>
      <c r="C593" s="35">
        <f>AVERAGE(AL292:AL435)</f>
        <v>-0.19199514036329249</v>
      </c>
      <c r="D593" s="30">
        <f t="shared" ref="D593:F593" si="7">AVERAGE(AM292:AM435)</f>
        <v>-0.3120159623892334</v>
      </c>
      <c r="E593" s="30">
        <f t="shared" si="7"/>
        <v>-0.12537891170552273</v>
      </c>
      <c r="F593" s="30">
        <f t="shared" si="7"/>
        <v>-0.21034293147411454</v>
      </c>
      <c r="G593" s="35">
        <f>AVERAGE(AP292:AP435)</f>
        <v>-0.20454874928303379</v>
      </c>
      <c r="H593" s="30">
        <f>AVERAGE(AQ292:AQ435)</f>
        <v>-0.32212368269392727</v>
      </c>
      <c r="I593" s="30">
        <f>AVERAGE(AR292:AR435)</f>
        <v>-0.16255700400135578</v>
      </c>
      <c r="J593" s="31">
        <f>AVERAGE(AS292:AS435)</f>
        <v>-0.23174236073394852</v>
      </c>
    </row>
    <row r="594" spans="1:10" ht="15" thickBot="1">
      <c r="A594" s="49"/>
      <c r="B594" s="7" t="s">
        <v>124</v>
      </c>
      <c r="C594" s="35">
        <f>AVERAGE(AL436:AL579)</f>
        <v>-4.2185776625289655E-2</v>
      </c>
      <c r="D594" s="30">
        <f t="shared" ref="D594:F594" si="8">AVERAGE(AM436:AM579)</f>
        <v>-0.21508377079412078</v>
      </c>
      <c r="E594" s="30">
        <f t="shared" si="8"/>
        <v>-2.6253437175380191E-2</v>
      </c>
      <c r="F594" s="30">
        <f t="shared" si="8"/>
        <v>-0.13984309942685957</v>
      </c>
      <c r="G594" s="35">
        <f>AVERAGE(AP436:AP579)</f>
        <v>-7.3007900876624385E-2</v>
      </c>
      <c r="H594" s="30">
        <f>AVERAGE(AQ436:AQ579)</f>
        <v>-0.27701641615767542</v>
      </c>
      <c r="I594" s="30">
        <f>AVERAGE(AR436:AR579)</f>
        <v>-9.8347429687569154E-2</v>
      </c>
      <c r="J594" s="31">
        <f>AVERAGE(AS436:AS579)</f>
        <v>-0.21754278769921634</v>
      </c>
    </row>
    <row r="595" spans="1:10" ht="15" thickBot="1">
      <c r="A595" s="50"/>
      <c r="B595" s="38" t="s">
        <v>125</v>
      </c>
      <c r="C595" s="34">
        <f t="shared" ref="C595:J595" si="9">AVERAGE(AL4:AL579)</f>
        <v>-0.14857236094694831</v>
      </c>
      <c r="D595" s="28">
        <f t="shared" si="9"/>
        <v>-0.26270179749960992</v>
      </c>
      <c r="E595" s="28">
        <f t="shared" si="9"/>
        <v>-0.11411436386871777</v>
      </c>
      <c r="F595" s="28">
        <f t="shared" si="9"/>
        <v>-0.17414113829130193</v>
      </c>
      <c r="G595" s="34">
        <f t="shared" si="9"/>
        <v>-0.16582500191806293</v>
      </c>
      <c r="H595" s="28">
        <f t="shared" si="9"/>
        <v>-0.28850641616537798</v>
      </c>
      <c r="I595" s="28">
        <f t="shared" si="9"/>
        <v>-0.15501230774910799</v>
      </c>
      <c r="J595" s="29">
        <f t="shared" si="9"/>
        <v>-0.20695944627573826</v>
      </c>
    </row>
    <row r="596" spans="1:10">
      <c r="A596" s="48" t="s">
        <v>131</v>
      </c>
      <c r="B596" s="15" t="s">
        <v>121</v>
      </c>
      <c r="C596" s="34">
        <f>AVERAGE(BD4:BD147)</f>
        <v>0.32449362997027825</v>
      </c>
      <c r="D596" s="28">
        <f t="shared" ref="D596:J596" si="10">AVERAGE(BE4:BE147)</f>
        <v>-0.5367948180057035</v>
      </c>
      <c r="E596" s="28">
        <f t="shared" si="10"/>
        <v>0.3305705188952438</v>
      </c>
      <c r="F596" s="29">
        <f t="shared" si="10"/>
        <v>-0.46922489634159015</v>
      </c>
      <c r="G596" s="28">
        <f t="shared" si="10"/>
        <v>0.27878598238818725</v>
      </c>
      <c r="H596" s="28">
        <f t="shared" si="10"/>
        <v>-0.50069296185930234</v>
      </c>
      <c r="I596" s="28">
        <f t="shared" si="10"/>
        <v>0.33505604750491197</v>
      </c>
      <c r="J596" s="29">
        <f t="shared" si="10"/>
        <v>-0.45599492982213835</v>
      </c>
    </row>
    <row r="597" spans="1:10">
      <c r="A597" s="49"/>
      <c r="B597" s="7" t="s">
        <v>122</v>
      </c>
      <c r="C597" s="35">
        <f>AVERAGE(BD148:BD291)</f>
        <v>0.37113094118941131</v>
      </c>
      <c r="D597" s="30">
        <f t="shared" ref="D597:J597" si="11">AVERAGE(BE148:BE291)</f>
        <v>-0.54231809627644201</v>
      </c>
      <c r="E597" s="30">
        <f t="shared" si="11"/>
        <v>0.3726930214587727</v>
      </c>
      <c r="F597" s="31">
        <f t="shared" si="11"/>
        <v>-0.47607001077283745</v>
      </c>
      <c r="G597" s="30">
        <f t="shared" si="11"/>
        <v>0.37213015146302036</v>
      </c>
      <c r="H597" s="30">
        <f t="shared" si="11"/>
        <v>-0.51363491693033225</v>
      </c>
      <c r="I597" s="30">
        <f t="shared" si="11"/>
        <v>0.40751246613329889</v>
      </c>
      <c r="J597" s="31">
        <f t="shared" si="11"/>
        <v>-0.45306467022798258</v>
      </c>
    </row>
    <row r="598" spans="1:10">
      <c r="A598" s="49"/>
      <c r="B598" s="7" t="s">
        <v>123</v>
      </c>
      <c r="C598" s="35">
        <f>AVERAGE(BD292:BD435)</f>
        <v>0.38208418390407922</v>
      </c>
      <c r="D598" s="30">
        <f t="shared" ref="D598:J598" si="12">AVERAGE(BE292:BE435)</f>
        <v>-0.58333636338793005</v>
      </c>
      <c r="E598" s="30">
        <f t="shared" si="12"/>
        <v>0.52657191282230942</v>
      </c>
      <c r="F598" s="31">
        <f t="shared" si="12"/>
        <v>-0.48674710616461808</v>
      </c>
      <c r="G598" s="30">
        <f t="shared" si="12"/>
        <v>0.25454704522635152</v>
      </c>
      <c r="H598" s="30">
        <f t="shared" si="12"/>
        <v>-0.55159900927137062</v>
      </c>
      <c r="I598" s="30">
        <f t="shared" si="12"/>
        <v>0.31691990511596302</v>
      </c>
      <c r="J598" s="31">
        <f t="shared" si="12"/>
        <v>-0.46815019898558591</v>
      </c>
    </row>
    <row r="599" spans="1:10" ht="15" thickBot="1">
      <c r="A599" s="49"/>
      <c r="B599" s="7" t="s">
        <v>124</v>
      </c>
      <c r="C599" s="36">
        <f>AVERAGE(BD436:BD579)</f>
        <v>0.80594020673456079</v>
      </c>
      <c r="D599" s="32">
        <f t="shared" ref="D599:J599" si="13">AVERAGE(BE436:BE579)</f>
        <v>-0.52368975854304756</v>
      </c>
      <c r="E599" s="32">
        <f t="shared" si="13"/>
        <v>0.68301501070650106</v>
      </c>
      <c r="F599" s="33">
        <f t="shared" si="13"/>
        <v>-0.44431066691052767</v>
      </c>
      <c r="G599" s="30">
        <f t="shared" si="13"/>
        <v>0.6896801409880422</v>
      </c>
      <c r="H599" s="30">
        <f t="shared" si="13"/>
        <v>-0.5013663066417049</v>
      </c>
      <c r="I599" s="30">
        <f t="shared" si="13"/>
        <v>0.51971738786392196</v>
      </c>
      <c r="J599" s="31">
        <f t="shared" si="13"/>
        <v>-0.45869135569184077</v>
      </c>
    </row>
    <row r="600" spans="1:10" ht="15" thickBot="1">
      <c r="A600" s="50"/>
      <c r="B600" s="38" t="s">
        <v>125</v>
      </c>
      <c r="C600" s="39">
        <f>AVERAGE(BD4:BD579)</f>
        <v>0.47091224044958246</v>
      </c>
      <c r="D600" s="40">
        <f t="shared" ref="D600:J600" si="14">AVERAGE(BE4:BE579)</f>
        <v>-0.54653475905328075</v>
      </c>
      <c r="E600" s="40">
        <f t="shared" si="14"/>
        <v>0.4782126159707068</v>
      </c>
      <c r="F600" s="41">
        <f t="shared" si="14"/>
        <v>-0.46908817004739367</v>
      </c>
      <c r="G600" s="40">
        <f t="shared" si="14"/>
        <v>0.39878583001640039</v>
      </c>
      <c r="H600" s="40">
        <f t="shared" si="14"/>
        <v>-0.51682329867567744</v>
      </c>
      <c r="I600" s="40">
        <f t="shared" si="14"/>
        <v>0.39480145165452402</v>
      </c>
      <c r="J600" s="41">
        <f t="shared" si="14"/>
        <v>-0.45897528868188692</v>
      </c>
    </row>
  </sheetData>
  <mergeCells count="23">
    <mergeCell ref="A586:A590"/>
    <mergeCell ref="A591:A595"/>
    <mergeCell ref="A596:A600"/>
    <mergeCell ref="A4:A147"/>
    <mergeCell ref="A148:A291"/>
    <mergeCell ref="A292:A435"/>
    <mergeCell ref="A436:A579"/>
    <mergeCell ref="A583:J583"/>
    <mergeCell ref="C584:F584"/>
    <mergeCell ref="G584:J584"/>
    <mergeCell ref="AT1:BC1"/>
    <mergeCell ref="BD1:BK1"/>
    <mergeCell ref="T2:W2"/>
    <mergeCell ref="X2:AA2"/>
    <mergeCell ref="AL2:AO2"/>
    <mergeCell ref="AP2:AS2"/>
    <mergeCell ref="BD2:BG2"/>
    <mergeCell ref="BH2:BK2"/>
    <mergeCell ref="D1:K1"/>
    <mergeCell ref="L1:S1"/>
    <mergeCell ref="T1:AA1"/>
    <mergeCell ref="AB1:AK1"/>
    <mergeCell ref="AL1:AS1"/>
  </mergeCells>
  <phoneticPr fontId="2" type="noConversion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B917EF-33ED-49C3-AE06-A954BBDCF61F}">
  <dimension ref="A1:K576"/>
  <sheetViews>
    <sheetView topLeftCell="A542" workbookViewId="0">
      <selection activeCell="B1" sqref="B1:K576"/>
    </sheetView>
  </sheetViews>
  <sheetFormatPr defaultRowHeight="14.25"/>
  <sheetData>
    <row r="1" spans="1:11">
      <c r="A1" t="s">
        <v>138</v>
      </c>
      <c r="B1">
        <v>6.4</v>
      </c>
      <c r="C1">
        <v>1.09781559309688</v>
      </c>
      <c r="D1">
        <v>43.352530969286597</v>
      </c>
      <c r="E1">
        <v>0.99870305383564195</v>
      </c>
      <c r="F1">
        <v>28.8707805090703</v>
      </c>
      <c r="G1">
        <v>46.180281216525103</v>
      </c>
      <c r="H1">
        <v>0.99911622284368096</v>
      </c>
      <c r="I1">
        <v>30.536572281788398</v>
      </c>
      <c r="J1">
        <v>982.56636714935303</v>
      </c>
      <c r="K1">
        <v>403.56208825111298</v>
      </c>
    </row>
    <row r="2" spans="1:11">
      <c r="A2" t="s">
        <v>138</v>
      </c>
      <c r="B2">
        <v>3.2</v>
      </c>
      <c r="C2">
        <v>0.82387137176913305</v>
      </c>
      <c r="D2">
        <v>41.757517354182802</v>
      </c>
      <c r="E2">
        <v>0.99799993206136195</v>
      </c>
      <c r="F2">
        <v>26.989552518988699</v>
      </c>
      <c r="G2">
        <v>44.6153410512512</v>
      </c>
      <c r="H2">
        <v>0.99859679262320999</v>
      </c>
      <c r="I2">
        <v>28.5287814084617</v>
      </c>
      <c r="J2">
        <v>808.84275460243202</v>
      </c>
      <c r="K2">
        <v>363.00763988494799</v>
      </c>
    </row>
    <row r="3" spans="1:11">
      <c r="A3" t="s">
        <v>138</v>
      </c>
      <c r="B3">
        <v>1.28</v>
      </c>
      <c r="C3">
        <v>0.52883772280985097</v>
      </c>
      <c r="D3">
        <v>39.718365311920401</v>
      </c>
      <c r="E3">
        <v>0.99640782858690302</v>
      </c>
      <c r="F3">
        <v>24.446429476211701</v>
      </c>
      <c r="G3">
        <v>42.597147697882697</v>
      </c>
      <c r="H3">
        <v>0.99738092465542005</v>
      </c>
      <c r="I3">
        <v>25.8185200777394</v>
      </c>
      <c r="J3">
        <v>792.53166127204895</v>
      </c>
      <c r="K3">
        <v>320.78526806831297</v>
      </c>
    </row>
    <row r="4" spans="1:11">
      <c r="A4" t="s">
        <v>138</v>
      </c>
      <c r="B4">
        <v>0.32</v>
      </c>
      <c r="C4">
        <v>0.25450416184399</v>
      </c>
      <c r="D4">
        <v>36.6801895247267</v>
      </c>
      <c r="E4">
        <v>0.99213465117622401</v>
      </c>
      <c r="F4">
        <v>21.042820118987301</v>
      </c>
      <c r="G4">
        <v>39.614370910128002</v>
      </c>
      <c r="H4">
        <v>0.99419832769708505</v>
      </c>
      <c r="I4">
        <v>22.364468051878401</v>
      </c>
      <c r="J4">
        <v>404.43513417243901</v>
      </c>
      <c r="K4">
        <v>274.47332787513699</v>
      </c>
    </row>
    <row r="5" spans="1:11">
      <c r="A5" t="s">
        <v>138</v>
      </c>
      <c r="B5">
        <v>0.08</v>
      </c>
      <c r="C5">
        <v>0.137506417188516</v>
      </c>
      <c r="D5">
        <v>33.104524616803602</v>
      </c>
      <c r="E5">
        <v>0.98254596296005303</v>
      </c>
      <c r="F5">
        <v>17.5810410673372</v>
      </c>
      <c r="G5">
        <v>36.120021736073198</v>
      </c>
      <c r="H5">
        <v>0.98717847492761901</v>
      </c>
      <c r="I5">
        <v>18.9206031404287</v>
      </c>
      <c r="J5">
        <v>319.17707228660498</v>
      </c>
      <c r="K5">
        <v>213.76704668998701</v>
      </c>
    </row>
    <row r="6" spans="1:11">
      <c r="A6" t="s">
        <v>138</v>
      </c>
      <c r="B6">
        <v>0.04</v>
      </c>
      <c r="C6">
        <v>9.1643036201264003E-2</v>
      </c>
      <c r="D6">
        <v>31.2559020971607</v>
      </c>
      <c r="E6">
        <v>0.974334949919752</v>
      </c>
      <c r="F6">
        <v>15.906578839629701</v>
      </c>
      <c r="G6">
        <v>34.233932194905897</v>
      </c>
      <c r="H6">
        <v>0.98090743049472695</v>
      </c>
      <c r="I6">
        <v>17.191356197013299</v>
      </c>
      <c r="J6">
        <v>422.26666164398102</v>
      </c>
      <c r="K6">
        <v>331.55046296119599</v>
      </c>
    </row>
    <row r="7" spans="1:11">
      <c r="A7" t="s">
        <v>139</v>
      </c>
      <c r="B7">
        <v>3.2</v>
      </c>
      <c r="C7">
        <v>1.4127110000000001</v>
      </c>
      <c r="D7">
        <v>37.379803960113698</v>
      </c>
      <c r="E7">
        <v>0.99704900716171796</v>
      </c>
      <c r="F7">
        <v>25.300318444813101</v>
      </c>
      <c r="G7">
        <v>40.226786314767601</v>
      </c>
      <c r="H7">
        <v>0.99781844057311297</v>
      </c>
      <c r="I7">
        <v>26.6123295209382</v>
      </c>
      <c r="J7">
        <v>1427.0645105838701</v>
      </c>
      <c r="K7">
        <v>441.84643578529301</v>
      </c>
    </row>
    <row r="8" spans="1:11">
      <c r="A8" t="s">
        <v>139</v>
      </c>
      <c r="B8">
        <v>1.28</v>
      </c>
      <c r="C8">
        <v>0.92269633333333301</v>
      </c>
      <c r="D8">
        <v>35.034712762984398</v>
      </c>
      <c r="E8">
        <v>0.99428983071439803</v>
      </c>
      <c r="F8">
        <v>22.4335101632287</v>
      </c>
      <c r="G8">
        <v>37.882789398993701</v>
      </c>
      <c r="H8">
        <v>0.99562754894091898</v>
      </c>
      <c r="I8">
        <v>23.5927504288763</v>
      </c>
      <c r="J8">
        <v>982.71237254142704</v>
      </c>
      <c r="K8">
        <v>384.10115742683399</v>
      </c>
    </row>
    <row r="9" spans="1:11">
      <c r="A9" t="s">
        <v>139</v>
      </c>
      <c r="B9">
        <v>0.32</v>
      </c>
      <c r="C9">
        <v>0.458892666666666</v>
      </c>
      <c r="D9">
        <v>32.445301080867999</v>
      </c>
      <c r="E9">
        <v>0.98670074590136903</v>
      </c>
      <c r="F9">
        <v>18.761727161707199</v>
      </c>
      <c r="G9">
        <v>35.290062300607801</v>
      </c>
      <c r="H9">
        <v>0.98961975555475101</v>
      </c>
      <c r="I9">
        <v>19.837924191298999</v>
      </c>
      <c r="J9">
        <v>480.16013288497902</v>
      </c>
      <c r="K9">
        <v>245.849704265594</v>
      </c>
    </row>
    <row r="10" spans="1:11">
      <c r="A10" t="s">
        <v>139</v>
      </c>
      <c r="B10">
        <v>0.16</v>
      </c>
      <c r="C10">
        <v>0.30001966666666602</v>
      </c>
      <c r="D10">
        <v>31.217930748217</v>
      </c>
      <c r="E10">
        <v>0.97920348602278096</v>
      </c>
      <c r="F10">
        <v>16.820094576978001</v>
      </c>
      <c r="G10">
        <v>34.0619041710994</v>
      </c>
      <c r="H10">
        <v>0.98335523148915704</v>
      </c>
      <c r="I10">
        <v>17.787222404690201</v>
      </c>
      <c r="J10">
        <v>547.47636938095002</v>
      </c>
      <c r="K10">
        <v>391.72604775428698</v>
      </c>
    </row>
    <row r="11" spans="1:11">
      <c r="A11" t="s">
        <v>139</v>
      </c>
      <c r="B11">
        <v>0.08</v>
      </c>
      <c r="C11">
        <v>0.18108766666666601</v>
      </c>
      <c r="D11">
        <v>30.014589595938101</v>
      </c>
      <c r="E11">
        <v>0.96792688099188096</v>
      </c>
      <c r="F11">
        <v>14.938588042702101</v>
      </c>
      <c r="G11">
        <v>32.849016286362399</v>
      </c>
      <c r="H11">
        <v>0.97346422665473598</v>
      </c>
      <c r="I11">
        <v>15.7616825098969</v>
      </c>
      <c r="J11">
        <v>283.87755322456297</v>
      </c>
      <c r="K11">
        <v>189.756567955017</v>
      </c>
    </row>
    <row r="12" spans="1:11">
      <c r="A12" t="s">
        <v>139</v>
      </c>
      <c r="B12">
        <v>0.04</v>
      </c>
      <c r="C12">
        <v>0.10700233333333301</v>
      </c>
      <c r="D12">
        <v>28.8872333510737</v>
      </c>
      <c r="E12">
        <v>0.95515218645802502</v>
      </c>
      <c r="F12">
        <v>13.482587251907299</v>
      </c>
      <c r="G12">
        <v>31.707927826488401</v>
      </c>
      <c r="H12">
        <v>0.96227793119948302</v>
      </c>
      <c r="I12">
        <v>14.234044971645501</v>
      </c>
      <c r="J12">
        <v>405.15670847892699</v>
      </c>
      <c r="K12">
        <v>304.67003941535899</v>
      </c>
    </row>
    <row r="13" spans="1:11">
      <c r="A13" t="s">
        <v>140</v>
      </c>
      <c r="B13">
        <v>3.2</v>
      </c>
      <c r="C13">
        <v>1.40863633333333</v>
      </c>
      <c r="D13">
        <v>38.418881677061101</v>
      </c>
      <c r="E13">
        <v>0.99723993330990501</v>
      </c>
      <c r="F13">
        <v>25.590804241702699</v>
      </c>
      <c r="G13">
        <v>41.229215680480102</v>
      </c>
      <c r="H13">
        <v>0.99808908193882195</v>
      </c>
      <c r="I13">
        <v>27.1875793478766</v>
      </c>
      <c r="J13">
        <v>1820.6099102497101</v>
      </c>
      <c r="K13">
        <v>532.24183821678105</v>
      </c>
    </row>
    <row r="14" spans="1:11">
      <c r="A14" t="s">
        <v>140</v>
      </c>
      <c r="B14">
        <v>1.28</v>
      </c>
      <c r="C14">
        <v>0.94514500000000001</v>
      </c>
      <c r="D14">
        <v>36.167363224574402</v>
      </c>
      <c r="E14">
        <v>0.99463882137683501</v>
      </c>
      <c r="F14">
        <v>22.707397227574798</v>
      </c>
      <c r="G14">
        <v>38.975769110958701</v>
      </c>
      <c r="H14">
        <v>0.99619815313379301</v>
      </c>
      <c r="I14">
        <v>24.200053799747302</v>
      </c>
      <c r="J14">
        <v>1042.47323155403</v>
      </c>
      <c r="K14">
        <v>398.21779775619501</v>
      </c>
    </row>
    <row r="15" spans="1:11">
      <c r="A15" t="s">
        <v>140</v>
      </c>
      <c r="B15">
        <v>0.32</v>
      </c>
      <c r="C15">
        <v>0.51235900000000001</v>
      </c>
      <c r="D15">
        <v>33.5970996616457</v>
      </c>
      <c r="E15">
        <v>0.98715177907788498</v>
      </c>
      <c r="F15">
        <v>18.9115700441046</v>
      </c>
      <c r="G15">
        <v>36.3182522910503</v>
      </c>
      <c r="H15">
        <v>0.99073899154498002</v>
      </c>
      <c r="I15">
        <v>20.333417193003601</v>
      </c>
      <c r="J15">
        <v>507.51461648941</v>
      </c>
      <c r="K15">
        <v>287.37806105613703</v>
      </c>
    </row>
    <row r="16" spans="1:11">
      <c r="A16" t="s">
        <v>140</v>
      </c>
      <c r="B16">
        <v>0.16</v>
      </c>
      <c r="C16">
        <v>0.35947966666666598</v>
      </c>
      <c r="D16">
        <v>32.205011563357402</v>
      </c>
      <c r="E16">
        <v>0.97910891969164504</v>
      </c>
      <c r="F16">
        <v>16.8003910143537</v>
      </c>
      <c r="G16">
        <v>34.892575443165398</v>
      </c>
      <c r="H16">
        <v>0.98465881257162902</v>
      </c>
      <c r="I16">
        <v>18.141410241138502</v>
      </c>
      <c r="J16">
        <v>432.77310466766301</v>
      </c>
      <c r="K16">
        <v>298.75487542152399</v>
      </c>
    </row>
    <row r="17" spans="1:11">
      <c r="A17" t="s">
        <v>140</v>
      </c>
      <c r="B17">
        <v>0.08</v>
      </c>
      <c r="C17">
        <v>0.243177</v>
      </c>
      <c r="D17">
        <v>30.706521053509501</v>
      </c>
      <c r="E17">
        <v>0.96692904597294804</v>
      </c>
      <c r="F17">
        <v>14.8055327642866</v>
      </c>
      <c r="G17">
        <v>33.3712654023971</v>
      </c>
      <c r="H17">
        <v>0.97487637898748203</v>
      </c>
      <c r="I17">
        <v>15.999177665103501</v>
      </c>
      <c r="J17">
        <v>287.58020997047402</v>
      </c>
      <c r="K17">
        <v>185.809589624404</v>
      </c>
    </row>
    <row r="18" spans="1:11">
      <c r="A18" t="s">
        <v>140</v>
      </c>
      <c r="B18">
        <v>0.04</v>
      </c>
      <c r="C18">
        <v>0.16072966666666599</v>
      </c>
      <c r="D18">
        <v>29.140727699646298</v>
      </c>
      <c r="E18">
        <v>0.95028495437701699</v>
      </c>
      <c r="F18">
        <v>13.0351215770152</v>
      </c>
      <c r="G18">
        <v>31.7686868828537</v>
      </c>
      <c r="H18">
        <v>0.96079611956211997</v>
      </c>
      <c r="I18">
        <v>14.0667094396547</v>
      </c>
      <c r="J18">
        <v>428.31447911262501</v>
      </c>
      <c r="K18">
        <v>302.78823137283302</v>
      </c>
    </row>
    <row r="19" spans="1:11">
      <c r="A19" t="s">
        <v>141</v>
      </c>
      <c r="B19">
        <v>3.2</v>
      </c>
      <c r="C19">
        <v>1.44563166666666</v>
      </c>
      <c r="D19">
        <v>40.488681988428397</v>
      </c>
      <c r="E19">
        <v>0.99705554347508296</v>
      </c>
      <c r="F19">
        <v>25.3099485368191</v>
      </c>
      <c r="G19">
        <v>43.747565142815397</v>
      </c>
      <c r="H19">
        <v>0.99754966932365596</v>
      </c>
      <c r="I19">
        <v>26.107753028923</v>
      </c>
      <c r="J19">
        <v>1466.5169699191999</v>
      </c>
      <c r="K19">
        <v>503.465711832046</v>
      </c>
    </row>
    <row r="20" spans="1:11">
      <c r="A20" t="s">
        <v>141</v>
      </c>
      <c r="B20">
        <v>1.28</v>
      </c>
      <c r="C20">
        <v>0.85251699999999997</v>
      </c>
      <c r="D20">
        <v>37.7155651484318</v>
      </c>
      <c r="E20">
        <v>0.99394485537831601</v>
      </c>
      <c r="F20">
        <v>22.1787547966392</v>
      </c>
      <c r="G20">
        <v>41.137419872963299</v>
      </c>
      <c r="H20">
        <v>0.99470819664943599</v>
      </c>
      <c r="I20">
        <v>22.7639630306196</v>
      </c>
      <c r="J20">
        <v>455.20904374122603</v>
      </c>
      <c r="K20">
        <v>246.839493751525</v>
      </c>
    </row>
    <row r="21" spans="1:11">
      <c r="A21" t="s">
        <v>141</v>
      </c>
      <c r="B21">
        <v>0.64</v>
      </c>
      <c r="C21">
        <v>0.54899433333333303</v>
      </c>
      <c r="D21">
        <v>36.212737658998897</v>
      </c>
      <c r="E21">
        <v>0.99038148529501002</v>
      </c>
      <c r="F21">
        <v>20.1689198671782</v>
      </c>
      <c r="G21">
        <v>39.659023522458199</v>
      </c>
      <c r="H21">
        <v>0.99141256389601096</v>
      </c>
      <c r="I21">
        <v>20.661364813487701</v>
      </c>
      <c r="J21">
        <v>507.68837785720802</v>
      </c>
      <c r="K21">
        <v>299.54127097129799</v>
      </c>
    </row>
    <row r="22" spans="1:11">
      <c r="A22" t="s">
        <v>141</v>
      </c>
      <c r="B22">
        <v>0.16</v>
      </c>
      <c r="C22">
        <v>0.238721666666666</v>
      </c>
      <c r="D22">
        <v>34.754894212561901</v>
      </c>
      <c r="E22">
        <v>0.97903062096894</v>
      </c>
      <c r="F22">
        <v>16.784144301630398</v>
      </c>
      <c r="G22">
        <v>37.975564248787997</v>
      </c>
      <c r="H22">
        <v>0.98103731107067005</v>
      </c>
      <c r="I22">
        <v>17.2210007921475</v>
      </c>
      <c r="J22">
        <v>423.99135446548399</v>
      </c>
      <c r="K22">
        <v>303.35669255256602</v>
      </c>
    </row>
    <row r="23" spans="1:11">
      <c r="A23" t="s">
        <v>141</v>
      </c>
      <c r="B23">
        <v>0.08</v>
      </c>
      <c r="C23">
        <v>0.100317666666666</v>
      </c>
      <c r="D23">
        <v>33.6730812095754</v>
      </c>
      <c r="E23">
        <v>0.96641893262397605</v>
      </c>
      <c r="F23">
        <v>14.7390550390523</v>
      </c>
      <c r="G23">
        <v>36.707502420063598</v>
      </c>
      <c r="H23">
        <v>0.96908104943262596</v>
      </c>
      <c r="I23">
        <v>15.097752550685</v>
      </c>
      <c r="J23">
        <v>278.79515910148598</v>
      </c>
      <c r="K23">
        <v>183.12980008125299</v>
      </c>
    </row>
    <row r="24" spans="1:11">
      <c r="A24" t="s">
        <v>141</v>
      </c>
      <c r="B24">
        <v>0.04</v>
      </c>
      <c r="C24">
        <v>5.3408999999999998E-2</v>
      </c>
      <c r="D24">
        <v>32.646702942049501</v>
      </c>
      <c r="E24">
        <v>0.95846077566967203</v>
      </c>
      <c r="F24">
        <v>13.815416173869499</v>
      </c>
      <c r="G24">
        <v>35.483041998904497</v>
      </c>
      <c r="H24">
        <v>0.96199800247169898</v>
      </c>
      <c r="I24">
        <v>14.201935746274501</v>
      </c>
      <c r="J24">
        <v>402.40376830101002</v>
      </c>
      <c r="K24">
        <v>303.82577896118102</v>
      </c>
    </row>
    <row r="25" spans="1:11">
      <c r="A25" t="s">
        <v>142</v>
      </c>
      <c r="B25">
        <v>6.4</v>
      </c>
      <c r="C25">
        <v>0.70379966666666605</v>
      </c>
      <c r="D25">
        <v>46.180172696780502</v>
      </c>
      <c r="E25">
        <v>0.99894064034750496</v>
      </c>
      <c r="F25">
        <v>29.7495657192589</v>
      </c>
      <c r="G25">
        <v>49.099745777505703</v>
      </c>
      <c r="H25">
        <v>0.99921540733624303</v>
      </c>
      <c r="I25">
        <v>31.053557570082301</v>
      </c>
      <c r="J25">
        <v>1257.6843202114101</v>
      </c>
      <c r="K25">
        <v>303.15126442909201</v>
      </c>
    </row>
    <row r="26" spans="1:11">
      <c r="A26" t="s">
        <v>142</v>
      </c>
      <c r="B26">
        <v>3.2</v>
      </c>
      <c r="C26">
        <v>0.50707400000000002</v>
      </c>
      <c r="D26">
        <v>44.929604500153403</v>
      </c>
      <c r="E26">
        <v>0.998512991671756</v>
      </c>
      <c r="F26">
        <v>28.27686599131</v>
      </c>
      <c r="G26">
        <v>47.8836649110794</v>
      </c>
      <c r="H26">
        <v>0.99886389401737197</v>
      </c>
      <c r="I26">
        <v>29.4458115319933</v>
      </c>
      <c r="J26">
        <v>1717.22472214698</v>
      </c>
      <c r="K26">
        <v>508.65915131568897</v>
      </c>
    </row>
    <row r="27" spans="1:11">
      <c r="A27" t="s">
        <v>142</v>
      </c>
      <c r="B27">
        <v>1.28</v>
      </c>
      <c r="C27">
        <v>0.30083633333333298</v>
      </c>
      <c r="D27">
        <v>43.211541654956598</v>
      </c>
      <c r="E27">
        <v>0.997520103743746</v>
      </c>
      <c r="F27">
        <v>26.055664870282001</v>
      </c>
      <c r="G27">
        <v>46.138690485894699</v>
      </c>
      <c r="H27">
        <v>0.99809193021676501</v>
      </c>
      <c r="I27">
        <v>27.194057460263199</v>
      </c>
      <c r="J27">
        <v>531.66887402534405</v>
      </c>
      <c r="K27">
        <v>255.58825206756501</v>
      </c>
    </row>
    <row r="28" spans="1:11">
      <c r="A28" t="s">
        <v>142</v>
      </c>
      <c r="B28">
        <v>0.64</v>
      </c>
      <c r="C28">
        <v>0.19883300000000001</v>
      </c>
      <c r="D28">
        <v>41.894922394843199</v>
      </c>
      <c r="E28">
        <v>0.996481793459428</v>
      </c>
      <c r="F28">
        <v>24.536786683471401</v>
      </c>
      <c r="G28">
        <v>44.836966429948397</v>
      </c>
      <c r="H28">
        <v>0.99725569429315497</v>
      </c>
      <c r="I28">
        <v>25.6156751125956</v>
      </c>
      <c r="J28">
        <v>517.30223941802899</v>
      </c>
      <c r="K28">
        <v>314.38155007362298</v>
      </c>
    </row>
    <row r="29" spans="1:11">
      <c r="A29" t="s">
        <v>142</v>
      </c>
      <c r="B29">
        <v>0.32</v>
      </c>
      <c r="C29">
        <v>0.14138100000000001</v>
      </c>
      <c r="D29">
        <v>40.742669250471799</v>
      </c>
      <c r="E29">
        <v>0.995122353817815</v>
      </c>
      <c r="F29">
        <v>23.117897060104099</v>
      </c>
      <c r="G29">
        <v>43.6330849312167</v>
      </c>
      <c r="H29">
        <v>0.99618593917984299</v>
      </c>
      <c r="I29">
        <v>24.186123858449001</v>
      </c>
      <c r="J29">
        <v>535.17184042930603</v>
      </c>
      <c r="K29">
        <v>290.18235635757401</v>
      </c>
    </row>
    <row r="30" spans="1:11">
      <c r="A30" t="s">
        <v>142</v>
      </c>
      <c r="B30">
        <v>0.08</v>
      </c>
      <c r="C30">
        <v>6.8642333333333305E-2</v>
      </c>
      <c r="D30">
        <v>37.738666883621697</v>
      </c>
      <c r="E30">
        <v>0.98988972173304701</v>
      </c>
      <c r="F30">
        <v>19.952368910817</v>
      </c>
      <c r="G30">
        <v>40.555259354170197</v>
      </c>
      <c r="H30">
        <v>0.99212876233624603</v>
      </c>
      <c r="I30">
        <v>21.039569743400701</v>
      </c>
      <c r="J30">
        <v>281.36340332031199</v>
      </c>
      <c r="K30">
        <v>181.20505690574601</v>
      </c>
    </row>
    <row r="31" spans="1:11">
      <c r="A31" t="s">
        <v>143</v>
      </c>
      <c r="B31">
        <v>3.2</v>
      </c>
      <c r="C31">
        <v>1.4000865177289501</v>
      </c>
      <c r="D31">
        <v>37.126317736920697</v>
      </c>
      <c r="E31">
        <v>0.99731888624404996</v>
      </c>
      <c r="F31">
        <v>25.716847591117801</v>
      </c>
      <c r="G31">
        <v>40.332984666121597</v>
      </c>
      <c r="H31">
        <v>0.99792089216411095</v>
      </c>
      <c r="I31">
        <v>26.821229847825101</v>
      </c>
      <c r="J31">
        <v>1569.8038845062199</v>
      </c>
      <c r="K31">
        <v>494.90213871002197</v>
      </c>
    </row>
    <row r="32" spans="1:11">
      <c r="A32" t="s">
        <v>143</v>
      </c>
      <c r="B32">
        <v>1.28</v>
      </c>
      <c r="C32">
        <v>0.87887790014285405</v>
      </c>
      <c r="D32">
        <v>34.377480043348498</v>
      </c>
      <c r="E32">
        <v>0.99455480048052902</v>
      </c>
      <c r="F32">
        <v>22.639862024797999</v>
      </c>
      <c r="G32">
        <v>37.708491246940703</v>
      </c>
      <c r="H32">
        <v>0.99555639899819504</v>
      </c>
      <c r="I32">
        <v>23.522649439917402</v>
      </c>
      <c r="J32">
        <v>542.09754371642998</v>
      </c>
      <c r="K32">
        <v>251.83058285713099</v>
      </c>
    </row>
    <row r="33" spans="1:11">
      <c r="A33" t="s">
        <v>143</v>
      </c>
      <c r="B33">
        <v>0.32</v>
      </c>
      <c r="C33">
        <v>0.41364555894890398</v>
      </c>
      <c r="D33">
        <v>31.709040136650401</v>
      </c>
      <c r="E33">
        <v>0.986865469845843</v>
      </c>
      <c r="F33">
        <v>18.8158545809729</v>
      </c>
      <c r="G33">
        <v>35.029602820954601</v>
      </c>
      <c r="H33">
        <v>0.98894170474055398</v>
      </c>
      <c r="I33">
        <v>19.563118184634799</v>
      </c>
      <c r="J33">
        <v>599.95159316062905</v>
      </c>
      <c r="K33">
        <v>297.96030044555602</v>
      </c>
    </row>
    <row r="34" spans="1:11">
      <c r="A34" t="s">
        <v>143</v>
      </c>
      <c r="B34">
        <v>0.16</v>
      </c>
      <c r="C34">
        <v>0.28438420663983699</v>
      </c>
      <c r="D34">
        <v>30.836038583745399</v>
      </c>
      <c r="E34">
        <v>0.98072095138853499</v>
      </c>
      <c r="F34">
        <v>17.149144016046499</v>
      </c>
      <c r="G34">
        <v>34.074212910062101</v>
      </c>
      <c r="H34">
        <v>0.98365482059075204</v>
      </c>
      <c r="I34">
        <v>17.866103081200901</v>
      </c>
      <c r="J34">
        <v>392.706783294677</v>
      </c>
      <c r="K34">
        <v>268.29841780662503</v>
      </c>
    </row>
    <row r="35" spans="1:11">
      <c r="A35" t="s">
        <v>143</v>
      </c>
      <c r="B35">
        <v>0.08</v>
      </c>
      <c r="C35">
        <v>0.18549318529813999</v>
      </c>
      <c r="D35">
        <v>29.867007330977501</v>
      </c>
      <c r="E35">
        <v>0.97079089121985096</v>
      </c>
      <c r="F35">
        <v>15.344816938915001</v>
      </c>
      <c r="G35">
        <v>33.025995195427299</v>
      </c>
      <c r="H35">
        <v>0.97484406192775097</v>
      </c>
      <c r="I35">
        <v>15.993594830687</v>
      </c>
      <c r="J35">
        <v>251.87652373313901</v>
      </c>
      <c r="K35">
        <v>168.755794525146</v>
      </c>
    </row>
    <row r="36" spans="1:11">
      <c r="A36" t="s">
        <v>143</v>
      </c>
      <c r="B36">
        <v>0.04</v>
      </c>
      <c r="C36">
        <v>0.105315961864276</v>
      </c>
      <c r="D36">
        <v>28.8501459122262</v>
      </c>
      <c r="E36">
        <v>0.95683545185415098</v>
      </c>
      <c r="F36">
        <v>13.648728010007501</v>
      </c>
      <c r="G36">
        <v>31.934194564166301</v>
      </c>
      <c r="H36">
        <v>0.96211502684966799</v>
      </c>
      <c r="I36">
        <v>14.2153301620568</v>
      </c>
      <c r="J36">
        <v>365.55507230758599</v>
      </c>
      <c r="K36">
        <v>276.15028285980202</v>
      </c>
    </row>
    <row r="37" spans="1:11">
      <c r="A37" t="s">
        <v>144</v>
      </c>
      <c r="B37">
        <v>3.2</v>
      </c>
      <c r="C37">
        <v>1.741465</v>
      </c>
      <c r="D37">
        <v>35.554146370704501</v>
      </c>
      <c r="E37">
        <v>0.99691915778320705</v>
      </c>
      <c r="F37">
        <v>25.1133054320564</v>
      </c>
      <c r="G37">
        <v>39.204714008907899</v>
      </c>
      <c r="H37">
        <v>0.99754322064674905</v>
      </c>
      <c r="I37">
        <v>26.096338463562699</v>
      </c>
      <c r="J37">
        <v>740.07352232932999</v>
      </c>
      <c r="K37">
        <v>411.49421453475901</v>
      </c>
    </row>
    <row r="38" spans="1:11">
      <c r="A38" t="s">
        <v>144</v>
      </c>
      <c r="B38">
        <v>1.28</v>
      </c>
      <c r="C38">
        <v>1.129321</v>
      </c>
      <c r="D38">
        <v>32.384014303193197</v>
      </c>
      <c r="E38">
        <v>0.99338657512916795</v>
      </c>
      <c r="F38">
        <v>21.795735757187501</v>
      </c>
      <c r="G38">
        <v>36.360556687944097</v>
      </c>
      <c r="H38">
        <v>0.994400387988852</v>
      </c>
      <c r="I38">
        <v>22.518420635750399</v>
      </c>
      <c r="J38">
        <v>591.80902433395295</v>
      </c>
      <c r="K38">
        <v>307.033453464508</v>
      </c>
    </row>
    <row r="39" spans="1:11">
      <c r="A39" t="s">
        <v>144</v>
      </c>
      <c r="B39">
        <v>0.32</v>
      </c>
      <c r="C39">
        <v>0.54807566666666596</v>
      </c>
      <c r="D39">
        <v>29.059011070021601</v>
      </c>
      <c r="E39">
        <v>0.98196586731731295</v>
      </c>
      <c r="F39">
        <v>17.439047394105401</v>
      </c>
      <c r="G39">
        <v>33.191758653864397</v>
      </c>
      <c r="H39">
        <v>0.98405118534801905</v>
      </c>
      <c r="I39">
        <v>17.972715890477801</v>
      </c>
      <c r="J39">
        <v>648.80816054344098</v>
      </c>
      <c r="K39">
        <v>357.49129986763</v>
      </c>
    </row>
    <row r="40" spans="1:11">
      <c r="A40" t="s">
        <v>144</v>
      </c>
      <c r="B40">
        <v>0.16</v>
      </c>
      <c r="C40">
        <v>0.40449499999999999</v>
      </c>
      <c r="D40">
        <v>28.486866394605201</v>
      </c>
      <c r="E40">
        <v>0.97491067846803903</v>
      </c>
      <c r="F40">
        <v>16.005110827631</v>
      </c>
      <c r="G40">
        <v>32.441686892797101</v>
      </c>
      <c r="H40">
        <v>0.97790242951943496</v>
      </c>
      <c r="I40">
        <v>16.556554722372901</v>
      </c>
      <c r="J40">
        <v>416.34813523292502</v>
      </c>
      <c r="K40">
        <v>300.28029704093899</v>
      </c>
    </row>
    <row r="41" spans="1:11">
      <c r="A41" t="s">
        <v>144</v>
      </c>
      <c r="B41">
        <v>0.08</v>
      </c>
      <c r="C41">
        <v>0.31213433333333301</v>
      </c>
      <c r="D41">
        <v>27.893193481975601</v>
      </c>
      <c r="E41">
        <v>0.96395408446552699</v>
      </c>
      <c r="F41">
        <v>14.431439393034101</v>
      </c>
      <c r="G41">
        <v>31.764446149951301</v>
      </c>
      <c r="H41">
        <v>0.96816396977804198</v>
      </c>
      <c r="I41">
        <v>14.970810916939101</v>
      </c>
      <c r="J41">
        <v>277.38927483558598</v>
      </c>
      <c r="K41">
        <v>182.53142261505101</v>
      </c>
    </row>
    <row r="42" spans="1:11">
      <c r="A42" t="s">
        <v>144</v>
      </c>
      <c r="B42">
        <v>0.04</v>
      </c>
      <c r="C42">
        <v>0.17262233333333299</v>
      </c>
      <c r="D42">
        <v>26.881077957228602</v>
      </c>
      <c r="E42">
        <v>0.93609857458871604</v>
      </c>
      <c r="F42">
        <v>11.9448945418353</v>
      </c>
      <c r="G42">
        <v>30.728730487247201</v>
      </c>
      <c r="H42">
        <v>0.94148225046787104</v>
      </c>
      <c r="I42">
        <v>12.3271238426531</v>
      </c>
      <c r="J42">
        <v>402.41208219528198</v>
      </c>
      <c r="K42">
        <v>303.60462975502003</v>
      </c>
    </row>
    <row r="43" spans="1:11">
      <c r="A43" t="s">
        <v>145</v>
      </c>
      <c r="B43">
        <v>6.4</v>
      </c>
      <c r="C43">
        <v>1.2834190000000001</v>
      </c>
      <c r="D43">
        <v>39.912289317770998</v>
      </c>
      <c r="E43">
        <v>0.99852027890712503</v>
      </c>
      <c r="F43">
        <v>28.2982013544318</v>
      </c>
      <c r="G43">
        <v>42.793150839318798</v>
      </c>
      <c r="H43">
        <v>0.99894894581517502</v>
      </c>
      <c r="I43">
        <v>29.7837489428216</v>
      </c>
      <c r="J43">
        <v>1314.1421716213199</v>
      </c>
      <c r="K43">
        <v>308.56801247596701</v>
      </c>
    </row>
    <row r="44" spans="1:11">
      <c r="A44" t="s">
        <v>145</v>
      </c>
      <c r="B44">
        <v>3.2</v>
      </c>
      <c r="C44">
        <v>0.93044499999999997</v>
      </c>
      <c r="D44">
        <v>38.211016792288298</v>
      </c>
      <c r="E44">
        <v>0.99771455867011605</v>
      </c>
      <c r="F44">
        <v>26.410299231101899</v>
      </c>
      <c r="G44">
        <v>41.089771329169203</v>
      </c>
      <c r="H44">
        <v>0.99831128037283301</v>
      </c>
      <c r="I44">
        <v>27.724424489972598</v>
      </c>
      <c r="J44">
        <v>881.39407801628101</v>
      </c>
      <c r="K44">
        <v>410.950450181961</v>
      </c>
    </row>
    <row r="45" spans="1:11">
      <c r="A45" t="s">
        <v>145</v>
      </c>
      <c r="B45">
        <v>1.28</v>
      </c>
      <c r="C45">
        <v>0.58480699999999997</v>
      </c>
      <c r="D45">
        <v>35.855648180244998</v>
      </c>
      <c r="E45">
        <v>0.99582383601115099</v>
      </c>
      <c r="F45">
        <v>23.792224558741701</v>
      </c>
      <c r="G45">
        <v>38.766718603835699</v>
      </c>
      <c r="H45">
        <v>0.99677176886159002</v>
      </c>
      <c r="I45">
        <v>24.910353777472899</v>
      </c>
      <c r="J45">
        <v>728.65155863761902</v>
      </c>
      <c r="K45">
        <v>308.98917913436799</v>
      </c>
    </row>
    <row r="46" spans="1:11">
      <c r="A46" t="s">
        <v>145</v>
      </c>
      <c r="B46">
        <v>0.32</v>
      </c>
      <c r="C46">
        <v>0.281907666666666</v>
      </c>
      <c r="D46">
        <v>32.904016752888403</v>
      </c>
      <c r="E46">
        <v>0.991068158525092</v>
      </c>
      <c r="F46">
        <v>20.490589935253599</v>
      </c>
      <c r="G46">
        <v>35.835773082348901</v>
      </c>
      <c r="H46">
        <v>0.99294638894755205</v>
      </c>
      <c r="I46">
        <v>21.5158849171033</v>
      </c>
      <c r="J46">
        <v>674.82122802734295</v>
      </c>
      <c r="K46">
        <v>339.71144580841002</v>
      </c>
    </row>
    <row r="47" spans="1:11">
      <c r="A47" t="s">
        <v>145</v>
      </c>
      <c r="B47">
        <v>0.08</v>
      </c>
      <c r="C47">
        <v>0.12542766666666599</v>
      </c>
      <c r="D47">
        <v>30.188558496530401</v>
      </c>
      <c r="E47">
        <v>0.98038597341378397</v>
      </c>
      <c r="F47">
        <v>17.0743324036264</v>
      </c>
      <c r="G47">
        <v>33.095584271045801</v>
      </c>
      <c r="H47">
        <v>0.98385541874346505</v>
      </c>
      <c r="I47">
        <v>17.9197321483603</v>
      </c>
      <c r="J47">
        <v>281.85608410835198</v>
      </c>
      <c r="K47">
        <v>181.93007397651601</v>
      </c>
    </row>
    <row r="48" spans="1:11">
      <c r="A48" t="s">
        <v>145</v>
      </c>
      <c r="B48">
        <v>0.04</v>
      </c>
      <c r="C48">
        <v>8.0143333333333303E-2</v>
      </c>
      <c r="D48">
        <v>28.736308476716601</v>
      </c>
      <c r="E48">
        <v>0.97180222244896597</v>
      </c>
      <c r="F48">
        <v>15.4978511988483</v>
      </c>
      <c r="G48">
        <v>31.551898725597301</v>
      </c>
      <c r="H48">
        <v>0.97654833904835503</v>
      </c>
      <c r="I48">
        <v>16.298263931796399</v>
      </c>
      <c r="J48">
        <v>406.659288883209</v>
      </c>
      <c r="K48">
        <v>304.81180500984101</v>
      </c>
    </row>
    <row r="49" spans="1:11">
      <c r="A49" t="s">
        <v>146</v>
      </c>
      <c r="B49">
        <v>6.4</v>
      </c>
      <c r="C49">
        <v>1.1036604747880401</v>
      </c>
      <c r="D49">
        <v>42.040476721382099</v>
      </c>
      <c r="E49">
        <v>0.99875039895485596</v>
      </c>
      <c r="F49">
        <v>29.032286202304501</v>
      </c>
      <c r="G49">
        <v>44.932165655447903</v>
      </c>
      <c r="H49">
        <v>0.99917045689023298</v>
      </c>
      <c r="I49">
        <v>30.811610396006198</v>
      </c>
      <c r="J49">
        <v>1663.6806564331</v>
      </c>
      <c r="K49">
        <v>303.93510556221003</v>
      </c>
    </row>
    <row r="50" spans="1:11">
      <c r="A50" t="s">
        <v>146</v>
      </c>
      <c r="B50">
        <v>3.2</v>
      </c>
      <c r="C50">
        <v>0.78557074907402802</v>
      </c>
      <c r="D50">
        <v>40.4640195103078</v>
      </c>
      <c r="E50">
        <v>0.99803852172262497</v>
      </c>
      <c r="F50">
        <v>27.074164971539599</v>
      </c>
      <c r="G50">
        <v>43.311410551288397</v>
      </c>
      <c r="H50">
        <v>0.99864504779386598</v>
      </c>
      <c r="I50">
        <v>28.6807602359284</v>
      </c>
      <c r="J50">
        <v>1039.0195684432899</v>
      </c>
      <c r="K50">
        <v>404.62154936790398</v>
      </c>
    </row>
    <row r="51" spans="1:11">
      <c r="A51" t="s">
        <v>146</v>
      </c>
      <c r="B51">
        <v>1.28</v>
      </c>
      <c r="C51">
        <v>0.49898804737277802</v>
      </c>
      <c r="D51">
        <v>38.566590564235703</v>
      </c>
      <c r="E51">
        <v>0.99663583645029996</v>
      </c>
      <c r="F51">
        <v>24.731228990199099</v>
      </c>
      <c r="G51">
        <v>41.401901209024402</v>
      </c>
      <c r="H51">
        <v>0.99761485449557197</v>
      </c>
      <c r="I51">
        <v>26.2248512193094</v>
      </c>
      <c r="J51">
        <v>1052.8929090499801</v>
      </c>
      <c r="K51">
        <v>345.52059507369898</v>
      </c>
    </row>
    <row r="52" spans="1:11">
      <c r="A52" t="s">
        <v>146</v>
      </c>
      <c r="B52">
        <v>0.32</v>
      </c>
      <c r="C52">
        <v>0.19838231502553</v>
      </c>
      <c r="D52">
        <v>35.850636491177298</v>
      </c>
      <c r="E52">
        <v>0.99231202452349698</v>
      </c>
      <c r="F52">
        <v>21.1418801067205</v>
      </c>
      <c r="G52">
        <v>38.696657593492503</v>
      </c>
      <c r="H52">
        <v>0.99425803552995096</v>
      </c>
      <c r="I52">
        <v>22.4093949914528</v>
      </c>
      <c r="J52">
        <v>411.71674728393498</v>
      </c>
      <c r="K52">
        <v>276.69872641563398</v>
      </c>
    </row>
    <row r="53" spans="1:11">
      <c r="A53" t="s">
        <v>146</v>
      </c>
      <c r="B53">
        <v>0.16</v>
      </c>
      <c r="C53">
        <v>0.12153463549500799</v>
      </c>
      <c r="D53">
        <v>34.475676189855101</v>
      </c>
      <c r="E53">
        <v>0.98901869849808699</v>
      </c>
      <c r="F53">
        <v>19.593461843302201</v>
      </c>
      <c r="G53">
        <v>37.316429065144099</v>
      </c>
      <c r="H53">
        <v>0.99168410289461995</v>
      </c>
      <c r="I53">
        <v>20.800908929387099</v>
      </c>
      <c r="J53">
        <v>417.67051410674998</v>
      </c>
      <c r="K53">
        <v>294.86226963996802</v>
      </c>
    </row>
    <row r="54" spans="1:11">
      <c r="A54" t="s">
        <v>146</v>
      </c>
      <c r="B54">
        <v>0.04</v>
      </c>
      <c r="C54">
        <v>5.2904017258826402E-2</v>
      </c>
      <c r="D54">
        <v>31.282791779077701</v>
      </c>
      <c r="E54">
        <v>0.98072986846657795</v>
      </c>
      <c r="F54">
        <v>17.1511532094163</v>
      </c>
      <c r="G54">
        <v>34.1637600071329</v>
      </c>
      <c r="H54">
        <v>0.98544408443181697</v>
      </c>
      <c r="I54">
        <v>18.369604722104601</v>
      </c>
      <c r="J54">
        <v>389.699672222137</v>
      </c>
      <c r="K54">
        <v>291.16711187362603</v>
      </c>
    </row>
    <row r="55" spans="1:11">
      <c r="A55" t="s">
        <v>147</v>
      </c>
      <c r="B55">
        <v>6.4</v>
      </c>
      <c r="C55">
        <v>1.2652749999999999</v>
      </c>
      <c r="D55">
        <v>41.464066586112899</v>
      </c>
      <c r="E55">
        <v>0.998632782605126</v>
      </c>
      <c r="F55">
        <v>28.641624247976999</v>
      </c>
      <c r="G55">
        <v>44.279204417100203</v>
      </c>
      <c r="H55">
        <v>0.99906574563529504</v>
      </c>
      <c r="I55">
        <v>30.2953486451086</v>
      </c>
      <c r="J55">
        <v>1822.5999412536601</v>
      </c>
      <c r="K55">
        <v>356.52047276496802</v>
      </c>
    </row>
    <row r="56" spans="1:11">
      <c r="A56" t="s">
        <v>147</v>
      </c>
      <c r="B56">
        <v>3.2</v>
      </c>
      <c r="C56">
        <v>0.93164233333333302</v>
      </c>
      <c r="D56">
        <v>39.885511521690603</v>
      </c>
      <c r="E56">
        <v>0.99788018896049802</v>
      </c>
      <c r="F56">
        <v>26.737028504671802</v>
      </c>
      <c r="G56">
        <v>42.694992356153698</v>
      </c>
      <c r="H56">
        <v>0.99850512217390397</v>
      </c>
      <c r="I56">
        <v>28.253943000623199</v>
      </c>
      <c r="J56">
        <v>935.95660805702198</v>
      </c>
      <c r="K56">
        <v>410.532545089721</v>
      </c>
    </row>
    <row r="57" spans="1:11">
      <c r="A57" t="s">
        <v>147</v>
      </c>
      <c r="B57">
        <v>0.64</v>
      </c>
      <c r="C57">
        <v>0.42819766666666598</v>
      </c>
      <c r="D57">
        <v>36.382223052190199</v>
      </c>
      <c r="E57">
        <v>0.99426699993478596</v>
      </c>
      <c r="F57">
        <v>22.416180532851602</v>
      </c>
      <c r="G57">
        <v>39.2244448179774</v>
      </c>
      <c r="H57">
        <v>0.99574564206441596</v>
      </c>
      <c r="I57">
        <v>23.7116597402207</v>
      </c>
      <c r="J57">
        <v>473.36015915870598</v>
      </c>
      <c r="K57">
        <v>282.443950653076</v>
      </c>
    </row>
    <row r="58" spans="1:11">
      <c r="A58" t="s">
        <v>147</v>
      </c>
      <c r="B58">
        <v>0.16</v>
      </c>
      <c r="C58">
        <v>0.20598966666666599</v>
      </c>
      <c r="D58">
        <v>33.519630519629899</v>
      </c>
      <c r="E58">
        <v>0.987046795040877</v>
      </c>
      <c r="F58">
        <v>18.876227625594101</v>
      </c>
      <c r="G58">
        <v>36.3617044560349</v>
      </c>
      <c r="H58">
        <v>0.98990753301266998</v>
      </c>
      <c r="I58">
        <v>19.960026625016699</v>
      </c>
      <c r="J58">
        <v>430.26359796524002</v>
      </c>
      <c r="K58">
        <v>300.83460593223498</v>
      </c>
    </row>
    <row r="59" spans="1:11">
      <c r="A59" t="s">
        <v>147</v>
      </c>
      <c r="B59">
        <v>0.08</v>
      </c>
      <c r="C59">
        <v>0.13758833333333301</v>
      </c>
      <c r="D59">
        <v>31.8908457925017</v>
      </c>
      <c r="E59">
        <v>0.98072826804217705</v>
      </c>
      <c r="F59">
        <v>17.150792533816599</v>
      </c>
      <c r="G59">
        <v>34.714560445446402</v>
      </c>
      <c r="H59">
        <v>0.98463470760914196</v>
      </c>
      <c r="I59">
        <v>18.134591710061802</v>
      </c>
      <c r="J59">
        <v>279.943786382675</v>
      </c>
      <c r="K59">
        <v>183.87560915946901</v>
      </c>
    </row>
    <row r="60" spans="1:11">
      <c r="A60" t="s">
        <v>147</v>
      </c>
      <c r="B60">
        <v>0.04</v>
      </c>
      <c r="C60">
        <v>8.9928333333333305E-2</v>
      </c>
      <c r="D60">
        <v>30.155041754484898</v>
      </c>
      <c r="E60">
        <v>0.97175285004961398</v>
      </c>
      <c r="F60">
        <v>15.4902536459717</v>
      </c>
      <c r="G60">
        <v>32.984804673071999</v>
      </c>
      <c r="H60">
        <v>0.97688695048723895</v>
      </c>
      <c r="I60">
        <v>16.361427503585599</v>
      </c>
      <c r="J60">
        <v>343.03084087371798</v>
      </c>
      <c r="K60">
        <v>241.26420474052401</v>
      </c>
    </row>
    <row r="61" spans="1:11">
      <c r="A61" t="s">
        <v>148</v>
      </c>
      <c r="B61">
        <v>6.4</v>
      </c>
      <c r="C61">
        <v>1.0542670000000001</v>
      </c>
      <c r="D61">
        <v>43.7972227979295</v>
      </c>
      <c r="E61">
        <v>0.99869274031368704</v>
      </c>
      <c r="F61">
        <v>28.836381315243901</v>
      </c>
      <c r="G61">
        <v>46.655568720246499</v>
      </c>
      <c r="H61">
        <v>0.99906816008600796</v>
      </c>
      <c r="I61">
        <v>30.306586911243802</v>
      </c>
      <c r="J61">
        <v>1717.90373015403</v>
      </c>
      <c r="K61">
        <v>363.30981469154301</v>
      </c>
    </row>
    <row r="62" spans="1:11">
      <c r="A62" t="s">
        <v>148</v>
      </c>
      <c r="B62">
        <v>3.2</v>
      </c>
      <c r="C62">
        <v>0.74956500000000004</v>
      </c>
      <c r="D62">
        <v>42.229398059369601</v>
      </c>
      <c r="E62">
        <v>0.99797333498926699</v>
      </c>
      <c r="F62">
        <v>26.932180302971599</v>
      </c>
      <c r="G62">
        <v>45.085239085799202</v>
      </c>
      <c r="H62">
        <v>0.99849012207866195</v>
      </c>
      <c r="I62">
        <v>28.2105816544363</v>
      </c>
      <c r="J62">
        <v>865.18644881248395</v>
      </c>
      <c r="K62">
        <v>417.94189095497097</v>
      </c>
    </row>
    <row r="63" spans="1:11">
      <c r="A63" t="s">
        <v>148</v>
      </c>
      <c r="B63">
        <v>1.28</v>
      </c>
      <c r="C63">
        <v>0.47342966666666603</v>
      </c>
      <c r="D63">
        <v>40.419973428685203</v>
      </c>
      <c r="E63">
        <v>0.99656788928778195</v>
      </c>
      <c r="F63">
        <v>24.6443871122848</v>
      </c>
      <c r="G63">
        <v>43.294048141406002</v>
      </c>
      <c r="H63">
        <v>0.99737262783276104</v>
      </c>
      <c r="I63">
        <v>25.804784050480201</v>
      </c>
      <c r="J63">
        <v>943.41084456443696</v>
      </c>
      <c r="K63">
        <v>361.88084816932599</v>
      </c>
    </row>
    <row r="64" spans="1:11">
      <c r="A64" t="s">
        <v>148</v>
      </c>
      <c r="B64">
        <v>0.64</v>
      </c>
      <c r="C64">
        <v>0.30534566666666602</v>
      </c>
      <c r="D64">
        <v>38.926181761150303</v>
      </c>
      <c r="E64">
        <v>0.99477469167848198</v>
      </c>
      <c r="F64">
        <v>22.818880787320499</v>
      </c>
      <c r="G64">
        <v>41.816718466336098</v>
      </c>
      <c r="H64">
        <v>0.99589301487008097</v>
      </c>
      <c r="I64">
        <v>23.864768695851499</v>
      </c>
      <c r="J64">
        <v>453.77514314651398</v>
      </c>
      <c r="K64">
        <v>278.38890004157997</v>
      </c>
    </row>
    <row r="65" spans="1:11">
      <c r="A65" t="s">
        <v>148</v>
      </c>
      <c r="B65">
        <v>0.16</v>
      </c>
      <c r="C65">
        <v>0.11042566666666601</v>
      </c>
      <c r="D65">
        <v>36.2260308437315</v>
      </c>
      <c r="E65">
        <v>0.98877191335585402</v>
      </c>
      <c r="F65">
        <v>19.4969424469015</v>
      </c>
      <c r="G65">
        <v>39.083596243977198</v>
      </c>
      <c r="H65">
        <v>0.99084414351571404</v>
      </c>
      <c r="I65">
        <v>20.383010233993399</v>
      </c>
      <c r="J65">
        <v>425.93505024909899</v>
      </c>
      <c r="K65">
        <v>303.20302462577803</v>
      </c>
    </row>
    <row r="66" spans="1:11">
      <c r="A66" t="s">
        <v>148</v>
      </c>
      <c r="B66">
        <v>0.04</v>
      </c>
      <c r="C66">
        <v>5.1943666666666603E-2</v>
      </c>
      <c r="D66">
        <v>32.720941353342504</v>
      </c>
      <c r="E66">
        <v>0.98009113610836396</v>
      </c>
      <c r="F66">
        <v>17.0095352247743</v>
      </c>
      <c r="G66">
        <v>35.572727010946998</v>
      </c>
      <c r="H66">
        <v>0.98413253827479696</v>
      </c>
      <c r="I66">
        <v>17.994925405989001</v>
      </c>
      <c r="J66">
        <v>336.813220739364</v>
      </c>
      <c r="K66">
        <v>243.515535116195</v>
      </c>
    </row>
    <row r="67" spans="1:11">
      <c r="A67" t="s">
        <v>149</v>
      </c>
      <c r="B67">
        <v>6.4</v>
      </c>
      <c r="C67">
        <v>1.26522576470755</v>
      </c>
      <c r="D67">
        <v>41.479896688953701</v>
      </c>
      <c r="E67">
        <v>0.99860483334798</v>
      </c>
      <c r="F67">
        <v>28.5537391301437</v>
      </c>
      <c r="G67">
        <v>44.3196248096259</v>
      </c>
      <c r="H67">
        <v>0.99907125104785399</v>
      </c>
      <c r="I67">
        <v>30.3210166322087</v>
      </c>
      <c r="J67">
        <v>1996.8813838958699</v>
      </c>
      <c r="K67">
        <v>497.02178049087502</v>
      </c>
    </row>
    <row r="68" spans="1:11">
      <c r="A68" t="s">
        <v>149</v>
      </c>
      <c r="B68">
        <v>3.2</v>
      </c>
      <c r="C68">
        <v>0.93294089452394302</v>
      </c>
      <c r="D68">
        <v>39.795800091185697</v>
      </c>
      <c r="E68">
        <v>0.99779704886784404</v>
      </c>
      <c r="F68">
        <v>26.569951366534202</v>
      </c>
      <c r="G68">
        <v>42.634583271453003</v>
      </c>
      <c r="H68">
        <v>0.99847292187468495</v>
      </c>
      <c r="I68">
        <v>28.161387438702899</v>
      </c>
      <c r="J68">
        <v>1044.72246694564</v>
      </c>
      <c r="K68">
        <v>519.88388729095402</v>
      </c>
    </row>
    <row r="69" spans="1:11">
      <c r="A69" t="s">
        <v>149</v>
      </c>
      <c r="B69">
        <v>0.64</v>
      </c>
      <c r="C69">
        <v>0.43999652794708599</v>
      </c>
      <c r="D69">
        <v>36.2502451086783</v>
      </c>
      <c r="E69">
        <v>0.99392726687037403</v>
      </c>
      <c r="F69">
        <v>22.166158038235402</v>
      </c>
      <c r="G69">
        <v>39.0977425833712</v>
      </c>
      <c r="H69">
        <v>0.99558003205373902</v>
      </c>
      <c r="I69">
        <v>23.545808801560302</v>
      </c>
      <c r="J69">
        <v>541.62000012397698</v>
      </c>
      <c r="K69">
        <v>343.50674200057898</v>
      </c>
    </row>
    <row r="70" spans="1:11">
      <c r="A70" t="s">
        <v>149</v>
      </c>
      <c r="B70">
        <v>0.32</v>
      </c>
      <c r="C70">
        <v>0.26978349121836898</v>
      </c>
      <c r="D70">
        <v>34.851682066406603</v>
      </c>
      <c r="E70">
        <v>0.98990620364439696</v>
      </c>
      <c r="F70">
        <v>19.959454614935598</v>
      </c>
      <c r="G70">
        <v>37.694644044150003</v>
      </c>
      <c r="H70">
        <v>0.99233615219084903</v>
      </c>
      <c r="I70">
        <v>21.155531281861101</v>
      </c>
      <c r="J70">
        <v>789.09776020050003</v>
      </c>
      <c r="K70">
        <v>411.88654923438997</v>
      </c>
    </row>
    <row r="71" spans="1:11">
      <c r="A71" t="s">
        <v>149</v>
      </c>
      <c r="B71">
        <v>0.08</v>
      </c>
      <c r="C71">
        <v>0.11895861928490201</v>
      </c>
      <c r="D71">
        <v>31.703590937627101</v>
      </c>
      <c r="E71">
        <v>0.97979417355138498</v>
      </c>
      <c r="F71">
        <v>16.945233815622199</v>
      </c>
      <c r="G71">
        <v>34.5263078026721</v>
      </c>
      <c r="H71">
        <v>0.98468477592162895</v>
      </c>
      <c r="I71">
        <v>18.148766446107199</v>
      </c>
      <c r="J71">
        <v>339.02672600746098</v>
      </c>
      <c r="K71">
        <v>228.25278186797999</v>
      </c>
    </row>
    <row r="72" spans="1:11">
      <c r="A72" t="s">
        <v>149</v>
      </c>
      <c r="B72">
        <v>0.04</v>
      </c>
      <c r="C72">
        <v>8.1583283794331302E-2</v>
      </c>
      <c r="D72">
        <v>30.1418382406493</v>
      </c>
      <c r="E72">
        <v>0.97205766772138402</v>
      </c>
      <c r="F72">
        <v>15.537373472032201</v>
      </c>
      <c r="G72">
        <v>32.987995439063802</v>
      </c>
      <c r="H72">
        <v>0.97906758159184504</v>
      </c>
      <c r="I72">
        <v>16.791805929397999</v>
      </c>
      <c r="J72">
        <v>410.35172820091202</v>
      </c>
      <c r="K72">
        <v>297.80167913436799</v>
      </c>
    </row>
    <row r="73" spans="1:11">
      <c r="A73" t="s">
        <v>150</v>
      </c>
      <c r="B73">
        <v>3.2</v>
      </c>
      <c r="C73">
        <v>1.6273748405612201</v>
      </c>
      <c r="D73">
        <v>39.374482144036698</v>
      </c>
      <c r="E73">
        <v>0.99687763980558097</v>
      </c>
      <c r="F73">
        <v>25.055169983187</v>
      </c>
      <c r="G73">
        <v>42.842318373268199</v>
      </c>
      <c r="H73">
        <v>0.99753600648662699</v>
      </c>
      <c r="I73">
        <v>26.083604398153799</v>
      </c>
      <c r="J73">
        <v>1106.27992796897</v>
      </c>
      <c r="K73">
        <v>538.42689347267105</v>
      </c>
    </row>
    <row r="74" spans="1:11">
      <c r="A74" t="s">
        <v>150</v>
      </c>
      <c r="B74">
        <v>1.28</v>
      </c>
      <c r="C74">
        <v>1.03544775722789</v>
      </c>
      <c r="D74">
        <v>36.236424907887603</v>
      </c>
      <c r="E74">
        <v>0.99357432556550596</v>
      </c>
      <c r="F74">
        <v>21.920812823457702</v>
      </c>
      <c r="G74">
        <v>40.047188501301399</v>
      </c>
      <c r="H74">
        <v>0.99458084733316598</v>
      </c>
      <c r="I74">
        <v>22.660686139942001</v>
      </c>
      <c r="J74">
        <v>1150.8526558875999</v>
      </c>
      <c r="K74">
        <v>492.27161002159102</v>
      </c>
    </row>
    <row r="75" spans="1:11">
      <c r="A75" t="s">
        <v>150</v>
      </c>
      <c r="B75">
        <v>0.32</v>
      </c>
      <c r="C75">
        <v>0.50873325892857102</v>
      </c>
      <c r="D75">
        <v>33.070935710996103</v>
      </c>
      <c r="E75">
        <v>0.98400696050609404</v>
      </c>
      <c r="F75">
        <v>17.960689902884202</v>
      </c>
      <c r="G75">
        <v>37.063780599232302</v>
      </c>
      <c r="H75">
        <v>0.98595347763518704</v>
      </c>
      <c r="I75">
        <v>18.5243118499153</v>
      </c>
      <c r="J75">
        <v>988.63290524482704</v>
      </c>
      <c r="K75">
        <v>519.12063550949097</v>
      </c>
    </row>
    <row r="76" spans="1:11">
      <c r="A76" t="s">
        <v>150</v>
      </c>
      <c r="B76">
        <v>0.16</v>
      </c>
      <c r="C76">
        <v>0.34825494260203999</v>
      </c>
      <c r="D76">
        <v>32.499111008480099</v>
      </c>
      <c r="E76">
        <v>0.97652970376057302</v>
      </c>
      <c r="F76">
        <v>16.2948142875094</v>
      </c>
      <c r="G76">
        <v>36.333867986788903</v>
      </c>
      <c r="H76">
        <v>0.97921618358635298</v>
      </c>
      <c r="I76">
        <v>16.8227470243793</v>
      </c>
      <c r="J76">
        <v>539.21023988723698</v>
      </c>
      <c r="K76">
        <v>379.95741915702803</v>
      </c>
    </row>
    <row r="77" spans="1:11">
      <c r="A77" t="s">
        <v>150</v>
      </c>
      <c r="B77">
        <v>0.08</v>
      </c>
      <c r="C77">
        <v>0.23676950467687</v>
      </c>
      <c r="D77">
        <v>31.771866511542601</v>
      </c>
      <c r="E77">
        <v>0.96350517622853205</v>
      </c>
      <c r="F77">
        <v>14.377687291573199</v>
      </c>
      <c r="G77">
        <v>35.310882602756998</v>
      </c>
      <c r="H77">
        <v>0.96730255074288796</v>
      </c>
      <c r="I77">
        <v>14.8548612552836</v>
      </c>
      <c r="J77">
        <v>361.82530236244202</v>
      </c>
      <c r="K77">
        <v>241.146709680557</v>
      </c>
    </row>
    <row r="78" spans="1:11">
      <c r="A78" t="s">
        <v>150</v>
      </c>
      <c r="B78">
        <v>0.04</v>
      </c>
      <c r="C78">
        <v>0.10140757865646199</v>
      </c>
      <c r="D78">
        <v>30.686452828296598</v>
      </c>
      <c r="E78">
        <v>0.93840269332803505</v>
      </c>
      <c r="F78">
        <v>12.104382768465401</v>
      </c>
      <c r="G78">
        <v>33.964561004022798</v>
      </c>
      <c r="H78">
        <v>0.94363403864116002</v>
      </c>
      <c r="I78">
        <v>12.489830814190301</v>
      </c>
      <c r="J78">
        <v>433.11566376686</v>
      </c>
      <c r="K78">
        <v>305.36724925041199</v>
      </c>
    </row>
    <row r="79" spans="1:11">
      <c r="A79" t="s">
        <v>151</v>
      </c>
      <c r="B79">
        <v>6.4</v>
      </c>
      <c r="C79">
        <v>1.19709210246598</v>
      </c>
      <c r="D79">
        <v>45.405403385921097</v>
      </c>
      <c r="E79">
        <v>0.99843964309979505</v>
      </c>
      <c r="F79">
        <v>28.067760541701698</v>
      </c>
      <c r="G79">
        <v>48.588485731045402</v>
      </c>
      <c r="H79">
        <v>0.99878551068311505</v>
      </c>
      <c r="I79">
        <v>29.156063010635101</v>
      </c>
      <c r="J79">
        <v>949.05755519866898</v>
      </c>
      <c r="K79">
        <v>521.19663429260197</v>
      </c>
    </row>
    <row r="80" spans="1:11">
      <c r="A80" t="s">
        <v>151</v>
      </c>
      <c r="B80">
        <v>3.2</v>
      </c>
      <c r="C80">
        <v>0.79392139668367301</v>
      </c>
      <c r="D80">
        <v>43.320960316877397</v>
      </c>
      <c r="E80">
        <v>0.99739657847556396</v>
      </c>
      <c r="F80">
        <v>25.844555088344901</v>
      </c>
      <c r="G80">
        <v>46.7540721962147</v>
      </c>
      <c r="H80">
        <v>0.99787631179578695</v>
      </c>
      <c r="I80">
        <v>26.729092451846402</v>
      </c>
      <c r="J80">
        <v>798.52307367324795</v>
      </c>
      <c r="K80">
        <v>518.37287878990105</v>
      </c>
    </row>
    <row r="81" spans="1:11">
      <c r="A81" t="s">
        <v>151</v>
      </c>
      <c r="B81">
        <v>1.28</v>
      </c>
      <c r="C81">
        <v>0.53900802508503398</v>
      </c>
      <c r="D81">
        <v>41.927724044487903</v>
      </c>
      <c r="E81">
        <v>0.99591801950880099</v>
      </c>
      <c r="F81">
        <v>23.8912907521653</v>
      </c>
      <c r="G81">
        <v>45.378588009410997</v>
      </c>
      <c r="H81">
        <v>0.99656431698450698</v>
      </c>
      <c r="I81">
        <v>24.639869120622901</v>
      </c>
      <c r="J81">
        <v>743.84006071090698</v>
      </c>
      <c r="K81">
        <v>395.57636380195601</v>
      </c>
    </row>
    <row r="82" spans="1:11">
      <c r="A82" t="s">
        <v>151</v>
      </c>
      <c r="B82">
        <v>0.32</v>
      </c>
      <c r="C82">
        <v>0.193784810799319</v>
      </c>
      <c r="D82">
        <v>39.847507467516003</v>
      </c>
      <c r="E82">
        <v>0.99005213122615299</v>
      </c>
      <c r="F82">
        <v>20.0226995230942</v>
      </c>
      <c r="G82">
        <v>43.055255328176102</v>
      </c>
      <c r="H82">
        <v>0.99125489925347099</v>
      </c>
      <c r="I82">
        <v>20.582351829366601</v>
      </c>
      <c r="J82">
        <v>906.60341858863796</v>
      </c>
      <c r="K82">
        <v>547.07053637504498</v>
      </c>
    </row>
    <row r="83" spans="1:11">
      <c r="A83" t="s">
        <v>151</v>
      </c>
      <c r="B83">
        <v>0.16</v>
      </c>
      <c r="C83">
        <v>0.129271099064625</v>
      </c>
      <c r="D83">
        <v>38.654435422795601</v>
      </c>
      <c r="E83">
        <v>0.98675724693658096</v>
      </c>
      <c r="F83">
        <v>18.7802171912892</v>
      </c>
      <c r="G83">
        <v>41.573884160927399</v>
      </c>
      <c r="H83">
        <v>0.98836880005932903</v>
      </c>
      <c r="I83">
        <v>19.343754786739801</v>
      </c>
      <c r="J83">
        <v>509.97583889961197</v>
      </c>
      <c r="K83">
        <v>383.795160531997</v>
      </c>
    </row>
    <row r="84" spans="1:11">
      <c r="A84" t="s">
        <v>151</v>
      </c>
      <c r="B84">
        <v>0.04</v>
      </c>
      <c r="C84">
        <v>6.3379304846938697E-2</v>
      </c>
      <c r="D84">
        <v>34.710376074552798</v>
      </c>
      <c r="E84">
        <v>0.97553056756177803</v>
      </c>
      <c r="F84">
        <v>16.113761038728502</v>
      </c>
      <c r="G84">
        <v>37.729428762287597</v>
      </c>
      <c r="H84">
        <v>0.97870433440777604</v>
      </c>
      <c r="I84">
        <v>16.717087815816701</v>
      </c>
      <c r="J84">
        <v>425.83770871162397</v>
      </c>
      <c r="K84">
        <v>307.164784908294</v>
      </c>
    </row>
    <row r="85" spans="1:11">
      <c r="A85" t="s">
        <v>152</v>
      </c>
      <c r="B85">
        <v>6.4</v>
      </c>
      <c r="C85">
        <v>0.82358446999534696</v>
      </c>
      <c r="D85">
        <v>43.345257003968399</v>
      </c>
      <c r="E85">
        <v>0.99888218021043795</v>
      </c>
      <c r="F85">
        <v>29.5162820602689</v>
      </c>
      <c r="G85">
        <v>46.522303859969902</v>
      </c>
      <c r="H85">
        <v>0.99913425181309401</v>
      </c>
      <c r="I85">
        <v>30.626084092992599</v>
      </c>
      <c r="J85">
        <v>1719.7385468482901</v>
      </c>
      <c r="K85">
        <v>476.519342899322</v>
      </c>
    </row>
    <row r="86" spans="1:11">
      <c r="A86" t="s">
        <v>152</v>
      </c>
      <c r="B86">
        <v>3.2</v>
      </c>
      <c r="C86">
        <v>0.63970146211356904</v>
      </c>
      <c r="D86">
        <v>42.013885313388201</v>
      </c>
      <c r="E86">
        <v>0.99841565855343795</v>
      </c>
      <c r="F86">
        <v>28.001512164477401</v>
      </c>
      <c r="G86">
        <v>45.230364140171503</v>
      </c>
      <c r="H86">
        <v>0.99875698880623398</v>
      </c>
      <c r="I86">
        <v>29.055249603618599</v>
      </c>
      <c r="J86">
        <v>1254.79912829399</v>
      </c>
      <c r="K86">
        <v>487.16493248939503</v>
      </c>
    </row>
    <row r="87" spans="1:11">
      <c r="A87" t="s">
        <v>152</v>
      </c>
      <c r="B87">
        <v>1.28</v>
      </c>
      <c r="C87">
        <v>0.40744294808897902</v>
      </c>
      <c r="D87">
        <v>40.286801967080201</v>
      </c>
      <c r="E87">
        <v>0.99730306505668098</v>
      </c>
      <c r="F87">
        <v>25.691295296681002</v>
      </c>
      <c r="G87">
        <v>43.547601343512</v>
      </c>
      <c r="H87">
        <v>0.99776734108281795</v>
      </c>
      <c r="I87">
        <v>26.5117761893489</v>
      </c>
      <c r="J87">
        <v>1094.9745361804901</v>
      </c>
      <c r="K87">
        <v>397.06390023231501</v>
      </c>
    </row>
    <row r="88" spans="1:11">
      <c r="A88" t="s">
        <v>152</v>
      </c>
      <c r="B88">
        <v>0.64</v>
      </c>
      <c r="C88">
        <v>0.255703175743839</v>
      </c>
      <c r="D88">
        <v>38.886730148477398</v>
      </c>
      <c r="E88">
        <v>0.99577079530146695</v>
      </c>
      <c r="F88">
        <v>23.737412939753799</v>
      </c>
      <c r="G88">
        <v>42.143567733008297</v>
      </c>
      <c r="H88">
        <v>0.99641943460626803</v>
      </c>
      <c r="I88">
        <v>24.460483901187001</v>
      </c>
      <c r="J88">
        <v>575.03248047828595</v>
      </c>
      <c r="K88">
        <v>342.75329375267</v>
      </c>
    </row>
    <row r="89" spans="1:11">
      <c r="A89" t="s">
        <v>152</v>
      </c>
      <c r="B89">
        <v>0.16</v>
      </c>
      <c r="C89">
        <v>0.128755188107774</v>
      </c>
      <c r="D89">
        <v>36.232861139278398</v>
      </c>
      <c r="E89">
        <v>0.99143830370170805</v>
      </c>
      <c r="F89">
        <v>20.674401815840799</v>
      </c>
      <c r="G89">
        <v>39.377673938405202</v>
      </c>
      <c r="H89">
        <v>0.99273979146379199</v>
      </c>
      <c r="I89">
        <v>21.3905090480628</v>
      </c>
      <c r="J89">
        <v>502.524253368377</v>
      </c>
      <c r="K89">
        <v>351.288892745971</v>
      </c>
    </row>
    <row r="90" spans="1:11">
      <c r="A90" t="s">
        <v>152</v>
      </c>
      <c r="B90">
        <v>0.04</v>
      </c>
      <c r="C90">
        <v>6.2020344752928599E-2</v>
      </c>
      <c r="D90">
        <v>33.058686004449001</v>
      </c>
      <c r="E90">
        <v>0.98281939869639201</v>
      </c>
      <c r="F90">
        <v>17.649616403727201</v>
      </c>
      <c r="G90">
        <v>36.054930771054998</v>
      </c>
      <c r="H90">
        <v>0.98535346347159403</v>
      </c>
      <c r="I90">
        <v>18.342650609366899</v>
      </c>
      <c r="J90">
        <v>410.31771421432398</v>
      </c>
      <c r="K90">
        <v>295.371683359146</v>
      </c>
    </row>
    <row r="91" spans="1:11">
      <c r="A91" t="s">
        <v>153</v>
      </c>
      <c r="B91">
        <v>6.4</v>
      </c>
      <c r="C91">
        <v>1.5193320105820101</v>
      </c>
      <c r="D91">
        <v>42.577753383809302</v>
      </c>
      <c r="E91">
        <v>0.99848269814974999</v>
      </c>
      <c r="F91">
        <v>28.189280125836</v>
      </c>
      <c r="G91">
        <v>45.425350944229898</v>
      </c>
      <c r="H91">
        <v>0.99887179913131197</v>
      </c>
      <c r="I91">
        <v>29.4761357021404</v>
      </c>
      <c r="J91">
        <v>1403.9351978302</v>
      </c>
      <c r="K91">
        <v>430.94590020179697</v>
      </c>
    </row>
    <row r="92" spans="1:11">
      <c r="A92" t="s">
        <v>153</v>
      </c>
      <c r="B92">
        <v>3.2</v>
      </c>
      <c r="C92">
        <v>1.08344387755102</v>
      </c>
      <c r="D92">
        <v>40.692777098698201</v>
      </c>
      <c r="E92">
        <v>0.99749197404146295</v>
      </c>
      <c r="F92">
        <v>26.0066797278918</v>
      </c>
      <c r="G92">
        <v>43.586745896276703</v>
      </c>
      <c r="H92">
        <v>0.99806557808267204</v>
      </c>
      <c r="I92">
        <v>27.134487958254599</v>
      </c>
      <c r="J92">
        <v>867.71887326240505</v>
      </c>
      <c r="K92">
        <v>354.25708723068198</v>
      </c>
    </row>
    <row r="93" spans="1:11">
      <c r="A93" t="s">
        <v>153</v>
      </c>
      <c r="B93">
        <v>0.64</v>
      </c>
      <c r="C93">
        <v>0.51328955656336595</v>
      </c>
      <c r="D93">
        <v>37.5608281677588</v>
      </c>
      <c r="E93">
        <v>0.99330473563754795</v>
      </c>
      <c r="F93">
        <v>21.742322701997999</v>
      </c>
      <c r="G93">
        <v>40.444002181228299</v>
      </c>
      <c r="H93">
        <v>0.99475341391445604</v>
      </c>
      <c r="I93">
        <v>22.801231968755999</v>
      </c>
      <c r="J93">
        <v>577.352711200714</v>
      </c>
      <c r="K93">
        <v>319.62601280212402</v>
      </c>
    </row>
    <row r="94" spans="1:11">
      <c r="A94" t="s">
        <v>153</v>
      </c>
      <c r="B94">
        <v>0.16</v>
      </c>
      <c r="C94">
        <v>0.21246882086167801</v>
      </c>
      <c r="D94">
        <v>34.810202561001802</v>
      </c>
      <c r="E94">
        <v>0.98290329240917695</v>
      </c>
      <c r="F94">
        <v>17.670875160878701</v>
      </c>
      <c r="G94">
        <v>37.654902828142198</v>
      </c>
      <c r="H94">
        <v>0.98590676024427604</v>
      </c>
      <c r="I94">
        <v>18.5098915974378</v>
      </c>
      <c r="J94">
        <v>489.10886573791498</v>
      </c>
      <c r="K94">
        <v>330.06841278076098</v>
      </c>
    </row>
    <row r="95" spans="1:11">
      <c r="A95" t="s">
        <v>153</v>
      </c>
      <c r="B95">
        <v>0.08</v>
      </c>
      <c r="C95">
        <v>0.140016061980347</v>
      </c>
      <c r="D95">
        <v>33.353780478621204</v>
      </c>
      <c r="E95">
        <v>0.97586169157578595</v>
      </c>
      <c r="F95">
        <v>16.1729316786627</v>
      </c>
      <c r="G95">
        <v>36.197801448840302</v>
      </c>
      <c r="H95">
        <v>0.97986626129618004</v>
      </c>
      <c r="I95">
        <v>16.9607557197304</v>
      </c>
      <c r="J95">
        <v>304.643579483032</v>
      </c>
      <c r="K95">
        <v>204.92825293540901</v>
      </c>
    </row>
    <row r="96" spans="1:11">
      <c r="A96" t="s">
        <v>153</v>
      </c>
      <c r="B96">
        <v>0.04</v>
      </c>
      <c r="C96">
        <v>8.8321050642479207E-2</v>
      </c>
      <c r="D96">
        <v>31.716821778270699</v>
      </c>
      <c r="E96">
        <v>0.96631168082859598</v>
      </c>
      <c r="F96">
        <v>14.7252065695579</v>
      </c>
      <c r="G96">
        <v>34.517655412191402</v>
      </c>
      <c r="H96">
        <v>0.97179974540264602</v>
      </c>
      <c r="I96">
        <v>15.4974697076835</v>
      </c>
      <c r="J96">
        <v>497.75849938392599</v>
      </c>
      <c r="K96">
        <v>278.937443256378</v>
      </c>
    </row>
    <row r="97" spans="1:11">
      <c r="A97" t="s">
        <v>154</v>
      </c>
      <c r="B97">
        <v>6.4</v>
      </c>
      <c r="C97">
        <v>1.5156311118197201</v>
      </c>
      <c r="D97">
        <v>42.066014130324497</v>
      </c>
      <c r="E97">
        <v>0.998506582406543</v>
      </c>
      <c r="F97">
        <v>28.2581873669873</v>
      </c>
      <c r="G97">
        <v>45.008270686564401</v>
      </c>
      <c r="H97">
        <v>0.99886955617500595</v>
      </c>
      <c r="I97">
        <v>29.467510141247701</v>
      </c>
      <c r="J97">
        <v>1805.15177774429</v>
      </c>
      <c r="K97">
        <v>499.26316165923998</v>
      </c>
    </row>
    <row r="98" spans="1:11">
      <c r="A98" t="s">
        <v>154</v>
      </c>
      <c r="B98">
        <v>3.2</v>
      </c>
      <c r="C98">
        <v>1.0719509991496501</v>
      </c>
      <c r="D98">
        <v>40.128587945323297</v>
      </c>
      <c r="E98">
        <v>0.99746643215073005</v>
      </c>
      <c r="F98">
        <v>25.9626746075608</v>
      </c>
      <c r="G98">
        <v>43.134643160944201</v>
      </c>
      <c r="H98">
        <v>0.99802852645159101</v>
      </c>
      <c r="I98">
        <v>27.052090455536799</v>
      </c>
      <c r="J98">
        <v>1199.63780808448</v>
      </c>
      <c r="K98">
        <v>509.38378500938398</v>
      </c>
    </row>
    <row r="99" spans="1:11">
      <c r="A99" t="s">
        <v>154</v>
      </c>
      <c r="B99">
        <v>0.64</v>
      </c>
      <c r="C99">
        <v>0.494323448129251</v>
      </c>
      <c r="D99">
        <v>37.063007256044699</v>
      </c>
      <c r="E99">
        <v>0.99312642302971998</v>
      </c>
      <c r="F99">
        <v>21.628171997412299</v>
      </c>
      <c r="G99">
        <v>40.028458900160302</v>
      </c>
      <c r="H99">
        <v>0.99461010658270099</v>
      </c>
      <c r="I99">
        <v>22.684198227050299</v>
      </c>
      <c r="J99">
        <v>717.69169974326996</v>
      </c>
      <c r="K99">
        <v>382.577341079711</v>
      </c>
    </row>
    <row r="100" spans="1:11">
      <c r="A100" t="s">
        <v>154</v>
      </c>
      <c r="B100">
        <v>0.16</v>
      </c>
      <c r="C100">
        <v>0.218287096088435</v>
      </c>
      <c r="D100">
        <v>34.420284314265501</v>
      </c>
      <c r="E100">
        <v>0.98362729533295501</v>
      </c>
      <c r="F100">
        <v>17.858795719657198</v>
      </c>
      <c r="G100">
        <v>37.322482997220902</v>
      </c>
      <c r="H100">
        <v>0.98682113768369195</v>
      </c>
      <c r="I100">
        <v>18.8012207920146</v>
      </c>
      <c r="J100">
        <v>617.06867909431401</v>
      </c>
      <c r="K100">
        <v>406.74590015411297</v>
      </c>
    </row>
    <row r="101" spans="1:11">
      <c r="A101" t="s">
        <v>154</v>
      </c>
      <c r="B101">
        <v>0.08</v>
      </c>
      <c r="C101">
        <v>0.15479937287414899</v>
      </c>
      <c r="D101">
        <v>32.967668651917002</v>
      </c>
      <c r="E101">
        <v>0.97680530026934098</v>
      </c>
      <c r="F101">
        <v>16.346112453121499</v>
      </c>
      <c r="G101">
        <v>35.859340771148801</v>
      </c>
      <c r="H101">
        <v>0.98135647889809097</v>
      </c>
      <c r="I101">
        <v>17.294720613642902</v>
      </c>
      <c r="J101">
        <v>361.76493382453901</v>
      </c>
      <c r="K101">
        <v>236.56704211235001</v>
      </c>
    </row>
    <row r="102" spans="1:11">
      <c r="A102" t="s">
        <v>154</v>
      </c>
      <c r="B102">
        <v>0.04</v>
      </c>
      <c r="C102">
        <v>0.103569036989795</v>
      </c>
      <c r="D102">
        <v>31.323145464551001</v>
      </c>
      <c r="E102">
        <v>0.96687759059112199</v>
      </c>
      <c r="F102">
        <v>14.798780790453399</v>
      </c>
      <c r="G102">
        <v>34.163246864073699</v>
      </c>
      <c r="H102">
        <v>0.97327134769291401</v>
      </c>
      <c r="I102">
        <v>15.7302293837595</v>
      </c>
      <c r="J102">
        <v>638.35446119308403</v>
      </c>
      <c r="K102">
        <v>385.41435980796803</v>
      </c>
    </row>
    <row r="103" spans="1:11">
      <c r="A103" t="s">
        <v>155</v>
      </c>
      <c r="B103">
        <v>6.4</v>
      </c>
      <c r="C103">
        <v>1.2057953337584999</v>
      </c>
      <c r="D103">
        <v>44.519023395532301</v>
      </c>
      <c r="E103">
        <v>0.99856145183961798</v>
      </c>
      <c r="F103">
        <v>28.4207559401849</v>
      </c>
      <c r="G103">
        <v>47.636138320459096</v>
      </c>
      <c r="H103">
        <v>0.99891596791142601</v>
      </c>
      <c r="I103">
        <v>29.6495786200061</v>
      </c>
      <c r="J103">
        <v>1235.8284482955901</v>
      </c>
      <c r="K103">
        <v>500.57232522964398</v>
      </c>
    </row>
    <row r="104" spans="1:11">
      <c r="A104" t="s">
        <v>155</v>
      </c>
      <c r="B104">
        <v>3.2</v>
      </c>
      <c r="C104">
        <v>0.87277024872448905</v>
      </c>
      <c r="D104">
        <v>42.662013124627997</v>
      </c>
      <c r="E104">
        <v>0.99776529656476898</v>
      </c>
      <c r="F104">
        <v>26.507801033994799</v>
      </c>
      <c r="G104">
        <v>45.926635615738199</v>
      </c>
      <c r="H104">
        <v>0.99823581055672295</v>
      </c>
      <c r="I104">
        <v>27.5345478102276</v>
      </c>
      <c r="J104">
        <v>923.58063006401005</v>
      </c>
      <c r="K104">
        <v>509.70669770240698</v>
      </c>
    </row>
    <row r="105" spans="1:11">
      <c r="A105" t="s">
        <v>155</v>
      </c>
      <c r="B105">
        <v>1.28</v>
      </c>
      <c r="C105">
        <v>0.56791347789115598</v>
      </c>
      <c r="D105">
        <v>40.544238488197102</v>
      </c>
      <c r="E105">
        <v>0.99605842117322296</v>
      </c>
      <c r="F105">
        <v>24.043297836534801</v>
      </c>
      <c r="G105">
        <v>43.9270875690341</v>
      </c>
      <c r="H105">
        <v>0.99673991705682696</v>
      </c>
      <c r="I105">
        <v>24.8677135045235</v>
      </c>
      <c r="J105">
        <v>1045.09963583946</v>
      </c>
      <c r="K105">
        <v>467.92568874359102</v>
      </c>
    </row>
    <row r="106" spans="1:11">
      <c r="A106" t="s">
        <v>155</v>
      </c>
      <c r="B106">
        <v>0.32</v>
      </c>
      <c r="C106">
        <v>0.27438748937074797</v>
      </c>
      <c r="D106">
        <v>38.1684675627288</v>
      </c>
      <c r="E106">
        <v>0.99124309894002904</v>
      </c>
      <c r="F106">
        <v>20.5764955714988</v>
      </c>
      <c r="G106">
        <v>41.446449281590297</v>
      </c>
      <c r="H106">
        <v>0.99250703877827895</v>
      </c>
      <c r="I106">
        <v>21.253465149978499</v>
      </c>
      <c r="J106">
        <v>521.81462359428394</v>
      </c>
      <c r="K106">
        <v>378.71225190162602</v>
      </c>
    </row>
    <row r="107" spans="1:11">
      <c r="A107" t="s">
        <v>155</v>
      </c>
      <c r="B107">
        <v>0.08</v>
      </c>
      <c r="C107">
        <v>0.115569462159863</v>
      </c>
      <c r="D107">
        <v>35.587247029443603</v>
      </c>
      <c r="E107">
        <v>0.98029792689259199</v>
      </c>
      <c r="F107">
        <v>17.054880737502</v>
      </c>
      <c r="G107">
        <v>38.643941501320903</v>
      </c>
      <c r="H107">
        <v>0.98262139944142601</v>
      </c>
      <c r="I107">
        <v>17.599851987826</v>
      </c>
      <c r="J107">
        <v>353.36767673492398</v>
      </c>
      <c r="K107">
        <v>239.05373358726499</v>
      </c>
    </row>
    <row r="108" spans="1:11">
      <c r="A108" t="s">
        <v>155</v>
      </c>
      <c r="B108">
        <v>0.04</v>
      </c>
      <c r="C108">
        <v>7.4339126275510203E-2</v>
      </c>
      <c r="D108">
        <v>34.026512387208903</v>
      </c>
      <c r="E108">
        <v>0.97160160007912799</v>
      </c>
      <c r="F108">
        <v>15.4670612914706</v>
      </c>
      <c r="G108">
        <v>36.796815515108001</v>
      </c>
      <c r="H108">
        <v>0.97483884282948396</v>
      </c>
      <c r="I108">
        <v>15.992693894106701</v>
      </c>
      <c r="J108">
        <v>632.45482540130604</v>
      </c>
      <c r="K108">
        <v>388.76078653335497</v>
      </c>
    </row>
    <row r="109" spans="1:11">
      <c r="A109" t="s">
        <v>156</v>
      </c>
      <c r="B109">
        <v>6.4</v>
      </c>
      <c r="C109">
        <v>1.23761027848639</v>
      </c>
      <c r="D109">
        <v>43.9222540200224</v>
      </c>
      <c r="E109">
        <v>0.99861394738588805</v>
      </c>
      <c r="F109">
        <v>28.5822028373229</v>
      </c>
      <c r="G109">
        <v>46.982709333331002</v>
      </c>
      <c r="H109">
        <v>0.99893199429587998</v>
      </c>
      <c r="I109">
        <v>29.714264277746</v>
      </c>
      <c r="J109">
        <v>1149.7320542335499</v>
      </c>
      <c r="K109">
        <v>489.89538478851301</v>
      </c>
    </row>
    <row r="110" spans="1:11">
      <c r="A110" t="s">
        <v>156</v>
      </c>
      <c r="B110">
        <v>3.2</v>
      </c>
      <c r="C110">
        <v>0.92037335246598595</v>
      </c>
      <c r="D110">
        <v>42.0104024216553</v>
      </c>
      <c r="E110">
        <v>0.99782859958063597</v>
      </c>
      <c r="F110">
        <v>26.632600826326499</v>
      </c>
      <c r="G110">
        <v>45.230716988398598</v>
      </c>
      <c r="H110">
        <v>0.99825134871373</v>
      </c>
      <c r="I110">
        <v>27.572967883190199</v>
      </c>
      <c r="J110">
        <v>909.74441862106301</v>
      </c>
      <c r="K110">
        <v>521.52171134948696</v>
      </c>
    </row>
    <row r="111" spans="1:11">
      <c r="A111" t="s">
        <v>156</v>
      </c>
      <c r="B111">
        <v>0.64</v>
      </c>
      <c r="C111">
        <v>0.45663823341836701</v>
      </c>
      <c r="D111">
        <v>38.2769161908328</v>
      </c>
      <c r="E111">
        <v>0.99421829543404405</v>
      </c>
      <c r="F111">
        <v>22.379441037157601</v>
      </c>
      <c r="G111">
        <v>41.648967919052602</v>
      </c>
      <c r="H111">
        <v>0.99501126707630605</v>
      </c>
      <c r="I111">
        <v>23.020097457843701</v>
      </c>
      <c r="J111">
        <v>649.19287276268005</v>
      </c>
      <c r="K111">
        <v>388.18882727622901</v>
      </c>
    </row>
    <row r="112" spans="1:11">
      <c r="A112" t="s">
        <v>156</v>
      </c>
      <c r="B112">
        <v>0.16</v>
      </c>
      <c r="C112">
        <v>0.2365340667517</v>
      </c>
      <c r="D112">
        <v>35.857093632876101</v>
      </c>
      <c r="E112">
        <v>0.98644346248833004</v>
      </c>
      <c r="F112">
        <v>18.678512198786201</v>
      </c>
      <c r="G112">
        <v>39.0883442690116</v>
      </c>
      <c r="H112">
        <v>0.98788862817807399</v>
      </c>
      <c r="I112">
        <v>19.1680666272397</v>
      </c>
      <c r="J112">
        <v>603.21685218811001</v>
      </c>
      <c r="K112">
        <v>406.97411036491297</v>
      </c>
    </row>
    <row r="113" spans="1:11">
      <c r="A113" t="s">
        <v>156</v>
      </c>
      <c r="B113">
        <v>0.08</v>
      </c>
      <c r="C113">
        <v>0.16231850552721</v>
      </c>
      <c r="D113">
        <v>34.3370057803075</v>
      </c>
      <c r="E113">
        <v>0.97885271436223698</v>
      </c>
      <c r="F113">
        <v>16.7474536862902</v>
      </c>
      <c r="G113">
        <v>37.359527491799497</v>
      </c>
      <c r="H113">
        <v>0.98072171261840002</v>
      </c>
      <c r="I113">
        <v>17.149315499849099</v>
      </c>
      <c r="J113">
        <v>349.59437012672402</v>
      </c>
      <c r="K113">
        <v>237.931612253189</v>
      </c>
    </row>
    <row r="114" spans="1:11">
      <c r="A114" t="s">
        <v>156</v>
      </c>
      <c r="B114">
        <v>0.04</v>
      </c>
      <c r="C114">
        <v>0.10934762967687001</v>
      </c>
      <c r="D114">
        <v>32.788251284694503</v>
      </c>
      <c r="E114">
        <v>0.96785696358902096</v>
      </c>
      <c r="F114">
        <v>14.9291309974924</v>
      </c>
      <c r="G114">
        <v>35.690759802742399</v>
      </c>
      <c r="H114">
        <v>0.97038730378112603</v>
      </c>
      <c r="I114">
        <v>15.2852204854889</v>
      </c>
      <c r="J114">
        <v>668.89098024368195</v>
      </c>
      <c r="K114">
        <v>422.512843370437</v>
      </c>
    </row>
    <row r="115" spans="1:11">
      <c r="A115" t="s">
        <v>157</v>
      </c>
      <c r="B115">
        <v>3.2</v>
      </c>
      <c r="C115">
        <v>1.31449378188775</v>
      </c>
      <c r="D115">
        <v>37.804259577981099</v>
      </c>
      <c r="E115">
        <v>0.99768270916283597</v>
      </c>
      <c r="F115">
        <v>26.350194556150502</v>
      </c>
      <c r="G115">
        <v>41.3360938139637</v>
      </c>
      <c r="H115">
        <v>0.99813939009370001</v>
      </c>
      <c r="I115">
        <v>27.303446710927101</v>
      </c>
      <c r="J115">
        <v>1044.75878238677</v>
      </c>
      <c r="K115">
        <v>523.44807004928498</v>
      </c>
    </row>
    <row r="116" spans="1:11">
      <c r="A116" t="s">
        <v>157</v>
      </c>
      <c r="B116">
        <v>1.28</v>
      </c>
      <c r="C116">
        <v>0.91973320578231199</v>
      </c>
      <c r="D116">
        <v>34.878507246538099</v>
      </c>
      <c r="E116">
        <v>0.99541347945813097</v>
      </c>
      <c r="F116">
        <v>23.385166570565602</v>
      </c>
      <c r="G116">
        <v>38.6858623878313</v>
      </c>
      <c r="H116">
        <v>0.99614484469206999</v>
      </c>
      <c r="I116">
        <v>24.139581213696101</v>
      </c>
      <c r="J116">
        <v>1131.44350218772</v>
      </c>
      <c r="K116">
        <v>488.70144820213301</v>
      </c>
    </row>
    <row r="117" spans="1:11">
      <c r="A117" t="s">
        <v>157</v>
      </c>
      <c r="B117">
        <v>0.32</v>
      </c>
      <c r="C117">
        <v>0.51648304634353703</v>
      </c>
      <c r="D117">
        <v>32.044968933128203</v>
      </c>
      <c r="E117">
        <v>0.98861899400120801</v>
      </c>
      <c r="F117">
        <v>19.438193477463901</v>
      </c>
      <c r="G117">
        <v>35.891539285560803</v>
      </c>
      <c r="H117">
        <v>0.99006317600914096</v>
      </c>
      <c r="I117">
        <v>20.027524026902899</v>
      </c>
      <c r="J117">
        <v>545.219978570938</v>
      </c>
      <c r="K117">
        <v>381.47445607185301</v>
      </c>
    </row>
    <row r="118" spans="1:11">
      <c r="A118" t="s">
        <v>157</v>
      </c>
      <c r="B118">
        <v>0.16</v>
      </c>
      <c r="C118">
        <v>0.38143202593537401</v>
      </c>
      <c r="D118">
        <v>30.869057538295198</v>
      </c>
      <c r="E118">
        <v>0.98179225535797698</v>
      </c>
      <c r="F118">
        <v>17.397438460878501</v>
      </c>
      <c r="G118">
        <v>34.652089158954198</v>
      </c>
      <c r="H118">
        <v>0.98375298474119899</v>
      </c>
      <c r="I118">
        <v>17.8922641165084</v>
      </c>
      <c r="J118">
        <v>617.39833950996399</v>
      </c>
      <c r="K118">
        <v>407.75412893295203</v>
      </c>
    </row>
    <row r="119" spans="1:11">
      <c r="A119" t="s">
        <v>157</v>
      </c>
      <c r="B119">
        <v>0.08</v>
      </c>
      <c r="C119">
        <v>0.26847443664965898</v>
      </c>
      <c r="D119">
        <v>29.5474042446331</v>
      </c>
      <c r="E119">
        <v>0.96997195141452597</v>
      </c>
      <c r="F119">
        <v>15.224728901152901</v>
      </c>
      <c r="G119">
        <v>33.175866077608397</v>
      </c>
      <c r="H119">
        <v>0.97267305108219304</v>
      </c>
      <c r="I119">
        <v>15.6340885502999</v>
      </c>
      <c r="J119">
        <v>355.85702347755398</v>
      </c>
      <c r="K119">
        <v>236.879007577896</v>
      </c>
    </row>
    <row r="120" spans="1:11">
      <c r="A120" t="s">
        <v>157</v>
      </c>
      <c r="B120">
        <v>0.04</v>
      </c>
      <c r="C120">
        <v>0.175248990221088</v>
      </c>
      <c r="D120">
        <v>28.152069992142899</v>
      </c>
      <c r="E120">
        <v>0.95121248155173499</v>
      </c>
      <c r="F120">
        <v>13.1169127148875</v>
      </c>
      <c r="G120">
        <v>31.775149225479101</v>
      </c>
      <c r="H120">
        <v>0.954529912884587</v>
      </c>
      <c r="I120">
        <v>13.4227421373624</v>
      </c>
      <c r="J120">
        <v>695.08529901504505</v>
      </c>
      <c r="K120">
        <v>417.97691011428799</v>
      </c>
    </row>
    <row r="121" spans="1:11">
      <c r="A121" t="s">
        <v>158</v>
      </c>
      <c r="B121">
        <v>6.4</v>
      </c>
      <c r="C121">
        <v>1.51870934311224</v>
      </c>
      <c r="D121">
        <v>42.216730155297903</v>
      </c>
      <c r="E121">
        <v>0.998437970590343</v>
      </c>
      <c r="F121">
        <v>28.063107935499701</v>
      </c>
      <c r="G121">
        <v>45.211841536961003</v>
      </c>
      <c r="H121">
        <v>0.99886144435266699</v>
      </c>
      <c r="I121">
        <v>29.436457382251099</v>
      </c>
      <c r="J121">
        <v>864.18128681182804</v>
      </c>
      <c r="K121">
        <v>372.89935517311</v>
      </c>
    </row>
    <row r="122" spans="1:11">
      <c r="A122" t="s">
        <v>158</v>
      </c>
      <c r="B122">
        <v>3.2</v>
      </c>
      <c r="C122">
        <v>1.0541759672619</v>
      </c>
      <c r="D122">
        <v>40.196974656022199</v>
      </c>
      <c r="E122">
        <v>0.99741119338508499</v>
      </c>
      <c r="F122">
        <v>25.8690039035775</v>
      </c>
      <c r="G122">
        <v>43.301918811282398</v>
      </c>
      <c r="H122">
        <v>0.99797050472293602</v>
      </c>
      <c r="I122">
        <v>26.926119550130799</v>
      </c>
      <c r="J122">
        <v>1286.7579474449101</v>
      </c>
      <c r="K122">
        <v>509.06252908706603</v>
      </c>
    </row>
    <row r="123" spans="1:11">
      <c r="A123" t="s">
        <v>158</v>
      </c>
      <c r="B123">
        <v>0.64</v>
      </c>
      <c r="C123">
        <v>0.482292729591836</v>
      </c>
      <c r="D123">
        <v>36.914267497080999</v>
      </c>
      <c r="E123">
        <v>0.99347070674467397</v>
      </c>
      <c r="F123">
        <v>21.851338251450098</v>
      </c>
      <c r="G123">
        <v>40.054147927037398</v>
      </c>
      <c r="H123">
        <v>0.99450860735163804</v>
      </c>
      <c r="I123">
        <v>22.603175020345098</v>
      </c>
      <c r="J123">
        <v>731.01846194267205</v>
      </c>
      <c r="K123">
        <v>385.86001729965199</v>
      </c>
    </row>
    <row r="124" spans="1:11">
      <c r="A124" t="s">
        <v>158</v>
      </c>
      <c r="B124">
        <v>0.32</v>
      </c>
      <c r="C124">
        <v>0.32791108630952298</v>
      </c>
      <c r="D124">
        <v>35.822965737389303</v>
      </c>
      <c r="E124">
        <v>0.98993733448491505</v>
      </c>
      <c r="F124">
        <v>19.972869631014099</v>
      </c>
      <c r="G124">
        <v>38.900780384281497</v>
      </c>
      <c r="H124">
        <v>0.99135495375398597</v>
      </c>
      <c r="I124">
        <v>20.632326791587399</v>
      </c>
      <c r="J124">
        <v>566.61060595512299</v>
      </c>
      <c r="K124">
        <v>381.91793489456097</v>
      </c>
    </row>
    <row r="125" spans="1:11">
      <c r="A125" t="s">
        <v>158</v>
      </c>
      <c r="B125">
        <v>0.08</v>
      </c>
      <c r="C125">
        <v>9.56863839285714E-2</v>
      </c>
      <c r="D125">
        <v>33.201083757239097</v>
      </c>
      <c r="E125">
        <v>0.97667401106148</v>
      </c>
      <c r="F125">
        <v>16.321599346580999</v>
      </c>
      <c r="G125">
        <v>36.153156811038997</v>
      </c>
      <c r="H125">
        <v>0.97960345081698197</v>
      </c>
      <c r="I125">
        <v>16.904433030419298</v>
      </c>
      <c r="J125">
        <v>354.88584470748901</v>
      </c>
      <c r="K125">
        <v>237.816675186157</v>
      </c>
    </row>
    <row r="126" spans="1:11">
      <c r="A126" t="s">
        <v>158</v>
      </c>
      <c r="B126">
        <v>0.04</v>
      </c>
      <c r="C126">
        <v>6.3945312500000004E-2</v>
      </c>
      <c r="D126">
        <v>31.8696827886485</v>
      </c>
      <c r="E126">
        <v>0.97033646566717602</v>
      </c>
      <c r="F126">
        <v>15.277771051688299</v>
      </c>
      <c r="G126">
        <v>34.746379364089002</v>
      </c>
      <c r="H126">
        <v>0.97420321775039997</v>
      </c>
      <c r="I126">
        <v>15.884344621916</v>
      </c>
      <c r="J126">
        <v>688.52889013290405</v>
      </c>
      <c r="K126">
        <v>408.66877079009998</v>
      </c>
    </row>
    <row r="127" spans="1:11">
      <c r="A127" t="s">
        <v>159</v>
      </c>
      <c r="B127">
        <v>6.4</v>
      </c>
      <c r="C127">
        <v>1.72092735264696</v>
      </c>
      <c r="D127">
        <v>43.441441370630898</v>
      </c>
      <c r="E127">
        <v>0.99846063001462404</v>
      </c>
      <c r="F127">
        <v>28.1265698556461</v>
      </c>
      <c r="G127">
        <v>46.775795038189003</v>
      </c>
      <c r="H127">
        <v>0.99871266241350598</v>
      </c>
      <c r="I127">
        <v>28.9030755043363</v>
      </c>
      <c r="J127">
        <v>516.24760413169804</v>
      </c>
      <c r="K127">
        <v>241.781715154647</v>
      </c>
    </row>
    <row r="128" spans="1:11">
      <c r="A128" t="s">
        <v>159</v>
      </c>
      <c r="B128">
        <v>1.28</v>
      </c>
      <c r="C128">
        <v>0.77979402316097202</v>
      </c>
      <c r="D128">
        <v>38.423097530899199</v>
      </c>
      <c r="E128">
        <v>0.99482093274201799</v>
      </c>
      <c r="F128">
        <v>22.8574844897811</v>
      </c>
      <c r="G128">
        <v>42.334588047655402</v>
      </c>
      <c r="H128">
        <v>0.99520603886845804</v>
      </c>
      <c r="I128">
        <v>23.193054914591201</v>
      </c>
      <c r="J128">
        <v>912.09336924552895</v>
      </c>
      <c r="K128">
        <v>363.03239345550497</v>
      </c>
    </row>
    <row r="129" spans="1:11">
      <c r="A129" t="s">
        <v>159</v>
      </c>
      <c r="B129">
        <v>0.64</v>
      </c>
      <c r="C129">
        <v>0.52033999243356899</v>
      </c>
      <c r="D129">
        <v>36.9245061996277</v>
      </c>
      <c r="E129">
        <v>0.99179589795948897</v>
      </c>
      <c r="F129">
        <v>20.8596894662703</v>
      </c>
      <c r="G129">
        <v>40.916104261959397</v>
      </c>
      <c r="H129">
        <v>0.99225796621080498</v>
      </c>
      <c r="I129">
        <v>21.111449375858101</v>
      </c>
      <c r="J129">
        <v>619.686295270919</v>
      </c>
      <c r="K129">
        <v>276.16178393363901</v>
      </c>
    </row>
    <row r="130" spans="1:11">
      <c r="A130" t="s">
        <v>159</v>
      </c>
      <c r="B130">
        <v>0.16</v>
      </c>
      <c r="C130">
        <v>0.25220420385759701</v>
      </c>
      <c r="D130">
        <v>35.4358571201304</v>
      </c>
      <c r="E130">
        <v>0.98222173284400105</v>
      </c>
      <c r="F130">
        <v>17.5011057189577</v>
      </c>
      <c r="G130">
        <v>39.081594557447801</v>
      </c>
      <c r="H130">
        <v>0.98292603083014896</v>
      </c>
      <c r="I130">
        <v>17.676655071111298</v>
      </c>
      <c r="J130">
        <v>527.44961690902699</v>
      </c>
      <c r="K130">
        <v>303.05165791511502</v>
      </c>
    </row>
    <row r="131" spans="1:11">
      <c r="A131" t="s">
        <v>159</v>
      </c>
      <c r="B131">
        <v>0.08</v>
      </c>
      <c r="C131">
        <v>0.130897247229916</v>
      </c>
      <c r="D131">
        <v>34.240808577104602</v>
      </c>
      <c r="E131">
        <v>0.97060130175620096</v>
      </c>
      <c r="F131">
        <v>15.3167189945353</v>
      </c>
      <c r="G131">
        <v>37.4112749911151</v>
      </c>
      <c r="H131">
        <v>0.97155898812362995</v>
      </c>
      <c r="I131">
        <v>15.4605495630703</v>
      </c>
      <c r="J131">
        <v>236.51053380966101</v>
      </c>
      <c r="K131">
        <v>158.61000275611801</v>
      </c>
    </row>
    <row r="132" spans="1:11">
      <c r="A132" t="s">
        <v>159</v>
      </c>
      <c r="B132">
        <v>0.04</v>
      </c>
      <c r="C132">
        <v>7.3696954832255995E-2</v>
      </c>
      <c r="D132">
        <v>33.230668009358702</v>
      </c>
      <c r="E132">
        <v>0.95989802130587498</v>
      </c>
      <c r="F132">
        <v>13.9683419808458</v>
      </c>
      <c r="G132">
        <v>36.275807543529297</v>
      </c>
      <c r="H132">
        <v>0.96134984534579404</v>
      </c>
      <c r="I132">
        <v>14.128487639621101</v>
      </c>
      <c r="J132">
        <v>524.46454262733403</v>
      </c>
      <c r="K132">
        <v>310.49388384819002</v>
      </c>
    </row>
    <row r="133" spans="1:11">
      <c r="A133" t="s">
        <v>160</v>
      </c>
      <c r="B133">
        <v>6.4</v>
      </c>
      <c r="C133">
        <v>1.73483843537414</v>
      </c>
      <c r="D133">
        <v>44.328326473584198</v>
      </c>
      <c r="E133">
        <v>0.99807882825128902</v>
      </c>
      <c r="F133">
        <v>27.164338083902599</v>
      </c>
      <c r="G133">
        <v>47.138243723199203</v>
      </c>
      <c r="H133">
        <v>0.99861323897606302</v>
      </c>
      <c r="I133">
        <v>28.579983730489602</v>
      </c>
      <c r="J133">
        <v>768.04738235473599</v>
      </c>
      <c r="K133">
        <v>366.623615741729</v>
      </c>
    </row>
    <row r="134" spans="1:11">
      <c r="A134" t="s">
        <v>160</v>
      </c>
      <c r="B134">
        <v>3.2</v>
      </c>
      <c r="C134">
        <v>1.2266361075680201</v>
      </c>
      <c r="D134">
        <v>42.2448454238842</v>
      </c>
      <c r="E134">
        <v>0.99685541124812405</v>
      </c>
      <c r="F134">
        <v>25.0243614337273</v>
      </c>
      <c r="G134">
        <v>45.183078232651397</v>
      </c>
      <c r="H134">
        <v>0.99758670608286104</v>
      </c>
      <c r="I134">
        <v>26.173897817720899</v>
      </c>
      <c r="J134">
        <v>1145.5626349449101</v>
      </c>
      <c r="K134">
        <v>542.33173274993896</v>
      </c>
    </row>
    <row r="135" spans="1:11">
      <c r="A135" t="s">
        <v>160</v>
      </c>
      <c r="B135">
        <v>0.64</v>
      </c>
      <c r="C135">
        <v>0.52131829294217602</v>
      </c>
      <c r="D135">
        <v>39.105802236401999</v>
      </c>
      <c r="E135">
        <v>0.99149554335308199</v>
      </c>
      <c r="F135">
        <v>20.703534284104201</v>
      </c>
      <c r="G135">
        <v>42.079640424083003</v>
      </c>
      <c r="H135">
        <v>0.99328434470925397</v>
      </c>
      <c r="I135">
        <v>21.729116039528801</v>
      </c>
      <c r="J135">
        <v>908.42408967018105</v>
      </c>
      <c r="K135">
        <v>410.19489479064902</v>
      </c>
    </row>
    <row r="136" spans="1:11">
      <c r="A136" t="s">
        <v>160</v>
      </c>
      <c r="B136">
        <v>0.16</v>
      </c>
      <c r="C136">
        <v>0.17250026573129201</v>
      </c>
      <c r="D136">
        <v>37.171957969720403</v>
      </c>
      <c r="E136">
        <v>0.97861145430921903</v>
      </c>
      <c r="F136">
        <v>16.698187441774699</v>
      </c>
      <c r="G136">
        <v>40.095790170213199</v>
      </c>
      <c r="H136">
        <v>0.982350883660011</v>
      </c>
      <c r="I136">
        <v>17.532770340877001</v>
      </c>
      <c r="J136">
        <v>868.518798828125</v>
      </c>
      <c r="K136">
        <v>519.64896202087402</v>
      </c>
    </row>
    <row r="137" spans="1:11">
      <c r="A137" t="s">
        <v>160</v>
      </c>
      <c r="B137">
        <v>0.08</v>
      </c>
      <c r="C137">
        <v>8.5351031037414898E-2</v>
      </c>
      <c r="D137">
        <v>36.1764906363669</v>
      </c>
      <c r="E137">
        <v>0.97043961709271198</v>
      </c>
      <c r="F137">
        <v>15.2928994465322</v>
      </c>
      <c r="G137">
        <v>39.0480223058671</v>
      </c>
      <c r="H137">
        <v>0.97601127219606798</v>
      </c>
      <c r="I137">
        <v>16.1999278339452</v>
      </c>
      <c r="J137">
        <v>349.74441432952801</v>
      </c>
      <c r="K137">
        <v>237.637830257415</v>
      </c>
    </row>
    <row r="138" spans="1:11">
      <c r="A138" t="s">
        <v>160</v>
      </c>
      <c r="B138">
        <v>0.04</v>
      </c>
      <c r="C138">
        <v>5.1509088010203999E-2</v>
      </c>
      <c r="D138">
        <v>35.122864265440199</v>
      </c>
      <c r="E138">
        <v>0.96378453326466895</v>
      </c>
      <c r="F138">
        <v>14.4110591335509</v>
      </c>
      <c r="G138">
        <v>37.941249482147498</v>
      </c>
      <c r="H138">
        <v>0.97161387993321602</v>
      </c>
      <c r="I138">
        <v>15.468939645977599</v>
      </c>
      <c r="J138">
        <v>806.57968139648403</v>
      </c>
      <c r="K138">
        <v>498.25833821296601</v>
      </c>
    </row>
    <row r="139" spans="1:11">
      <c r="A139" t="s">
        <v>161</v>
      </c>
      <c r="B139">
        <v>6.4</v>
      </c>
      <c r="C139">
        <v>0.80537911824714803</v>
      </c>
      <c r="D139">
        <v>47.473667677215403</v>
      </c>
      <c r="E139">
        <v>0.99868710647291903</v>
      </c>
      <c r="F139">
        <v>28.817704928565998</v>
      </c>
      <c r="G139">
        <v>50.1775419605396</v>
      </c>
      <c r="H139">
        <v>0.99906643985640498</v>
      </c>
      <c r="I139">
        <v>30.298576978651798</v>
      </c>
      <c r="J139">
        <v>711.488208293914</v>
      </c>
      <c r="K139">
        <v>370.303617715835</v>
      </c>
    </row>
    <row r="140" spans="1:11">
      <c r="A140" t="s">
        <v>161</v>
      </c>
      <c r="B140">
        <v>3.2</v>
      </c>
      <c r="C140">
        <v>0.59831015581607205</v>
      </c>
      <c r="D140">
        <v>46.133840543881199</v>
      </c>
      <c r="E140">
        <v>0.99811621479457902</v>
      </c>
      <c r="F140">
        <v>27.2496861821968</v>
      </c>
      <c r="G140">
        <v>48.882765524619501</v>
      </c>
      <c r="H140">
        <v>0.99859878277590097</v>
      </c>
      <c r="I140">
        <v>28.534945328695098</v>
      </c>
      <c r="J140">
        <v>1093.6214299201899</v>
      </c>
      <c r="K140">
        <v>551.28243684768597</v>
      </c>
    </row>
    <row r="141" spans="1:11">
      <c r="A141" t="s">
        <v>161</v>
      </c>
      <c r="B141">
        <v>1.28</v>
      </c>
      <c r="C141">
        <v>0.34355249318272901</v>
      </c>
      <c r="D141">
        <v>44.727103765289499</v>
      </c>
      <c r="E141">
        <v>0.99672521864178698</v>
      </c>
      <c r="F141">
        <v>24.848176905092501</v>
      </c>
      <c r="G141">
        <v>47.460355155850699</v>
      </c>
      <c r="H141">
        <v>0.99739951361934198</v>
      </c>
      <c r="I141">
        <v>25.8494541638287</v>
      </c>
      <c r="J141">
        <v>1116.49086284637</v>
      </c>
      <c r="K141">
        <v>509.358784437179</v>
      </c>
    </row>
    <row r="142" spans="1:11">
      <c r="A142" t="s">
        <v>161</v>
      </c>
      <c r="B142">
        <v>0.64</v>
      </c>
      <c r="C142">
        <v>0.18958490457157101</v>
      </c>
      <c r="D142">
        <v>43.524698689375199</v>
      </c>
      <c r="E142">
        <v>0.99500744783237405</v>
      </c>
      <c r="F142">
        <v>23.016773884515501</v>
      </c>
      <c r="G142">
        <v>46.254299638072901</v>
      </c>
      <c r="H142">
        <v>0.99588426398248198</v>
      </c>
      <c r="I142">
        <v>23.8555248857724</v>
      </c>
      <c r="J142">
        <v>895.65497851371697</v>
      </c>
      <c r="K142">
        <v>429.90294933319001</v>
      </c>
    </row>
    <row r="143" spans="1:11">
      <c r="A143" t="s">
        <v>161</v>
      </c>
      <c r="B143">
        <v>0.32</v>
      </c>
      <c r="C143">
        <v>9.3014899279120503E-2</v>
      </c>
      <c r="D143">
        <v>42.282291765946503</v>
      </c>
      <c r="E143">
        <v>0.99284567340095398</v>
      </c>
      <c r="F143">
        <v>21.454312379463701</v>
      </c>
      <c r="G143">
        <v>44.944101058389698</v>
      </c>
      <c r="H143">
        <v>0.99401108064544397</v>
      </c>
      <c r="I143">
        <v>22.2265153498846</v>
      </c>
      <c r="J143">
        <v>731.44034910202004</v>
      </c>
      <c r="K143">
        <v>402.56691169738701</v>
      </c>
    </row>
    <row r="144" spans="1:11">
      <c r="A144" t="s">
        <v>161</v>
      </c>
      <c r="B144">
        <v>0.16</v>
      </c>
      <c r="C144">
        <v>5.7528492009360201E-2</v>
      </c>
      <c r="D144">
        <v>40.723372484133698</v>
      </c>
      <c r="E144">
        <v>0.99095041642618598</v>
      </c>
      <c r="F144">
        <v>20.433714048562202</v>
      </c>
      <c r="G144">
        <v>43.298485592368102</v>
      </c>
      <c r="H144">
        <v>0.99249078837691096</v>
      </c>
      <c r="I144">
        <v>21.244056563000999</v>
      </c>
      <c r="J144">
        <v>732.90336728095997</v>
      </c>
      <c r="K144">
        <v>468.28124499320899</v>
      </c>
    </row>
    <row r="145" spans="1:11">
      <c r="A145" t="s">
        <v>162</v>
      </c>
      <c r="B145">
        <v>6.4</v>
      </c>
      <c r="C145">
        <v>1.70112848328448</v>
      </c>
      <c r="D145">
        <v>44.235032455222303</v>
      </c>
      <c r="E145">
        <v>0.99767941881161304</v>
      </c>
      <c r="F145">
        <v>26.344032326527199</v>
      </c>
      <c r="G145">
        <v>47.021148891989299</v>
      </c>
      <c r="H145">
        <v>0.99855363014352005</v>
      </c>
      <c r="I145">
        <v>28.397206378234099</v>
      </c>
      <c r="J145">
        <v>317.83900642395002</v>
      </c>
      <c r="K145">
        <v>149.862492084503</v>
      </c>
    </row>
    <row r="146" spans="1:11">
      <c r="A146" t="s">
        <v>162</v>
      </c>
      <c r="B146">
        <v>3.2</v>
      </c>
      <c r="C146">
        <v>1.13930416613567</v>
      </c>
      <c r="D146">
        <v>42.185200048837402</v>
      </c>
      <c r="E146">
        <v>0.99646368158785803</v>
      </c>
      <c r="F146">
        <v>24.514486377737001</v>
      </c>
      <c r="G146">
        <v>45.048548009892301</v>
      </c>
      <c r="H146">
        <v>0.99747837755930002</v>
      </c>
      <c r="I146">
        <v>25.983199392521598</v>
      </c>
      <c r="J146">
        <v>419.48566293716402</v>
      </c>
      <c r="K146">
        <v>208.398507595062</v>
      </c>
    </row>
    <row r="147" spans="1:11">
      <c r="A147" t="s">
        <v>162</v>
      </c>
      <c r="B147">
        <v>0.64</v>
      </c>
      <c r="C147">
        <v>0.435886458731574</v>
      </c>
      <c r="D147">
        <v>39.439009703257298</v>
      </c>
      <c r="E147">
        <v>0.99157332567233603</v>
      </c>
      <c r="F147">
        <v>20.743437902761801</v>
      </c>
      <c r="G147">
        <v>42.360548924867501</v>
      </c>
      <c r="H147">
        <v>0.99350645810546101</v>
      </c>
      <c r="I147">
        <v>21.8751835317412</v>
      </c>
      <c r="J147">
        <v>415.19187021255402</v>
      </c>
      <c r="K147">
        <v>196.066808223724</v>
      </c>
    </row>
    <row r="148" spans="1:11">
      <c r="A148" t="s">
        <v>162</v>
      </c>
      <c r="B148">
        <v>0.32</v>
      </c>
      <c r="C148">
        <v>0.27895546599549698</v>
      </c>
      <c r="D148">
        <v>38.723483738659901</v>
      </c>
      <c r="E148">
        <v>0.987461500112917</v>
      </c>
      <c r="F148">
        <v>19.017544196243499</v>
      </c>
      <c r="G148">
        <v>41.616952124536802</v>
      </c>
      <c r="H148">
        <v>0.99007093785550604</v>
      </c>
      <c r="I148">
        <v>20.0309177111255</v>
      </c>
      <c r="J148">
        <v>324.16121077537503</v>
      </c>
      <c r="K148">
        <v>195.13688969612099</v>
      </c>
    </row>
    <row r="149" spans="1:11">
      <c r="A149" t="s">
        <v>162</v>
      </c>
      <c r="B149">
        <v>0.16</v>
      </c>
      <c r="C149">
        <v>0.103904491100632</v>
      </c>
      <c r="D149">
        <v>37.848744451376497</v>
      </c>
      <c r="E149">
        <v>0.97992410868784696</v>
      </c>
      <c r="F149">
        <v>16.9732516418843</v>
      </c>
      <c r="G149">
        <v>40.7291293837132</v>
      </c>
      <c r="H149">
        <v>0.98337360922887795</v>
      </c>
      <c r="I149">
        <v>17.792020164632898</v>
      </c>
      <c r="J149">
        <v>319.83525514602599</v>
      </c>
      <c r="K149">
        <v>198.573734998703</v>
      </c>
    </row>
    <row r="150" spans="1:11">
      <c r="A150" t="s">
        <v>162</v>
      </c>
      <c r="B150">
        <v>0.08</v>
      </c>
      <c r="C150">
        <v>4.92498460133384E-2</v>
      </c>
      <c r="D150">
        <v>37.044689816299901</v>
      </c>
      <c r="E150">
        <v>0.97452918301346403</v>
      </c>
      <c r="F150">
        <v>15.939571246455699</v>
      </c>
      <c r="G150">
        <v>39.786914234027698</v>
      </c>
      <c r="H150">
        <v>0.97919608668705405</v>
      </c>
      <c r="I150">
        <v>16.818549645389801</v>
      </c>
      <c r="J150">
        <v>144.05559587478601</v>
      </c>
      <c r="K150">
        <v>98.335088968276906</v>
      </c>
    </row>
    <row r="151" spans="1:11">
      <c r="A151" t="s">
        <v>163</v>
      </c>
      <c r="B151">
        <v>6.4</v>
      </c>
      <c r="C151">
        <v>1.0267143092528199</v>
      </c>
      <c r="D151">
        <v>44.362192523250201</v>
      </c>
      <c r="E151">
        <v>0.99856507059079402</v>
      </c>
      <c r="F151">
        <v>28.431694633527599</v>
      </c>
      <c r="G151">
        <v>47.2832082198872</v>
      </c>
      <c r="H151">
        <v>0.99904318282634197</v>
      </c>
      <c r="I151">
        <v>30.191710382490701</v>
      </c>
      <c r="J151">
        <v>454.10003924369801</v>
      </c>
      <c r="K151">
        <v>194.24528551101599</v>
      </c>
    </row>
    <row r="152" spans="1:11">
      <c r="A152" t="s">
        <v>163</v>
      </c>
      <c r="B152">
        <v>3.2</v>
      </c>
      <c r="C152">
        <v>0.71612222302597695</v>
      </c>
      <c r="D152">
        <v>42.837507083498799</v>
      </c>
      <c r="E152">
        <v>0.99782389998369003</v>
      </c>
      <c r="F152">
        <v>26.623211477912701</v>
      </c>
      <c r="G152">
        <v>45.830490111796202</v>
      </c>
      <c r="H152">
        <v>0.99849288713310702</v>
      </c>
      <c r="I152">
        <v>28.2185422238143</v>
      </c>
      <c r="J152">
        <v>740.17969632148697</v>
      </c>
      <c r="K152">
        <v>280.50541329383799</v>
      </c>
    </row>
    <row r="153" spans="1:11">
      <c r="A153" t="s">
        <v>163</v>
      </c>
      <c r="B153">
        <v>1.28</v>
      </c>
      <c r="C153">
        <v>0.447965394322273</v>
      </c>
      <c r="D153">
        <v>41.122477090767298</v>
      </c>
      <c r="E153">
        <v>0.99645973574688596</v>
      </c>
      <c r="F153">
        <v>24.509643200686</v>
      </c>
      <c r="G153">
        <v>44.185773640557798</v>
      </c>
      <c r="H153">
        <v>0.99740098824819601</v>
      </c>
      <c r="I153">
        <v>25.851917567699299</v>
      </c>
      <c r="J153">
        <v>649.51255726814202</v>
      </c>
      <c r="K153">
        <v>279.82531332969597</v>
      </c>
    </row>
    <row r="154" spans="1:11">
      <c r="A154" t="s">
        <v>163</v>
      </c>
      <c r="B154">
        <v>0.64</v>
      </c>
      <c r="C154">
        <v>0.29269597559799299</v>
      </c>
      <c r="D154">
        <v>39.936739156987201</v>
      </c>
      <c r="E154">
        <v>0.99473274380441601</v>
      </c>
      <c r="F154">
        <v>22.784155573550301</v>
      </c>
      <c r="G154">
        <v>42.9849622399041</v>
      </c>
      <c r="H154">
        <v>0.99597624791862105</v>
      </c>
      <c r="I154">
        <v>23.953687856574401</v>
      </c>
      <c r="J154">
        <v>577.47743988037098</v>
      </c>
      <c r="K154">
        <v>265.06136178970303</v>
      </c>
    </row>
    <row r="155" spans="1:11">
      <c r="A155" t="s">
        <v>163</v>
      </c>
      <c r="B155">
        <v>0.16</v>
      </c>
      <c r="C155">
        <v>0.11804701565715001</v>
      </c>
      <c r="D155">
        <v>37.299183774220701</v>
      </c>
      <c r="E155">
        <v>0.98902396898339695</v>
      </c>
      <c r="F155">
        <v>19.595546743850999</v>
      </c>
      <c r="G155">
        <v>40.2576752315452</v>
      </c>
      <c r="H155">
        <v>0.99100131500511301</v>
      </c>
      <c r="I155">
        <v>20.458209506929698</v>
      </c>
      <c r="J155">
        <v>395.19911360740599</v>
      </c>
      <c r="K155">
        <v>229.49459099769501</v>
      </c>
    </row>
    <row r="156" spans="1:11">
      <c r="A156" t="s">
        <v>163</v>
      </c>
      <c r="B156">
        <v>0.04</v>
      </c>
      <c r="C156">
        <v>5.4597077546296197E-2</v>
      </c>
      <c r="D156">
        <v>34.047233355704499</v>
      </c>
      <c r="E156">
        <v>0.98004985564066804</v>
      </c>
      <c r="F156">
        <v>17.000539574091</v>
      </c>
      <c r="G156">
        <v>36.888474749890698</v>
      </c>
      <c r="H156">
        <v>0.98343336894231903</v>
      </c>
      <c r="I156">
        <v>17.807657994754301</v>
      </c>
      <c r="J156">
        <v>450.68241906166003</v>
      </c>
      <c r="K156">
        <v>275.70728445053101</v>
      </c>
    </row>
    <row r="157" spans="1:11">
      <c r="A157" t="s">
        <v>164</v>
      </c>
      <c r="B157">
        <v>6.4</v>
      </c>
      <c r="C157">
        <v>1.4704762331457999</v>
      </c>
      <c r="D157">
        <v>40.660520264614398</v>
      </c>
      <c r="E157">
        <v>0.99854237975576599</v>
      </c>
      <c r="F157">
        <v>28.363556086080202</v>
      </c>
      <c r="G157">
        <v>43.767848145148001</v>
      </c>
      <c r="H157">
        <v>0.99896665249383199</v>
      </c>
      <c r="I157">
        <v>29.857536042970299</v>
      </c>
      <c r="J157">
        <v>327.88510394096301</v>
      </c>
      <c r="K157">
        <v>128.91474366188001</v>
      </c>
    </row>
    <row r="158" spans="1:11">
      <c r="A158" t="s">
        <v>164</v>
      </c>
      <c r="B158">
        <v>3.2</v>
      </c>
      <c r="C158">
        <v>1.09479698456201</v>
      </c>
      <c r="D158">
        <v>38.667456101537397</v>
      </c>
      <c r="E158">
        <v>0.99768485014494002</v>
      </c>
      <c r="F158">
        <v>26.354208927154801</v>
      </c>
      <c r="G158">
        <v>41.894875097772498</v>
      </c>
      <c r="H158">
        <v>0.99828704955164205</v>
      </c>
      <c r="I158">
        <v>27.662551999745101</v>
      </c>
      <c r="J158">
        <v>568.43137645721401</v>
      </c>
      <c r="K158">
        <v>201.68263339996301</v>
      </c>
    </row>
    <row r="159" spans="1:11">
      <c r="A159" t="s">
        <v>164</v>
      </c>
      <c r="B159">
        <v>0.64</v>
      </c>
      <c r="C159">
        <v>0.50937243681458699</v>
      </c>
      <c r="D159">
        <v>34.621510851119098</v>
      </c>
      <c r="E159">
        <v>0.99314056011539198</v>
      </c>
      <c r="F159">
        <v>21.637113456569999</v>
      </c>
      <c r="G159">
        <v>38.028416770788397</v>
      </c>
      <c r="H159">
        <v>0.994476821851631</v>
      </c>
      <c r="I159">
        <v>22.578109485189199</v>
      </c>
      <c r="J159">
        <v>382.56963205337502</v>
      </c>
      <c r="K159">
        <v>175.472548007965</v>
      </c>
    </row>
    <row r="160" spans="1:11">
      <c r="A160" t="s">
        <v>164</v>
      </c>
      <c r="B160">
        <v>0.16</v>
      </c>
      <c r="C160">
        <v>0.25848119224067301</v>
      </c>
      <c r="D160">
        <v>32.279324518702502</v>
      </c>
      <c r="E160">
        <v>0.98399883865049897</v>
      </c>
      <c r="F160">
        <v>17.9584849550806</v>
      </c>
      <c r="G160">
        <v>35.664708978732101</v>
      </c>
      <c r="H160">
        <v>0.98636546385000001</v>
      </c>
      <c r="I160">
        <v>18.653596322674201</v>
      </c>
      <c r="J160">
        <v>226.17174053192099</v>
      </c>
      <c r="K160">
        <v>131.77274203300399</v>
      </c>
    </row>
    <row r="161" spans="1:11">
      <c r="A161" t="s">
        <v>164</v>
      </c>
      <c r="B161">
        <v>0.08</v>
      </c>
      <c r="C161">
        <v>0.171377904880186</v>
      </c>
      <c r="D161">
        <v>30.920995112566999</v>
      </c>
      <c r="E161">
        <v>0.97502865912097803</v>
      </c>
      <c r="F161">
        <v>16.0255813683467</v>
      </c>
      <c r="G161">
        <v>34.260074955941</v>
      </c>
      <c r="H161">
        <v>0.97809665328203799</v>
      </c>
      <c r="I161">
        <v>16.594895221417499</v>
      </c>
      <c r="J161">
        <v>127.609865903854</v>
      </c>
      <c r="K161">
        <v>84.173062086105304</v>
      </c>
    </row>
    <row r="162" spans="1:11">
      <c r="A162" t="s">
        <v>164</v>
      </c>
      <c r="B162">
        <v>0.04</v>
      </c>
      <c r="C162">
        <v>0.108652056238892</v>
      </c>
      <c r="D162">
        <v>29.804753700756201</v>
      </c>
      <c r="E162">
        <v>0.96383346955645799</v>
      </c>
      <c r="F162">
        <v>14.416931523248699</v>
      </c>
      <c r="G162">
        <v>33.143261724396197</v>
      </c>
      <c r="H162">
        <v>0.96755067277362095</v>
      </c>
      <c r="I162">
        <v>14.887943030207801</v>
      </c>
      <c r="J162">
        <v>297.20672249794001</v>
      </c>
      <c r="K162">
        <v>177.19881248474101</v>
      </c>
    </row>
    <row r="163" spans="1:11">
      <c r="A163" t="s">
        <v>165</v>
      </c>
      <c r="B163">
        <v>6.4</v>
      </c>
      <c r="C163">
        <v>0.62457792898495001</v>
      </c>
      <c r="D163">
        <v>47.1612416974749</v>
      </c>
      <c r="E163">
        <v>0.99877469226325399</v>
      </c>
      <c r="F163">
        <v>29.117548242903499</v>
      </c>
      <c r="G163">
        <v>50.082555796372901</v>
      </c>
      <c r="H163">
        <v>0.99928996232648803</v>
      </c>
      <c r="I163">
        <v>31.4871860766937</v>
      </c>
      <c r="J163">
        <v>474.30759692191998</v>
      </c>
      <c r="K163">
        <v>206.86361813545199</v>
      </c>
    </row>
    <row r="164" spans="1:11">
      <c r="A164" t="s">
        <v>165</v>
      </c>
      <c r="B164">
        <v>3.2</v>
      </c>
      <c r="C164">
        <v>0.41686735247392798</v>
      </c>
      <c r="D164">
        <v>45.878343022090199</v>
      </c>
      <c r="E164">
        <v>0.99822754053853502</v>
      </c>
      <c r="F164">
        <v>27.5142368893104</v>
      </c>
      <c r="G164">
        <v>48.805306146170402</v>
      </c>
      <c r="H164">
        <v>0.99888093823618795</v>
      </c>
      <c r="I164">
        <v>29.511459430138601</v>
      </c>
      <c r="J164">
        <v>1151.6325261592799</v>
      </c>
      <c r="K164">
        <v>408.35826587677002</v>
      </c>
    </row>
    <row r="165" spans="1:11">
      <c r="A165" t="s">
        <v>165</v>
      </c>
      <c r="B165">
        <v>1.28</v>
      </c>
      <c r="C165">
        <v>0.227930934483836</v>
      </c>
      <c r="D165">
        <v>44.315723838640203</v>
      </c>
      <c r="E165">
        <v>0.99737622988458996</v>
      </c>
      <c r="F165">
        <v>25.8107421883252</v>
      </c>
      <c r="G165">
        <v>47.240157796322002</v>
      </c>
      <c r="H165">
        <v>0.99817731505391905</v>
      </c>
      <c r="I165">
        <v>27.392883933326299</v>
      </c>
      <c r="J165">
        <v>1037.1298878192899</v>
      </c>
      <c r="K165">
        <v>386.70415711402802</v>
      </c>
    </row>
    <row r="166" spans="1:11">
      <c r="A166" t="s">
        <v>165</v>
      </c>
      <c r="B166">
        <v>0.64</v>
      </c>
      <c r="C166">
        <v>0.153796510869595</v>
      </c>
      <c r="D166">
        <v>42.866531552800097</v>
      </c>
      <c r="E166">
        <v>0.99666794567166805</v>
      </c>
      <c r="F166">
        <v>24.772879261421298</v>
      </c>
      <c r="G166">
        <v>45.807480655823497</v>
      </c>
      <c r="H166">
        <v>0.99757906227326898</v>
      </c>
      <c r="I166">
        <v>26.1601638167981</v>
      </c>
      <c r="J166">
        <v>611.27604913711502</v>
      </c>
      <c r="K166">
        <v>286.353456020355</v>
      </c>
    </row>
    <row r="167" spans="1:11">
      <c r="A167" t="s">
        <v>165</v>
      </c>
      <c r="B167">
        <v>0.32</v>
      </c>
      <c r="C167">
        <v>0.116869160824023</v>
      </c>
      <c r="D167">
        <v>41.474653229175601</v>
      </c>
      <c r="E167">
        <v>0.99578799028086296</v>
      </c>
      <c r="F167">
        <v>23.755106353586701</v>
      </c>
      <c r="G167">
        <v>44.383499547433502</v>
      </c>
      <c r="H167">
        <v>0.99685277462658095</v>
      </c>
      <c r="I167">
        <v>25.020721560611999</v>
      </c>
      <c r="J167">
        <v>621.58115220069806</v>
      </c>
      <c r="K167">
        <v>325.48855161666802</v>
      </c>
    </row>
    <row r="168" spans="1:11">
      <c r="A168" t="s">
        <v>165</v>
      </c>
      <c r="B168">
        <v>0.08</v>
      </c>
      <c r="C168">
        <v>6.1847255456245802E-2</v>
      </c>
      <c r="D168">
        <v>37.5024957685864</v>
      </c>
      <c r="E168">
        <v>0.99191161219394097</v>
      </c>
      <c r="F168">
        <v>20.921380342229899</v>
      </c>
      <c r="G168">
        <v>40.455108893501603</v>
      </c>
      <c r="H168">
        <v>0.99353561879604901</v>
      </c>
      <c r="I168">
        <v>21.894730411736401</v>
      </c>
      <c r="J168">
        <v>198.786537647247</v>
      </c>
      <c r="K168">
        <v>134.99878239631599</v>
      </c>
    </row>
    <row r="169" spans="1:11">
      <c r="A169" t="s">
        <v>166</v>
      </c>
      <c r="B169">
        <v>1.28</v>
      </c>
      <c r="C169">
        <v>1.17742532410064</v>
      </c>
      <c r="D169">
        <v>33.699289688622997</v>
      </c>
      <c r="E169">
        <v>0.99149470399129003</v>
      </c>
      <c r="F169">
        <v>20.703105670940602</v>
      </c>
      <c r="G169">
        <v>36.565488684693598</v>
      </c>
      <c r="H169">
        <v>0.99415690626923903</v>
      </c>
      <c r="I169">
        <v>22.333571469901901</v>
      </c>
      <c r="J169">
        <v>708.02732944488503</v>
      </c>
      <c r="K169">
        <v>318.61647558212201</v>
      </c>
    </row>
    <row r="170" spans="1:11">
      <c r="A170" t="s">
        <v>166</v>
      </c>
      <c r="B170">
        <v>0.64</v>
      </c>
      <c r="C170">
        <v>0.81884512718190205</v>
      </c>
      <c r="D170">
        <v>32.174933915306703</v>
      </c>
      <c r="E170">
        <v>0.98702376815721704</v>
      </c>
      <c r="F170">
        <v>18.868514036429801</v>
      </c>
      <c r="G170">
        <v>35.075487499812901</v>
      </c>
      <c r="H170">
        <v>0.990761661166915</v>
      </c>
      <c r="I170">
        <v>20.344061132476899</v>
      </c>
      <c r="J170">
        <v>419.74218273162802</v>
      </c>
      <c r="K170">
        <v>188.151438236236</v>
      </c>
    </row>
    <row r="171" spans="1:11">
      <c r="A171" t="s">
        <v>166</v>
      </c>
      <c r="B171">
        <v>0.32</v>
      </c>
      <c r="C171">
        <v>0.60486128617581802</v>
      </c>
      <c r="D171">
        <v>31.207727320191101</v>
      </c>
      <c r="E171">
        <v>0.981343584181946</v>
      </c>
      <c r="F171">
        <v>17.2917178716799</v>
      </c>
      <c r="G171">
        <v>34.093794665424802</v>
      </c>
      <c r="H171">
        <v>0.98643285898306199</v>
      </c>
      <c r="I171">
        <v>18.675116609167599</v>
      </c>
      <c r="J171">
        <v>881.03144192695595</v>
      </c>
      <c r="K171">
        <v>253.63604450225799</v>
      </c>
    </row>
    <row r="172" spans="1:11">
      <c r="A172" t="s">
        <v>166</v>
      </c>
      <c r="B172">
        <v>0.16</v>
      </c>
      <c r="C172">
        <v>0.41068732042830802</v>
      </c>
      <c r="D172">
        <v>30.2847742111523</v>
      </c>
      <c r="E172">
        <v>0.97140783335561098</v>
      </c>
      <c r="F172">
        <v>15.437529336224401</v>
      </c>
      <c r="G172">
        <v>33.1524230805164</v>
      </c>
      <c r="H172">
        <v>0.97838870953253398</v>
      </c>
      <c r="I172">
        <v>16.653192994672199</v>
      </c>
      <c r="J172">
        <v>282.75104403495698</v>
      </c>
      <c r="K172">
        <v>151.94703722000099</v>
      </c>
    </row>
    <row r="173" spans="1:11">
      <c r="A173" t="s">
        <v>166</v>
      </c>
      <c r="B173">
        <v>0.08</v>
      </c>
      <c r="C173">
        <v>0.25749905688545099</v>
      </c>
      <c r="D173">
        <v>29.1702431247448</v>
      </c>
      <c r="E173">
        <v>0.95564833882747402</v>
      </c>
      <c r="F173">
        <v>13.5309010921329</v>
      </c>
      <c r="G173">
        <v>32.025071487920997</v>
      </c>
      <c r="H173">
        <v>0.96447027356328197</v>
      </c>
      <c r="I173">
        <v>14.4940813637449</v>
      </c>
      <c r="J173">
        <v>136.25698161125101</v>
      </c>
      <c r="K173">
        <v>90.351176261901799</v>
      </c>
    </row>
    <row r="174" spans="1:11">
      <c r="A174" t="s">
        <v>166</v>
      </c>
      <c r="B174">
        <v>0.04</v>
      </c>
      <c r="C174">
        <v>0.148104205665123</v>
      </c>
      <c r="D174">
        <v>27.9452047611993</v>
      </c>
      <c r="E174">
        <v>0.93469867357414305</v>
      </c>
      <c r="F174">
        <v>11.8507799707746</v>
      </c>
      <c r="G174">
        <v>30.775126804422602</v>
      </c>
      <c r="H174">
        <v>0.944826045256414</v>
      </c>
      <c r="I174">
        <v>12.582658856858901</v>
      </c>
      <c r="J174">
        <v>164.34687018394399</v>
      </c>
      <c r="K174">
        <v>115.56712436676</v>
      </c>
    </row>
    <row r="175" spans="1:11">
      <c r="A175" t="s">
        <v>167</v>
      </c>
      <c r="B175">
        <v>6.4</v>
      </c>
      <c r="C175">
        <v>1.1504070728067299</v>
      </c>
      <c r="D175">
        <v>39.572844785847003</v>
      </c>
      <c r="E175">
        <v>0.998683017358308</v>
      </c>
      <c r="F175">
        <v>28.804199491589898</v>
      </c>
      <c r="G175">
        <v>42.853949906407202</v>
      </c>
      <c r="H175">
        <v>0.99905529790552505</v>
      </c>
      <c r="I175">
        <v>30.247051217799001</v>
      </c>
      <c r="J175">
        <v>444.080608129501</v>
      </c>
      <c r="K175">
        <v>150.813498735427</v>
      </c>
    </row>
    <row r="176" spans="1:11">
      <c r="A176" t="s">
        <v>167</v>
      </c>
      <c r="B176">
        <v>3.2</v>
      </c>
      <c r="C176">
        <v>0.82369750026649602</v>
      </c>
      <c r="D176">
        <v>37.899088516247197</v>
      </c>
      <c r="E176">
        <v>0.99795662469708901</v>
      </c>
      <c r="F176">
        <v>26.8965185998815</v>
      </c>
      <c r="G176">
        <v>41.302069519471701</v>
      </c>
      <c r="H176">
        <v>0.99849298317908997</v>
      </c>
      <c r="I176">
        <v>28.218819001820801</v>
      </c>
      <c r="J176">
        <v>786.84553384780804</v>
      </c>
      <c r="K176">
        <v>230.26460695266701</v>
      </c>
    </row>
    <row r="177" spans="1:11">
      <c r="A177" t="s">
        <v>167</v>
      </c>
      <c r="B177">
        <v>1.28</v>
      </c>
      <c r="C177">
        <v>0.55528928152648904</v>
      </c>
      <c r="D177">
        <v>35.526226689417399</v>
      </c>
      <c r="E177">
        <v>0.99655360648253899</v>
      </c>
      <c r="F177">
        <v>24.626351352732598</v>
      </c>
      <c r="G177">
        <v>39.143882638266199</v>
      </c>
      <c r="H177">
        <v>0.99733868053809505</v>
      </c>
      <c r="I177">
        <v>25.749029900803698</v>
      </c>
      <c r="J177">
        <v>871.32183003425598</v>
      </c>
      <c r="K177">
        <v>210.971263170242</v>
      </c>
    </row>
    <row r="178" spans="1:11">
      <c r="A178" t="s">
        <v>167</v>
      </c>
      <c r="B178">
        <v>0.32</v>
      </c>
      <c r="C178">
        <v>0.27774824112567897</v>
      </c>
      <c r="D178">
        <v>32.264027796141399</v>
      </c>
      <c r="E178">
        <v>0.99240574858346098</v>
      </c>
      <c r="F178">
        <v>21.195150291335299</v>
      </c>
      <c r="G178">
        <v>36.146896154278899</v>
      </c>
      <c r="H178">
        <v>0.99371004177049305</v>
      </c>
      <c r="I178">
        <v>22.0135223861753</v>
      </c>
      <c r="J178">
        <v>461.89436841011002</v>
      </c>
      <c r="K178">
        <v>236.84867691993699</v>
      </c>
    </row>
    <row r="179" spans="1:11">
      <c r="A179" t="s">
        <v>167</v>
      </c>
      <c r="B179">
        <v>0.08</v>
      </c>
      <c r="C179">
        <v>0.135793758661123</v>
      </c>
      <c r="D179">
        <v>28.816504959409698</v>
      </c>
      <c r="E179">
        <v>0.98281311256821702</v>
      </c>
      <c r="F179">
        <v>17.648027675013001</v>
      </c>
      <c r="G179">
        <v>32.598097586704597</v>
      </c>
      <c r="H179">
        <v>0.98504248495940006</v>
      </c>
      <c r="I179">
        <v>18.2514055177882</v>
      </c>
      <c r="J179">
        <v>145.27620768547001</v>
      </c>
      <c r="K179">
        <v>97.003810405731201</v>
      </c>
    </row>
    <row r="180" spans="1:11">
      <c r="A180" t="s">
        <v>167</v>
      </c>
      <c r="B180">
        <v>0.04</v>
      </c>
      <c r="C180">
        <v>9.0075018654727598E-2</v>
      </c>
      <c r="D180">
        <v>27.7682360931408</v>
      </c>
      <c r="E180">
        <v>0.97387894504074701</v>
      </c>
      <c r="F180">
        <v>15.8300928705507</v>
      </c>
      <c r="G180">
        <v>31.260684494715399</v>
      </c>
      <c r="H180">
        <v>0.97683392013941295</v>
      </c>
      <c r="I180">
        <v>16.3514745084337</v>
      </c>
      <c r="J180">
        <v>168.942531108856</v>
      </c>
      <c r="K180">
        <v>124.37351036071701</v>
      </c>
    </row>
    <row r="181" spans="1:11">
      <c r="A181" t="s">
        <v>168</v>
      </c>
      <c r="B181">
        <v>3.2</v>
      </c>
      <c r="C181">
        <v>1.5799672308077799</v>
      </c>
      <c r="D181">
        <v>40.660720124127899</v>
      </c>
      <c r="E181">
        <v>0.99682175770538795</v>
      </c>
      <c r="F181">
        <v>24.978129972476601</v>
      </c>
      <c r="G181">
        <v>44.2660651682233</v>
      </c>
      <c r="H181">
        <v>0.99746565764074901</v>
      </c>
      <c r="I181">
        <v>25.961347175148799</v>
      </c>
      <c r="J181">
        <v>761.11944508552494</v>
      </c>
      <c r="K181">
        <v>286.49210262298499</v>
      </c>
    </row>
    <row r="182" spans="1:11">
      <c r="A182" t="s">
        <v>168</v>
      </c>
      <c r="B182">
        <v>1.28</v>
      </c>
      <c r="C182">
        <v>0.97003720217837597</v>
      </c>
      <c r="D182">
        <v>37.801732820632999</v>
      </c>
      <c r="E182">
        <v>0.99369411225356097</v>
      </c>
      <c r="F182">
        <v>22.0025376456435</v>
      </c>
      <c r="G182">
        <v>41.769190089479899</v>
      </c>
      <c r="H182">
        <v>0.99462168579605603</v>
      </c>
      <c r="I182">
        <v>22.693538296596302</v>
      </c>
      <c r="J182">
        <v>785.82644033431995</v>
      </c>
      <c r="K182">
        <v>340.02745866775501</v>
      </c>
    </row>
    <row r="183" spans="1:11">
      <c r="A183" t="s">
        <v>168</v>
      </c>
      <c r="B183">
        <v>0.32</v>
      </c>
      <c r="C183">
        <v>0.438298068404816</v>
      </c>
      <c r="D183">
        <v>34.802865489505201</v>
      </c>
      <c r="E183">
        <v>0.98435533297996902</v>
      </c>
      <c r="F183">
        <v>18.056336759119802</v>
      </c>
      <c r="G183">
        <v>38.943617631587003</v>
      </c>
      <c r="H183">
        <v>0.98587262055735403</v>
      </c>
      <c r="I183">
        <v>18.499383901080801</v>
      </c>
      <c r="J183">
        <v>408.19798088073702</v>
      </c>
      <c r="K183">
        <v>216.65135693550101</v>
      </c>
    </row>
    <row r="184" spans="1:11">
      <c r="A184" t="s">
        <v>168</v>
      </c>
      <c r="B184">
        <v>0.16</v>
      </c>
      <c r="C184">
        <v>0.294022868623742</v>
      </c>
      <c r="D184">
        <v>34.277273842682099</v>
      </c>
      <c r="E184">
        <v>0.97774425201147797</v>
      </c>
      <c r="F184">
        <v>16.525578050287901</v>
      </c>
      <c r="G184">
        <v>38.096007132001802</v>
      </c>
      <c r="H184">
        <v>0.97970538427672305</v>
      </c>
      <c r="I184">
        <v>16.926191675957998</v>
      </c>
      <c r="J184">
        <v>178.50956416130001</v>
      </c>
      <c r="K184">
        <v>121.256287574768</v>
      </c>
    </row>
    <row r="185" spans="1:11">
      <c r="A185" t="s">
        <v>168</v>
      </c>
      <c r="B185">
        <v>0.08</v>
      </c>
      <c r="C185">
        <v>0.18784901039692301</v>
      </c>
      <c r="D185">
        <v>33.334990642028899</v>
      </c>
      <c r="E185">
        <v>0.96454411486531499</v>
      </c>
      <c r="F185">
        <v>14.503116682555699</v>
      </c>
      <c r="G185">
        <v>36.664303905959997</v>
      </c>
      <c r="H185">
        <v>0.96716582660690698</v>
      </c>
      <c r="I185">
        <v>14.836739126895401</v>
      </c>
      <c r="J185">
        <v>140.575680971145</v>
      </c>
      <c r="K185">
        <v>91.252841472625704</v>
      </c>
    </row>
    <row r="186" spans="1:11">
      <c r="A186" t="s">
        <v>168</v>
      </c>
      <c r="B186">
        <v>0.04</v>
      </c>
      <c r="C186">
        <v>4.9349956682395002E-2</v>
      </c>
      <c r="D186">
        <v>32.5706216956875</v>
      </c>
      <c r="E186">
        <v>0.94478556310348905</v>
      </c>
      <c r="F186">
        <v>12.579473526198999</v>
      </c>
      <c r="G186">
        <v>35.830307076179501</v>
      </c>
      <c r="H186">
        <v>0.94796093265388603</v>
      </c>
      <c r="I186">
        <v>12.836704955475399</v>
      </c>
      <c r="J186">
        <v>164.73755621909999</v>
      </c>
      <c r="K186">
        <v>117.646136283874</v>
      </c>
    </row>
    <row r="187" spans="1:11">
      <c r="A187" t="s">
        <v>169</v>
      </c>
      <c r="B187">
        <v>6.4</v>
      </c>
      <c r="C187">
        <v>1.39500273588454</v>
      </c>
      <c r="D187">
        <v>39.2585260950801</v>
      </c>
      <c r="E187">
        <v>0.99853995456307998</v>
      </c>
      <c r="F187">
        <v>28.356336286701801</v>
      </c>
      <c r="G187">
        <v>42.516555193389699</v>
      </c>
      <c r="H187">
        <v>0.99895033847606696</v>
      </c>
      <c r="I187">
        <v>29.789507218694101</v>
      </c>
      <c r="J187">
        <v>478.038995027542</v>
      </c>
      <c r="K187">
        <v>116.94780278205801</v>
      </c>
    </row>
    <row r="188" spans="1:11">
      <c r="A188" t="s">
        <v>169</v>
      </c>
      <c r="B188">
        <v>3.2</v>
      </c>
      <c r="C188">
        <v>1.0318858794158801</v>
      </c>
      <c r="D188">
        <v>37.5895702671897</v>
      </c>
      <c r="E188">
        <v>0.99775258952239998</v>
      </c>
      <c r="F188">
        <v>26.483175987532</v>
      </c>
      <c r="G188">
        <v>40.996838103142302</v>
      </c>
      <c r="H188">
        <v>0.99829783422531304</v>
      </c>
      <c r="I188">
        <v>27.689981460578501</v>
      </c>
      <c r="J188">
        <v>1154.34491682052</v>
      </c>
      <c r="K188">
        <v>332.39610886573701</v>
      </c>
    </row>
    <row r="189" spans="1:11">
      <c r="A189" t="s">
        <v>169</v>
      </c>
      <c r="B189">
        <v>0.64</v>
      </c>
      <c r="C189">
        <v>0.48697120481515599</v>
      </c>
      <c r="D189">
        <v>34.015974314092198</v>
      </c>
      <c r="E189">
        <v>0.99390029479154696</v>
      </c>
      <c r="F189">
        <v>22.146911534213299</v>
      </c>
      <c r="G189">
        <v>37.683709837306097</v>
      </c>
      <c r="H189">
        <v>0.99480923401588695</v>
      </c>
      <c r="I189">
        <v>22.847685500268199</v>
      </c>
      <c r="J189">
        <v>237.73817873001099</v>
      </c>
      <c r="K189">
        <v>115.258684635162</v>
      </c>
    </row>
    <row r="190" spans="1:11">
      <c r="A190" t="s">
        <v>169</v>
      </c>
      <c r="B190">
        <v>0.16</v>
      </c>
      <c r="C190">
        <v>0.25484679046544201</v>
      </c>
      <c r="D190">
        <v>31.614449052380699</v>
      </c>
      <c r="E190">
        <v>0.98654909160993198</v>
      </c>
      <c r="F190">
        <v>18.712483851432001</v>
      </c>
      <c r="G190">
        <v>35.297234561567898</v>
      </c>
      <c r="H190">
        <v>0.98776316128716202</v>
      </c>
      <c r="I190">
        <v>19.1233076412652</v>
      </c>
      <c r="J190">
        <v>136.246880292892</v>
      </c>
      <c r="K190">
        <v>87.755673170089693</v>
      </c>
    </row>
    <row r="191" spans="1:11">
      <c r="A191" t="s">
        <v>169</v>
      </c>
      <c r="B191">
        <v>0.08</v>
      </c>
      <c r="C191">
        <v>0.18226890325228201</v>
      </c>
      <c r="D191">
        <v>30.420641982784101</v>
      </c>
      <c r="E191">
        <v>0.97950551092860005</v>
      </c>
      <c r="F191">
        <v>16.883629041948801</v>
      </c>
      <c r="G191">
        <v>33.968950017844399</v>
      </c>
      <c r="H191">
        <v>0.98101158900837104</v>
      </c>
      <c r="I191">
        <v>17.2151137683441</v>
      </c>
      <c r="J191">
        <v>115.938096046447</v>
      </c>
      <c r="K191">
        <v>76.451004028320298</v>
      </c>
    </row>
    <row r="192" spans="1:11">
      <c r="A192" t="s">
        <v>169</v>
      </c>
      <c r="B192">
        <v>0.04</v>
      </c>
      <c r="C192">
        <v>0.11445316507643299</v>
      </c>
      <c r="D192">
        <v>29.145753086696502</v>
      </c>
      <c r="E192">
        <v>0.96805561075431601</v>
      </c>
      <c r="F192">
        <v>14.9560541085834</v>
      </c>
      <c r="G192">
        <v>32.792015874282797</v>
      </c>
      <c r="H192">
        <v>0.96974115763719804</v>
      </c>
      <c r="I192">
        <v>15.1914769115302</v>
      </c>
      <c r="J192">
        <v>138.12562370300199</v>
      </c>
      <c r="K192">
        <v>96.124718427657996</v>
      </c>
    </row>
    <row r="193" spans="1:11">
      <c r="A193" t="s">
        <v>170</v>
      </c>
      <c r="B193">
        <v>6.4</v>
      </c>
      <c r="C193">
        <v>1.4186209812301001</v>
      </c>
      <c r="D193">
        <v>46.058937386436398</v>
      </c>
      <c r="E193">
        <v>0.99902066050874205</v>
      </c>
      <c r="F193">
        <v>30.0906673248532</v>
      </c>
      <c r="G193">
        <v>49.351089809968798</v>
      </c>
      <c r="H193">
        <v>0.99921619180331001</v>
      </c>
      <c r="I193">
        <v>31.0579019919088</v>
      </c>
      <c r="J193">
        <v>609.95218062400795</v>
      </c>
      <c r="K193">
        <v>207.054240942001</v>
      </c>
    </row>
    <row r="194" spans="1:11">
      <c r="A194" t="s">
        <v>170</v>
      </c>
      <c r="B194">
        <v>1.28</v>
      </c>
      <c r="C194">
        <v>0.90233242183659101</v>
      </c>
      <c r="D194">
        <v>41.348309770210797</v>
      </c>
      <c r="E194">
        <v>0.99676242178541197</v>
      </c>
      <c r="F194">
        <v>24.897797309405</v>
      </c>
      <c r="G194">
        <v>45.130810180988497</v>
      </c>
      <c r="H194">
        <v>0.997181206492325</v>
      </c>
      <c r="I194">
        <v>25.499367374530902</v>
      </c>
      <c r="J194">
        <v>552.37568330764702</v>
      </c>
      <c r="K194">
        <v>239.356253385543</v>
      </c>
    </row>
    <row r="195" spans="1:11">
      <c r="A195" t="s">
        <v>170</v>
      </c>
      <c r="B195">
        <v>0.32</v>
      </c>
      <c r="C195">
        <v>0.57953982764954404</v>
      </c>
      <c r="D195">
        <v>38.548209436440999</v>
      </c>
      <c r="E195">
        <v>0.991410645333341</v>
      </c>
      <c r="F195">
        <v>20.660394642522501</v>
      </c>
      <c r="G195">
        <v>42.369534968593896</v>
      </c>
      <c r="H195">
        <v>0.99210484848858005</v>
      </c>
      <c r="I195">
        <v>21.026395312741801</v>
      </c>
      <c r="J195">
        <v>423.18992829322798</v>
      </c>
      <c r="K195">
        <v>223.836204528808</v>
      </c>
    </row>
    <row r="196" spans="1:11">
      <c r="A196" t="s">
        <v>170</v>
      </c>
      <c r="B196">
        <v>0.16</v>
      </c>
      <c r="C196">
        <v>0.45293048796521801</v>
      </c>
      <c r="D196">
        <v>36.946687544421202</v>
      </c>
      <c r="E196">
        <v>0.98507118213314104</v>
      </c>
      <c r="F196">
        <v>18.259745803678101</v>
      </c>
      <c r="G196">
        <v>40.6403498896331</v>
      </c>
      <c r="H196">
        <v>0.98594493727430499</v>
      </c>
      <c r="I196">
        <v>18.521672118592999</v>
      </c>
      <c r="J196">
        <v>219.031759500503</v>
      </c>
      <c r="K196">
        <v>142.32422208785999</v>
      </c>
    </row>
    <row r="197" spans="1:11">
      <c r="A197" t="s">
        <v>170</v>
      </c>
      <c r="B197">
        <v>0.08</v>
      </c>
      <c r="C197">
        <v>0.32581649063757501</v>
      </c>
      <c r="D197">
        <v>34.859166103372601</v>
      </c>
      <c r="E197">
        <v>0.97237015296799301</v>
      </c>
      <c r="F197">
        <v>15.5862151947507</v>
      </c>
      <c r="G197">
        <v>38.246899347401097</v>
      </c>
      <c r="H197">
        <v>0.97347291871317398</v>
      </c>
      <c r="I197">
        <v>15.7631053180273</v>
      </c>
      <c r="J197">
        <v>189.08722448348999</v>
      </c>
      <c r="K197">
        <v>126.46061706542901</v>
      </c>
    </row>
    <row r="198" spans="1:11">
      <c r="A198" t="s">
        <v>170</v>
      </c>
      <c r="B198">
        <v>0.04</v>
      </c>
      <c r="C198">
        <v>0.205057535147291</v>
      </c>
      <c r="D198">
        <v>32.901255464953401</v>
      </c>
      <c r="E198">
        <v>0.94800298117275195</v>
      </c>
      <c r="F198">
        <v>12.8402155528808</v>
      </c>
      <c r="G198">
        <v>36.675492470968599</v>
      </c>
      <c r="H198">
        <v>0.94940366876236504</v>
      </c>
      <c r="I198">
        <v>12.958809729035799</v>
      </c>
      <c r="J198">
        <v>230.44016695022501</v>
      </c>
      <c r="K198">
        <v>166.481491327285</v>
      </c>
    </row>
    <row r="199" spans="1:11">
      <c r="A199" t="s">
        <v>171</v>
      </c>
      <c r="B199">
        <v>6.4</v>
      </c>
      <c r="C199">
        <v>1.4199581306203799</v>
      </c>
      <c r="D199">
        <v>42.0997521378101</v>
      </c>
      <c r="E199">
        <v>0.99844243587623205</v>
      </c>
      <c r="F199">
        <v>28.075540647169198</v>
      </c>
      <c r="G199">
        <v>45.3298247936211</v>
      </c>
      <c r="H199">
        <v>0.99920224568409</v>
      </c>
      <c r="I199">
        <v>30.981308375628601</v>
      </c>
      <c r="J199">
        <v>992.71355128288201</v>
      </c>
      <c r="K199">
        <v>174.60796833038299</v>
      </c>
    </row>
    <row r="200" spans="1:11">
      <c r="A200" t="s">
        <v>171</v>
      </c>
      <c r="B200">
        <v>3.2</v>
      </c>
      <c r="C200">
        <v>1.06188292394818</v>
      </c>
      <c r="D200">
        <v>40.553640232088803</v>
      </c>
      <c r="E200">
        <v>0.99751563341445304</v>
      </c>
      <c r="F200">
        <v>26.047843205995001</v>
      </c>
      <c r="G200">
        <v>43.713568366420098</v>
      </c>
      <c r="H200">
        <v>0.99871878561173499</v>
      </c>
      <c r="I200">
        <v>28.923781927769699</v>
      </c>
      <c r="J200">
        <v>692.61039686203003</v>
      </c>
      <c r="K200">
        <v>217.78210735320999</v>
      </c>
    </row>
    <row r="201" spans="1:11">
      <c r="A201" t="s">
        <v>171</v>
      </c>
      <c r="B201">
        <v>0.64</v>
      </c>
      <c r="C201">
        <v>0.48354090772540897</v>
      </c>
      <c r="D201">
        <v>37.421728567647399</v>
      </c>
      <c r="E201">
        <v>0.99284762315712505</v>
      </c>
      <c r="F201">
        <v>21.4554961159618</v>
      </c>
      <c r="G201">
        <v>40.581569975852801</v>
      </c>
      <c r="H201">
        <v>0.99613729062748901</v>
      </c>
      <c r="I201">
        <v>24.131079666320598</v>
      </c>
      <c r="J201">
        <v>312.556940555572</v>
      </c>
      <c r="K201">
        <v>159.39892792701701</v>
      </c>
    </row>
    <row r="202" spans="1:11">
      <c r="A202" t="s">
        <v>171</v>
      </c>
      <c r="B202">
        <v>0.16</v>
      </c>
      <c r="C202">
        <v>0.228567713990664</v>
      </c>
      <c r="D202">
        <v>34.492256021569297</v>
      </c>
      <c r="E202">
        <v>0.98372035927975698</v>
      </c>
      <c r="F202">
        <v>17.883551839024602</v>
      </c>
      <c r="G202">
        <v>37.5587042544905</v>
      </c>
      <c r="H202">
        <v>0.99058848151967005</v>
      </c>
      <c r="I202">
        <v>20.2634030065086</v>
      </c>
      <c r="J202">
        <v>198.32422876358001</v>
      </c>
      <c r="K202">
        <v>119.986966371536</v>
      </c>
    </row>
    <row r="203" spans="1:11">
      <c r="A203" t="s">
        <v>171</v>
      </c>
      <c r="B203">
        <v>0.08</v>
      </c>
      <c r="C203">
        <v>0.15091585981795799</v>
      </c>
      <c r="D203">
        <v>32.940167940786402</v>
      </c>
      <c r="E203">
        <v>0.97638841711618096</v>
      </c>
      <c r="F203">
        <v>16.2687489751826</v>
      </c>
      <c r="G203">
        <v>35.944437035973898</v>
      </c>
      <c r="H203">
        <v>0.98590979349608499</v>
      </c>
      <c r="I203">
        <v>18.5108264189039</v>
      </c>
      <c r="J203">
        <v>153.54010486602701</v>
      </c>
      <c r="K203">
        <v>102.411808013916</v>
      </c>
    </row>
    <row r="204" spans="1:11">
      <c r="A204" t="s">
        <v>171</v>
      </c>
      <c r="B204">
        <v>0.04</v>
      </c>
      <c r="C204">
        <v>9.6213377536844405E-2</v>
      </c>
      <c r="D204">
        <v>31.3779282700716</v>
      </c>
      <c r="E204">
        <v>0.96677298658385502</v>
      </c>
      <c r="F204">
        <v>14.785086931834799</v>
      </c>
      <c r="G204">
        <v>34.328663927362001</v>
      </c>
      <c r="H204">
        <v>0.97908434973666802</v>
      </c>
      <c r="I204">
        <v>16.795286287459501</v>
      </c>
      <c r="J204">
        <v>188.79296040534899</v>
      </c>
      <c r="K204">
        <v>131.77705931663499</v>
      </c>
    </row>
    <row r="205" spans="1:11">
      <c r="A205" t="s">
        <v>172</v>
      </c>
      <c r="B205">
        <v>6.4</v>
      </c>
      <c r="C205">
        <v>1.6873247813786001</v>
      </c>
      <c r="D205">
        <v>40.948161537152501</v>
      </c>
      <c r="E205">
        <v>0.99802046735264904</v>
      </c>
      <c r="F205">
        <v>27.0343733127098</v>
      </c>
      <c r="G205">
        <v>44.1986149906406</v>
      </c>
      <c r="H205">
        <v>0.99889605878357501</v>
      </c>
      <c r="I205">
        <v>29.570540516629698</v>
      </c>
      <c r="J205">
        <v>1041.16476821899</v>
      </c>
      <c r="K205">
        <v>282.821372509002</v>
      </c>
    </row>
    <row r="206" spans="1:11">
      <c r="A206" t="s">
        <v>172</v>
      </c>
      <c r="B206">
        <v>1.28</v>
      </c>
      <c r="C206">
        <v>0.82497910236625505</v>
      </c>
      <c r="D206">
        <v>37.943355683121801</v>
      </c>
      <c r="E206">
        <v>0.99452834088833997</v>
      </c>
      <c r="F206">
        <v>22.6188096730708</v>
      </c>
      <c r="G206">
        <v>41.049322814575902</v>
      </c>
      <c r="H206">
        <v>0.99686369050784196</v>
      </c>
      <c r="I206">
        <v>25.035810875360699</v>
      </c>
      <c r="J206">
        <v>511.81492114066998</v>
      </c>
      <c r="K206">
        <v>228.18667984008701</v>
      </c>
    </row>
    <row r="207" spans="1:11">
      <c r="A207" t="s">
        <v>172</v>
      </c>
      <c r="B207">
        <v>0.64</v>
      </c>
      <c r="C207">
        <v>0.57000010716735205</v>
      </c>
      <c r="D207">
        <v>36.823475412672202</v>
      </c>
      <c r="E207">
        <v>0.99158336878602504</v>
      </c>
      <c r="F207">
        <v>20.7486170160448</v>
      </c>
      <c r="G207">
        <v>39.896182049690204</v>
      </c>
      <c r="H207">
        <v>0.99490370241371695</v>
      </c>
      <c r="I207">
        <v>22.927452203298699</v>
      </c>
      <c r="J207">
        <v>289.11154556274403</v>
      </c>
      <c r="K207">
        <v>184.35858798026999</v>
      </c>
    </row>
    <row r="208" spans="1:11">
      <c r="A208" t="s">
        <v>172</v>
      </c>
      <c r="B208">
        <v>0.16</v>
      </c>
      <c r="C208">
        <v>0.25609728652263303</v>
      </c>
      <c r="D208">
        <v>34.428274083141801</v>
      </c>
      <c r="E208">
        <v>0.98109839581551095</v>
      </c>
      <c r="F208">
        <v>17.235013355671398</v>
      </c>
      <c r="G208">
        <v>37.406965674545503</v>
      </c>
      <c r="H208">
        <v>0.98688762358651405</v>
      </c>
      <c r="I208">
        <v>18.8231859208298</v>
      </c>
      <c r="J208">
        <v>320.78990459442099</v>
      </c>
      <c r="K208">
        <v>176.422443866729</v>
      </c>
    </row>
    <row r="209" spans="1:11">
      <c r="A209" t="s">
        <v>172</v>
      </c>
      <c r="B209">
        <v>0.08</v>
      </c>
      <c r="C209">
        <v>0.16542620456104201</v>
      </c>
      <c r="D209">
        <v>32.992806830939699</v>
      </c>
      <c r="E209">
        <v>0.972646731381551</v>
      </c>
      <c r="F209">
        <v>15.629907695814699</v>
      </c>
      <c r="G209">
        <v>35.8920557577691</v>
      </c>
      <c r="H209">
        <v>0.97980007351306797</v>
      </c>
      <c r="I209">
        <v>16.9465021106714</v>
      </c>
      <c r="J209">
        <v>175.87804174423201</v>
      </c>
      <c r="K209">
        <v>117.903620481491</v>
      </c>
    </row>
    <row r="210" spans="1:11">
      <c r="A210" t="s">
        <v>172</v>
      </c>
      <c r="B210">
        <v>0.04</v>
      </c>
      <c r="C210">
        <v>0.106336269718792</v>
      </c>
      <c r="D210">
        <v>31.4194350080822</v>
      </c>
      <c r="E210">
        <v>0.96088842815396003</v>
      </c>
      <c r="F210">
        <v>14.0769472993526</v>
      </c>
      <c r="G210">
        <v>34.308771647437403</v>
      </c>
      <c r="H210">
        <v>0.96991646669996801</v>
      </c>
      <c r="I210">
        <v>15.216711573559801</v>
      </c>
      <c r="J210">
        <v>213.933107852935</v>
      </c>
      <c r="K210">
        <v>152.755049705505</v>
      </c>
    </row>
    <row r="211" spans="1:11">
      <c r="A211" t="s">
        <v>173</v>
      </c>
      <c r="B211">
        <v>6.4</v>
      </c>
      <c r="C211">
        <v>1.6977028677983499</v>
      </c>
      <c r="D211">
        <v>41.526218860921901</v>
      </c>
      <c r="E211">
        <v>0.99776743608619001</v>
      </c>
      <c r="F211">
        <v>26.511960992849701</v>
      </c>
      <c r="G211">
        <v>44.288280494463997</v>
      </c>
      <c r="H211">
        <v>0.99867975828366495</v>
      </c>
      <c r="I211">
        <v>28.793465487486898</v>
      </c>
      <c r="J211">
        <v>971.45964241027798</v>
      </c>
      <c r="K211">
        <v>311.16970133781399</v>
      </c>
    </row>
    <row r="212" spans="1:11">
      <c r="A212" t="s">
        <v>173</v>
      </c>
      <c r="B212">
        <v>1.28</v>
      </c>
      <c r="C212">
        <v>0.81051847565157698</v>
      </c>
      <c r="D212">
        <v>38.623977440072501</v>
      </c>
      <c r="E212">
        <v>0.99402040375815603</v>
      </c>
      <c r="F212">
        <v>22.2332813973388</v>
      </c>
      <c r="G212">
        <v>41.283724172198902</v>
      </c>
      <c r="H212">
        <v>0.99639193815212401</v>
      </c>
      <c r="I212">
        <v>24.427260265733398</v>
      </c>
      <c r="J212">
        <v>479.87678527832003</v>
      </c>
      <c r="K212">
        <v>216.82905149459799</v>
      </c>
    </row>
    <row r="213" spans="1:11">
      <c r="A213" t="s">
        <v>173</v>
      </c>
      <c r="B213">
        <v>0.64</v>
      </c>
      <c r="C213">
        <v>0.55451013803155003</v>
      </c>
      <c r="D213">
        <v>37.427061730223997</v>
      </c>
      <c r="E213">
        <v>0.99090047608009602</v>
      </c>
      <c r="F213">
        <v>20.4098132903795</v>
      </c>
      <c r="G213">
        <v>40.087607333090702</v>
      </c>
      <c r="H213">
        <v>0.99441081651955798</v>
      </c>
      <c r="I213">
        <v>22.526516332297899</v>
      </c>
      <c r="J213">
        <v>277.46566319465597</v>
      </c>
      <c r="K213">
        <v>181.433238506317</v>
      </c>
    </row>
    <row r="214" spans="1:11">
      <c r="A214" t="s">
        <v>173</v>
      </c>
      <c r="B214">
        <v>0.16</v>
      </c>
      <c r="C214">
        <v>0.25220068158436199</v>
      </c>
      <c r="D214">
        <v>35.230533534092103</v>
      </c>
      <c r="E214">
        <v>0.97965870015001599</v>
      </c>
      <c r="F214">
        <v>16.916212982353901</v>
      </c>
      <c r="G214">
        <v>37.796912596927498</v>
      </c>
      <c r="H214">
        <v>0.98660741878742897</v>
      </c>
      <c r="I214">
        <v>18.7313571138674</v>
      </c>
      <c r="J214">
        <v>357.95408844947798</v>
      </c>
      <c r="K214">
        <v>203.54257655143701</v>
      </c>
    </row>
    <row r="215" spans="1:11">
      <c r="A215" t="s">
        <v>173</v>
      </c>
      <c r="B215">
        <v>0.08</v>
      </c>
      <c r="C215">
        <v>0.17233957047325099</v>
      </c>
      <c r="D215">
        <v>34.103809115353599</v>
      </c>
      <c r="E215">
        <v>0.97125629033142602</v>
      </c>
      <c r="F215">
        <v>15.4145718245708</v>
      </c>
      <c r="G215">
        <v>36.640898260039798</v>
      </c>
      <c r="H215">
        <v>0.98028818336043</v>
      </c>
      <c r="I215">
        <v>17.0527334932865</v>
      </c>
      <c r="J215">
        <v>174.10264396667401</v>
      </c>
      <c r="K215">
        <v>118.46386098861601</v>
      </c>
    </row>
    <row r="216" spans="1:11">
      <c r="A216" t="s">
        <v>173</v>
      </c>
      <c r="B216">
        <v>0.04</v>
      </c>
      <c r="C216">
        <v>0.106223743998628</v>
      </c>
      <c r="D216">
        <v>32.765199726391103</v>
      </c>
      <c r="E216">
        <v>0.95934636854180499</v>
      </c>
      <c r="F216">
        <v>13.909006542073399</v>
      </c>
      <c r="G216">
        <v>35.297322439299002</v>
      </c>
      <c r="H216">
        <v>0.97119253230627101</v>
      </c>
      <c r="I216">
        <v>15.404949164844499</v>
      </c>
      <c r="J216">
        <v>211.945700407028</v>
      </c>
      <c r="K216">
        <v>152.17002010345399</v>
      </c>
    </row>
    <row r="217" spans="1:11">
      <c r="A217" t="s">
        <v>174</v>
      </c>
      <c r="B217">
        <v>3.2</v>
      </c>
      <c r="C217">
        <v>1.2713021941447999</v>
      </c>
      <c r="D217">
        <v>37.494296067681198</v>
      </c>
      <c r="E217">
        <v>0.997150657544154</v>
      </c>
      <c r="F217">
        <v>25.4525535077942</v>
      </c>
      <c r="G217">
        <v>40.911041924682699</v>
      </c>
      <c r="H217">
        <v>0.99781137342443604</v>
      </c>
      <c r="I217">
        <v>26.598283316284199</v>
      </c>
      <c r="J217">
        <v>726.12014746665898</v>
      </c>
      <c r="K217">
        <v>267.931633472442</v>
      </c>
    </row>
    <row r="218" spans="1:11">
      <c r="A218" t="s">
        <v>174</v>
      </c>
      <c r="B218">
        <v>1.28</v>
      </c>
      <c r="C218">
        <v>0.81532925376797105</v>
      </c>
      <c r="D218">
        <v>35.074697621386399</v>
      </c>
      <c r="E218">
        <v>0.99471379495661205</v>
      </c>
      <c r="F218">
        <v>22.7685599529343</v>
      </c>
      <c r="G218">
        <v>38.749462953700899</v>
      </c>
      <c r="H218">
        <v>0.99558511419029205</v>
      </c>
      <c r="I218">
        <v>23.550805248961801</v>
      </c>
      <c r="J218">
        <v>517.59352731704701</v>
      </c>
      <c r="K218">
        <v>214.536338806152</v>
      </c>
    </row>
    <row r="219" spans="1:11">
      <c r="A219" t="s">
        <v>174</v>
      </c>
      <c r="B219">
        <v>0.32</v>
      </c>
      <c r="C219">
        <v>0.46053166959102698</v>
      </c>
      <c r="D219">
        <v>32.4900862398162</v>
      </c>
      <c r="E219">
        <v>0.98867507527375598</v>
      </c>
      <c r="F219">
        <v>19.459646759452198</v>
      </c>
      <c r="G219">
        <v>36.312565840005199</v>
      </c>
      <c r="H219">
        <v>0.98988064710371704</v>
      </c>
      <c r="I219">
        <v>19.9484725850009</v>
      </c>
      <c r="J219">
        <v>320.09517431259098</v>
      </c>
      <c r="K219">
        <v>205.09323883056601</v>
      </c>
    </row>
    <row r="220" spans="1:11">
      <c r="A220" t="s">
        <v>174</v>
      </c>
      <c r="B220">
        <v>0.16</v>
      </c>
      <c r="C220">
        <v>0.28242375433377398</v>
      </c>
      <c r="D220">
        <v>31.313521191824599</v>
      </c>
      <c r="E220">
        <v>0.98051504241938003</v>
      </c>
      <c r="F220">
        <v>17.103005353433399</v>
      </c>
      <c r="G220">
        <v>35.181099839233099</v>
      </c>
      <c r="H220">
        <v>0.98191093096689697</v>
      </c>
      <c r="I220">
        <v>17.425837838416999</v>
      </c>
      <c r="J220">
        <v>344.95109248161299</v>
      </c>
      <c r="K220">
        <v>199.23135972022999</v>
      </c>
    </row>
    <row r="221" spans="1:11">
      <c r="A221" t="s">
        <v>174</v>
      </c>
      <c r="B221">
        <v>0.08</v>
      </c>
      <c r="C221">
        <v>0.161093454440557</v>
      </c>
      <c r="D221">
        <v>29.860801270086998</v>
      </c>
      <c r="E221">
        <v>0.96902452146514995</v>
      </c>
      <c r="F221">
        <v>15.089819755591799</v>
      </c>
      <c r="G221">
        <v>33.645963988997998</v>
      </c>
      <c r="H221">
        <v>0.97074861771196397</v>
      </c>
      <c r="I221">
        <v>15.3385360630378</v>
      </c>
      <c r="J221">
        <v>172.32396268844599</v>
      </c>
      <c r="K221">
        <v>113.175203561782</v>
      </c>
    </row>
    <row r="222" spans="1:11">
      <c r="A222" t="s">
        <v>174</v>
      </c>
      <c r="B222">
        <v>0.04</v>
      </c>
      <c r="C222">
        <v>0.101502946380075</v>
      </c>
      <c r="D222">
        <v>28.250172960233702</v>
      </c>
      <c r="E222">
        <v>0.95761143327633302</v>
      </c>
      <c r="F222">
        <v>13.7275126789807</v>
      </c>
      <c r="G222">
        <v>31.6162573589049</v>
      </c>
      <c r="H222">
        <v>0.95995234012994701</v>
      </c>
      <c r="I222">
        <v>13.974228562393099</v>
      </c>
      <c r="J222">
        <v>205.487922668457</v>
      </c>
      <c r="K222">
        <v>148.363899230957</v>
      </c>
    </row>
    <row r="223" spans="1:11">
      <c r="A223" t="s">
        <v>175</v>
      </c>
      <c r="B223">
        <v>3.2</v>
      </c>
      <c r="C223">
        <v>1.7829206225309</v>
      </c>
      <c r="D223">
        <v>38.659082822248003</v>
      </c>
      <c r="E223">
        <v>0.99483007275862001</v>
      </c>
      <c r="F223">
        <v>22.865155688769899</v>
      </c>
      <c r="G223">
        <v>41.8028242935249</v>
      </c>
      <c r="H223">
        <v>0.99717396077533804</v>
      </c>
      <c r="I223">
        <v>25.488218145553901</v>
      </c>
      <c r="J223">
        <v>417.73408722877502</v>
      </c>
      <c r="K223">
        <v>239.363060951232</v>
      </c>
    </row>
    <row r="224" spans="1:11">
      <c r="A224" t="s">
        <v>175</v>
      </c>
      <c r="B224">
        <v>1.28</v>
      </c>
      <c r="C224">
        <v>1.06082871373348</v>
      </c>
      <c r="D224">
        <v>36.211505644836002</v>
      </c>
      <c r="E224">
        <v>0.990789549432324</v>
      </c>
      <c r="F224">
        <v>20.357191239541901</v>
      </c>
      <c r="G224">
        <v>39.361991972844201</v>
      </c>
      <c r="H224">
        <v>0.99423773944512495</v>
      </c>
      <c r="I224">
        <v>22.394071079115701</v>
      </c>
      <c r="J224">
        <v>356.66157865524201</v>
      </c>
      <c r="K224">
        <v>186.04664969444201</v>
      </c>
    </row>
    <row r="225" spans="1:11">
      <c r="A225" t="s">
        <v>175</v>
      </c>
      <c r="B225">
        <v>0.32</v>
      </c>
      <c r="C225">
        <v>0.49358101291363998</v>
      </c>
      <c r="D225">
        <v>33.456929547028203</v>
      </c>
      <c r="E225">
        <v>0.98142485145522396</v>
      </c>
      <c r="F225">
        <v>17.3106770451659</v>
      </c>
      <c r="G225">
        <v>36.750023490511502</v>
      </c>
      <c r="H225">
        <v>0.98679448772105105</v>
      </c>
      <c r="I225">
        <v>18.7924474662629</v>
      </c>
      <c r="J225">
        <v>192.80465555191</v>
      </c>
      <c r="K225">
        <v>134.09817862510599</v>
      </c>
    </row>
    <row r="226" spans="1:11">
      <c r="A226" t="s">
        <v>175</v>
      </c>
      <c r="B226">
        <v>0.16</v>
      </c>
      <c r="C226">
        <v>0.33779031795590603</v>
      </c>
      <c r="D226">
        <v>32.841224508585498</v>
      </c>
      <c r="E226">
        <v>0.97452449384258599</v>
      </c>
      <c r="F226">
        <v>15.938771785016</v>
      </c>
      <c r="G226">
        <v>36.139815937924602</v>
      </c>
      <c r="H226">
        <v>0.98108495280538299</v>
      </c>
      <c r="I226">
        <v>17.231925707690099</v>
      </c>
      <c r="J226">
        <v>278.65322113037098</v>
      </c>
      <c r="K226">
        <v>171.73750853538499</v>
      </c>
    </row>
    <row r="227" spans="1:11">
      <c r="A227" t="s">
        <v>175</v>
      </c>
      <c r="B227">
        <v>0.08</v>
      </c>
      <c r="C227">
        <v>0.203415716197272</v>
      </c>
      <c r="D227">
        <v>32.046990639153599</v>
      </c>
      <c r="E227">
        <v>0.96046666403312797</v>
      </c>
      <c r="F227">
        <v>14.0303653676061</v>
      </c>
      <c r="G227">
        <v>35.312309596567502</v>
      </c>
      <c r="H227">
        <v>0.96897971748220302</v>
      </c>
      <c r="I227">
        <v>15.0835425115937</v>
      </c>
      <c r="J227">
        <v>139.554606676101</v>
      </c>
      <c r="K227">
        <v>97.156512022018404</v>
      </c>
    </row>
    <row r="228" spans="1:11">
      <c r="A228" t="s">
        <v>175</v>
      </c>
      <c r="B228">
        <v>0.04</v>
      </c>
      <c r="C228">
        <v>8.5807075952593306E-2</v>
      </c>
      <c r="D228">
        <v>31.226834606151399</v>
      </c>
      <c r="E228">
        <v>0.94127247722010798</v>
      </c>
      <c r="F228">
        <v>12.311583180011301</v>
      </c>
      <c r="G228">
        <v>34.437413401485003</v>
      </c>
      <c r="H228">
        <v>0.95248231331337696</v>
      </c>
      <c r="I228">
        <v>13.2314471036039</v>
      </c>
      <c r="J228">
        <v>170.82487964630101</v>
      </c>
      <c r="K228">
        <v>123.16448688507</v>
      </c>
    </row>
    <row r="229" spans="1:11">
      <c r="A229" t="s">
        <v>176</v>
      </c>
      <c r="B229">
        <v>3.2</v>
      </c>
      <c r="C229">
        <v>1.32839458927744</v>
      </c>
      <c r="D229">
        <v>36.957036877236497</v>
      </c>
      <c r="E229">
        <v>0.99698200906955403</v>
      </c>
      <c r="F229">
        <v>25.2028206968413</v>
      </c>
      <c r="G229">
        <v>40.117161951705199</v>
      </c>
      <c r="H229">
        <v>0.99761893663752699</v>
      </c>
      <c r="I229">
        <v>26.232290474317601</v>
      </c>
      <c r="J229">
        <v>931.42195081710804</v>
      </c>
      <c r="K229">
        <v>226.85244011878899</v>
      </c>
    </row>
    <row r="230" spans="1:11">
      <c r="A230" t="s">
        <v>176</v>
      </c>
      <c r="B230">
        <v>1.28</v>
      </c>
      <c r="C230">
        <v>0.83129300277742701</v>
      </c>
      <c r="D230">
        <v>34.776990348732298</v>
      </c>
      <c r="E230">
        <v>0.99436321075961198</v>
      </c>
      <c r="F230">
        <v>22.4896820315174</v>
      </c>
      <c r="G230">
        <v>38.104247445600201</v>
      </c>
      <c r="H230">
        <v>0.99544680350556802</v>
      </c>
      <c r="I230">
        <v>23.416836071910101</v>
      </c>
      <c r="J230">
        <v>540.744704246521</v>
      </c>
      <c r="K230">
        <v>188.45471644401499</v>
      </c>
    </row>
    <row r="231" spans="1:11">
      <c r="A231" t="s">
        <v>176</v>
      </c>
      <c r="B231">
        <v>0.64</v>
      </c>
      <c r="C231">
        <v>0.57932960379581699</v>
      </c>
      <c r="D231">
        <v>33.645113095052601</v>
      </c>
      <c r="E231">
        <v>0.99157371589458798</v>
      </c>
      <c r="F231">
        <v>20.743639020412999</v>
      </c>
      <c r="G231">
        <v>37.022202446166901</v>
      </c>
      <c r="H231">
        <v>0.99309732048659005</v>
      </c>
      <c r="I231">
        <v>21.609822901331601</v>
      </c>
      <c r="J231">
        <v>257.46621942520102</v>
      </c>
      <c r="K231">
        <v>143.99118447303701</v>
      </c>
    </row>
    <row r="232" spans="1:11">
      <c r="A232" t="s">
        <v>176</v>
      </c>
      <c r="B232">
        <v>0.16</v>
      </c>
      <c r="C232">
        <v>0.26283573728064602</v>
      </c>
      <c r="D232">
        <v>31.874166819693201</v>
      </c>
      <c r="E232">
        <v>0.98102836949208105</v>
      </c>
      <c r="F232">
        <v>17.218953422709902</v>
      </c>
      <c r="G232">
        <v>35.218330438868499</v>
      </c>
      <c r="H232">
        <v>0.98377205735360695</v>
      </c>
      <c r="I232">
        <v>17.897365358702999</v>
      </c>
      <c r="J232">
        <v>186.84884977340599</v>
      </c>
      <c r="K232">
        <v>125.675406694412</v>
      </c>
    </row>
    <row r="233" spans="1:11">
      <c r="A233" t="s">
        <v>176</v>
      </c>
      <c r="B233">
        <v>0.08</v>
      </c>
      <c r="C233">
        <v>0.150463036022387</v>
      </c>
      <c r="D233">
        <v>30.7261322134521</v>
      </c>
      <c r="E233">
        <v>0.97032845243562904</v>
      </c>
      <c r="F233">
        <v>15.2765980180789</v>
      </c>
      <c r="G233">
        <v>34.063486091901801</v>
      </c>
      <c r="H233">
        <v>0.97406207071360196</v>
      </c>
      <c r="I233">
        <v>15.860646980818199</v>
      </c>
      <c r="J233">
        <v>147.620838880538</v>
      </c>
      <c r="K233">
        <v>99.708561420440603</v>
      </c>
    </row>
    <row r="234" spans="1:11">
      <c r="A234" t="s">
        <v>176</v>
      </c>
      <c r="B234">
        <v>0.04</v>
      </c>
      <c r="C234">
        <v>8.4292676640154801E-2</v>
      </c>
      <c r="D234">
        <v>29.520492408507099</v>
      </c>
      <c r="E234">
        <v>0.95890061524041004</v>
      </c>
      <c r="F234">
        <v>13.861646792800199</v>
      </c>
      <c r="G234">
        <v>32.723530399291697</v>
      </c>
      <c r="H234">
        <v>0.96379845730022096</v>
      </c>
      <c r="I234">
        <v>14.412729219606</v>
      </c>
      <c r="J234">
        <v>176.518139123916</v>
      </c>
      <c r="K234">
        <v>126.217848539352</v>
      </c>
    </row>
    <row r="235" spans="1:11">
      <c r="A235" t="s">
        <v>177</v>
      </c>
      <c r="B235">
        <v>6.4</v>
      </c>
      <c r="C235">
        <v>1.24649223455722</v>
      </c>
      <c r="D235">
        <v>42.5702394429726</v>
      </c>
      <c r="E235">
        <v>0.99800314216165498</v>
      </c>
      <c r="F235">
        <v>26.996528526155998</v>
      </c>
      <c r="G235">
        <v>44.595767679470796</v>
      </c>
      <c r="H235">
        <v>0.99870030553737099</v>
      </c>
      <c r="I235">
        <v>28.861587313779498</v>
      </c>
      <c r="J235">
        <v>444.57213449478098</v>
      </c>
      <c r="K235">
        <v>219.65947389602599</v>
      </c>
    </row>
    <row r="236" spans="1:11">
      <c r="A236" t="s">
        <v>177</v>
      </c>
      <c r="B236">
        <v>3.2</v>
      </c>
      <c r="C236">
        <v>0.896487628956811</v>
      </c>
      <c r="D236">
        <v>40.973268050157301</v>
      </c>
      <c r="E236">
        <v>0.99716010748149797</v>
      </c>
      <c r="F236">
        <v>25.4669809639839</v>
      </c>
      <c r="G236">
        <v>42.984381538703403</v>
      </c>
      <c r="H236">
        <v>0.99800470212769399</v>
      </c>
      <c r="I236">
        <v>26.999922605578099</v>
      </c>
      <c r="J236">
        <v>654.36873173713605</v>
      </c>
      <c r="K236">
        <v>306.02453589439301</v>
      </c>
    </row>
    <row r="237" spans="1:11">
      <c r="A237" t="s">
        <v>177</v>
      </c>
      <c r="B237">
        <v>0.64</v>
      </c>
      <c r="C237">
        <v>0.42340536091887698</v>
      </c>
      <c r="D237">
        <v>37.984301348490497</v>
      </c>
      <c r="E237">
        <v>0.99360622190263004</v>
      </c>
      <c r="F237">
        <v>21.942424404384401</v>
      </c>
      <c r="G237">
        <v>39.961934989361197</v>
      </c>
      <c r="H237">
        <v>0.99448964156837405</v>
      </c>
      <c r="I237">
        <v>22.588201507282299</v>
      </c>
      <c r="J237">
        <v>291.17037153244002</v>
      </c>
      <c r="K237">
        <v>191.22157001495299</v>
      </c>
    </row>
    <row r="238" spans="1:11">
      <c r="A238" t="s">
        <v>177</v>
      </c>
      <c r="B238">
        <v>0.32</v>
      </c>
      <c r="C238">
        <v>0.28772437283737001</v>
      </c>
      <c r="D238">
        <v>36.819215413112303</v>
      </c>
      <c r="E238">
        <v>0.99040332405718101</v>
      </c>
      <c r="F238">
        <v>20.178791700521099</v>
      </c>
      <c r="G238">
        <v>38.7781603460081</v>
      </c>
      <c r="H238">
        <v>0.99120547379103396</v>
      </c>
      <c r="I238">
        <v>20.5578755249695</v>
      </c>
      <c r="J238">
        <v>278.32851314544598</v>
      </c>
      <c r="K238">
        <v>187.05837130546499</v>
      </c>
    </row>
    <row r="239" spans="1:11">
      <c r="A239" t="s">
        <v>177</v>
      </c>
      <c r="B239">
        <v>0.08</v>
      </c>
      <c r="C239">
        <v>0.135652453383314</v>
      </c>
      <c r="D239">
        <v>34.062522696203096</v>
      </c>
      <c r="E239">
        <v>0.97954357682550697</v>
      </c>
      <c r="F239">
        <v>16.8917030079878</v>
      </c>
      <c r="G239">
        <v>35.948577489529796</v>
      </c>
      <c r="H239">
        <v>0.97943828981269199</v>
      </c>
      <c r="I239">
        <v>16.8694076642665</v>
      </c>
      <c r="J239">
        <v>189.918036222457</v>
      </c>
      <c r="K239">
        <v>125.33806657791099</v>
      </c>
    </row>
    <row r="240" spans="1:11">
      <c r="A240" t="s">
        <v>177</v>
      </c>
      <c r="B240">
        <v>0.04</v>
      </c>
      <c r="C240">
        <v>9.4148985165961804E-2</v>
      </c>
      <c r="D240">
        <v>32.543467025505002</v>
      </c>
      <c r="E240">
        <v>0.97010748292503701</v>
      </c>
      <c r="F240">
        <v>15.244375140091799</v>
      </c>
      <c r="G240">
        <v>34.316021090128501</v>
      </c>
      <c r="H240">
        <v>0.96914751951705003</v>
      </c>
      <c r="I240">
        <v>15.107099137457601</v>
      </c>
      <c r="J240">
        <v>228.43870162963799</v>
      </c>
      <c r="K240">
        <v>165.100843191146</v>
      </c>
    </row>
    <row r="241" spans="1:11">
      <c r="A241" t="s">
        <v>178</v>
      </c>
      <c r="B241">
        <v>6.4</v>
      </c>
      <c r="C241">
        <v>1.6783479080932699</v>
      </c>
      <c r="D241">
        <v>39.323895726326199</v>
      </c>
      <c r="E241">
        <v>0.99825150531021301</v>
      </c>
      <c r="F241">
        <v>27.573356823138099</v>
      </c>
      <c r="G241">
        <v>42.358933786745197</v>
      </c>
      <c r="H241">
        <v>0.99876843022255202</v>
      </c>
      <c r="I241">
        <v>29.095409771648299</v>
      </c>
      <c r="J241">
        <v>404.90543460845902</v>
      </c>
      <c r="K241">
        <v>163.142578125</v>
      </c>
    </row>
    <row r="242" spans="1:11">
      <c r="A242" t="s">
        <v>178</v>
      </c>
      <c r="B242">
        <v>1.28</v>
      </c>
      <c r="C242">
        <v>0.77959962277091899</v>
      </c>
      <c r="D242">
        <v>34.614427976814802</v>
      </c>
      <c r="E242">
        <v>0.99478918258659099</v>
      </c>
      <c r="F242">
        <v>22.830941442076899</v>
      </c>
      <c r="G242">
        <v>38.008221062464898</v>
      </c>
      <c r="H242">
        <v>0.99596624531352695</v>
      </c>
      <c r="I242">
        <v>23.942905170183501</v>
      </c>
      <c r="J242">
        <v>375.13815283775301</v>
      </c>
      <c r="K242">
        <v>156.41471982002199</v>
      </c>
    </row>
    <row r="243" spans="1:11">
      <c r="A243" t="s">
        <v>178</v>
      </c>
      <c r="B243">
        <v>0.64</v>
      </c>
      <c r="C243">
        <v>0.52964407737641594</v>
      </c>
      <c r="D243">
        <v>33.080789934297897</v>
      </c>
      <c r="E243">
        <v>0.99200963883378201</v>
      </c>
      <c r="F243">
        <v>20.9743359002887</v>
      </c>
      <c r="G243">
        <v>36.537628177156002</v>
      </c>
      <c r="H243">
        <v>0.99365475099512401</v>
      </c>
      <c r="I243">
        <v>21.9755133033497</v>
      </c>
      <c r="J243">
        <v>193.943631887435</v>
      </c>
      <c r="K243">
        <v>123.139041423797</v>
      </c>
    </row>
    <row r="244" spans="1:11">
      <c r="A244" t="s">
        <v>178</v>
      </c>
      <c r="B244">
        <v>0.16</v>
      </c>
      <c r="C244">
        <v>0.25671978992023498</v>
      </c>
      <c r="D244">
        <v>30.876909596087899</v>
      </c>
      <c r="E244">
        <v>0.98269014641962404</v>
      </c>
      <c r="F244">
        <v>17.6170660569502</v>
      </c>
      <c r="G244">
        <v>34.247346050819303</v>
      </c>
      <c r="H244">
        <v>0.98554211720037899</v>
      </c>
      <c r="I244">
        <v>18.398953001094601</v>
      </c>
      <c r="J244">
        <v>168.72009992599399</v>
      </c>
      <c r="K244">
        <v>118.74709010124199</v>
      </c>
    </row>
    <row r="245" spans="1:11">
      <c r="A245" t="s">
        <v>178</v>
      </c>
      <c r="B245">
        <v>0.08</v>
      </c>
      <c r="C245">
        <v>0.16801062465071301</v>
      </c>
      <c r="D245">
        <v>29.763711819939601</v>
      </c>
      <c r="E245">
        <v>0.97411803080566595</v>
      </c>
      <c r="F245">
        <v>15.8700268404281</v>
      </c>
      <c r="G245">
        <v>32.960654210325998</v>
      </c>
      <c r="H245">
        <v>0.97764523267000702</v>
      </c>
      <c r="I245">
        <v>16.506298459402601</v>
      </c>
      <c r="J245">
        <v>120.89332699775601</v>
      </c>
      <c r="K245">
        <v>79.795566082000704</v>
      </c>
    </row>
    <row r="246" spans="1:11">
      <c r="A246" t="s">
        <v>178</v>
      </c>
      <c r="B246">
        <v>0.04</v>
      </c>
      <c r="C246">
        <v>0.105464582380734</v>
      </c>
      <c r="D246">
        <v>28.710765868911999</v>
      </c>
      <c r="E246">
        <v>0.96161739176954497</v>
      </c>
      <c r="F246">
        <v>14.1586551679162</v>
      </c>
      <c r="G246">
        <v>31.851554009660202</v>
      </c>
      <c r="H246">
        <v>0.96565206804454595</v>
      </c>
      <c r="I246">
        <v>14.6409940612618</v>
      </c>
      <c r="J246">
        <v>144.31614780426</v>
      </c>
      <c r="K246">
        <v>103.139047861099</v>
      </c>
    </row>
    <row r="247" spans="1:11">
      <c r="A247" t="s">
        <v>179</v>
      </c>
      <c r="B247">
        <v>6.4</v>
      </c>
      <c r="C247">
        <v>1.08848888888888</v>
      </c>
      <c r="D247">
        <v>45.298057566988703</v>
      </c>
      <c r="E247">
        <v>0.99822320895535099</v>
      </c>
      <c r="F247">
        <v>27.503636433776901</v>
      </c>
      <c r="G247">
        <v>47.984335205430099</v>
      </c>
      <c r="H247">
        <v>0.99891557261771102</v>
      </c>
      <c r="I247">
        <v>29.647995248181999</v>
      </c>
      <c r="J247">
        <v>635.83601808547905</v>
      </c>
      <c r="K247">
        <v>229.31159758567799</v>
      </c>
    </row>
    <row r="248" spans="1:11">
      <c r="A248" t="s">
        <v>179</v>
      </c>
      <c r="B248">
        <v>3.2</v>
      </c>
      <c r="C248">
        <v>0.755814518518518</v>
      </c>
      <c r="D248">
        <v>44.440875499780198</v>
      </c>
      <c r="E248">
        <v>0.99744079358761695</v>
      </c>
      <c r="F248">
        <v>25.918946847484001</v>
      </c>
      <c r="G248">
        <v>47.132217823645902</v>
      </c>
      <c r="H248">
        <v>0.99843945942798695</v>
      </c>
      <c r="I248">
        <v>28.067249357636001</v>
      </c>
      <c r="J248">
        <v>876.12913107871998</v>
      </c>
      <c r="K248">
        <v>328.76644158363302</v>
      </c>
    </row>
    <row r="249" spans="1:11">
      <c r="A249" t="s">
        <v>179</v>
      </c>
      <c r="B249">
        <v>1.28</v>
      </c>
      <c r="C249">
        <v>0.46581392592592502</v>
      </c>
      <c r="D249">
        <v>43.439370979204597</v>
      </c>
      <c r="E249">
        <v>0.99601581105961501</v>
      </c>
      <c r="F249">
        <v>23.996600744097702</v>
      </c>
      <c r="G249">
        <v>46.110490910356901</v>
      </c>
      <c r="H249">
        <v>0.99739984463191</v>
      </c>
      <c r="I249">
        <v>25.850007006875799</v>
      </c>
      <c r="J249">
        <v>518.65338015556301</v>
      </c>
      <c r="K249">
        <v>222.44243717193601</v>
      </c>
    </row>
    <row r="250" spans="1:11">
      <c r="A250" t="s">
        <v>179</v>
      </c>
      <c r="B250">
        <v>0.32</v>
      </c>
      <c r="C250">
        <v>0.21627911111111101</v>
      </c>
      <c r="D250">
        <v>41.226191119890501</v>
      </c>
      <c r="E250">
        <v>0.99203158385287504</v>
      </c>
      <c r="F250">
        <v>20.986279931485399</v>
      </c>
      <c r="G250">
        <v>43.8283557029294</v>
      </c>
      <c r="H250">
        <v>0.99392012240740002</v>
      </c>
      <c r="I250">
        <v>22.161051643775501</v>
      </c>
      <c r="J250">
        <v>392.09020638465802</v>
      </c>
      <c r="K250">
        <v>215.29237580299301</v>
      </c>
    </row>
    <row r="251" spans="1:11">
      <c r="A251" t="s">
        <v>179</v>
      </c>
      <c r="B251">
        <v>0.08</v>
      </c>
      <c r="C251">
        <v>9.6609777777777697E-2</v>
      </c>
      <c r="D251">
        <v>38.142944722904801</v>
      </c>
      <c r="E251">
        <v>0.98387321267741601</v>
      </c>
      <c r="F251">
        <v>17.924521414170499</v>
      </c>
      <c r="G251">
        <v>40.722932017006698</v>
      </c>
      <c r="H251">
        <v>0.98619093498725297</v>
      </c>
      <c r="I251">
        <v>18.5983572573355</v>
      </c>
      <c r="J251">
        <v>161.767772436141</v>
      </c>
      <c r="K251">
        <v>106.32575702667199</v>
      </c>
    </row>
    <row r="252" spans="1:11">
      <c r="A252" t="s">
        <v>179</v>
      </c>
      <c r="B252">
        <v>0.04</v>
      </c>
      <c r="C252">
        <v>6.3909333333333304E-2</v>
      </c>
      <c r="D252">
        <v>36.3394313803703</v>
      </c>
      <c r="E252">
        <v>0.976991600479582</v>
      </c>
      <c r="F252">
        <v>16.381135900938698</v>
      </c>
      <c r="G252">
        <v>38.876723042723</v>
      </c>
      <c r="H252">
        <v>0.97969108006676697</v>
      </c>
      <c r="I252">
        <v>16.9231317258286</v>
      </c>
      <c r="J252">
        <v>189.61230587959199</v>
      </c>
      <c r="K252">
        <v>139.52795410156199</v>
      </c>
    </row>
    <row r="253" spans="1:11">
      <c r="A253" t="s">
        <v>180</v>
      </c>
      <c r="B253">
        <v>6.4</v>
      </c>
      <c r="C253">
        <v>1.7573414965202001</v>
      </c>
      <c r="D253">
        <v>43.859254593377003</v>
      </c>
      <c r="E253">
        <v>0.99821344189734396</v>
      </c>
      <c r="F253">
        <v>27.47982855055</v>
      </c>
      <c r="G253">
        <v>47.1064731646875</v>
      </c>
      <c r="H253">
        <v>0.99863982881781299</v>
      </c>
      <c r="I253">
        <v>28.6640643074692</v>
      </c>
      <c r="J253">
        <v>498.40170240402199</v>
      </c>
      <c r="K253">
        <v>203.60550928115799</v>
      </c>
    </row>
    <row r="254" spans="1:11">
      <c r="A254" t="s">
        <v>180</v>
      </c>
      <c r="B254">
        <v>3.2</v>
      </c>
      <c r="C254">
        <v>1.19457553349823</v>
      </c>
      <c r="D254">
        <v>41.392612914725802</v>
      </c>
      <c r="E254">
        <v>0.99691916479600096</v>
      </c>
      <c r="F254">
        <v>25.113315317734099</v>
      </c>
      <c r="G254">
        <v>44.954456028130402</v>
      </c>
      <c r="H254">
        <v>0.99750191094935803</v>
      </c>
      <c r="I254">
        <v>26.0239208417123</v>
      </c>
      <c r="J254">
        <v>706.01303839683499</v>
      </c>
      <c r="K254">
        <v>294.03921079635597</v>
      </c>
    </row>
    <row r="255" spans="1:11">
      <c r="A255" t="s">
        <v>180</v>
      </c>
      <c r="B255">
        <v>0.64</v>
      </c>
      <c r="C255">
        <v>0.46677492977528001</v>
      </c>
      <c r="D255">
        <v>38.101502017851999</v>
      </c>
      <c r="E255">
        <v>0.99186603091300896</v>
      </c>
      <c r="F255">
        <v>20.8969748245696</v>
      </c>
      <c r="G255">
        <v>41.869492297945598</v>
      </c>
      <c r="H255">
        <v>0.99299824149149096</v>
      </c>
      <c r="I255">
        <v>21.5479287218146</v>
      </c>
      <c r="J255">
        <v>226.98698282241801</v>
      </c>
      <c r="K255">
        <v>147.73239922523399</v>
      </c>
    </row>
    <row r="256" spans="1:11">
      <c r="A256" t="s">
        <v>180</v>
      </c>
      <c r="B256">
        <v>0.32</v>
      </c>
      <c r="C256">
        <v>0.312507205894683</v>
      </c>
      <c r="D256">
        <v>37.497794469943599</v>
      </c>
      <c r="E256">
        <v>0.98791603906618097</v>
      </c>
      <c r="F256">
        <v>19.1779068742512</v>
      </c>
      <c r="G256">
        <v>41.155883838836601</v>
      </c>
      <c r="H256">
        <v>0.98937021912196099</v>
      </c>
      <c r="I256">
        <v>19.734756879169201</v>
      </c>
      <c r="J256">
        <v>342.68183851241997</v>
      </c>
      <c r="K256">
        <v>189.51856136321999</v>
      </c>
    </row>
    <row r="257" spans="1:11">
      <c r="A257" t="s">
        <v>180</v>
      </c>
      <c r="B257">
        <v>0.08</v>
      </c>
      <c r="C257">
        <v>8.6454359173234893E-2</v>
      </c>
      <c r="D257">
        <v>35.598819754625403</v>
      </c>
      <c r="E257">
        <v>0.97446930783860897</v>
      </c>
      <c r="F257">
        <v>15.9293741089893</v>
      </c>
      <c r="G257">
        <v>38.5992625293148</v>
      </c>
      <c r="H257">
        <v>0.97691925479717201</v>
      </c>
      <c r="I257">
        <v>16.3675017332171</v>
      </c>
      <c r="J257">
        <v>143.635248661041</v>
      </c>
      <c r="K257">
        <v>95.836084365844698</v>
      </c>
    </row>
    <row r="258" spans="1:11">
      <c r="A258" t="s">
        <v>180</v>
      </c>
      <c r="B258">
        <v>0.04</v>
      </c>
      <c r="C258">
        <v>5.7024175121582997E-2</v>
      </c>
      <c r="D258">
        <v>34.796287582107702</v>
      </c>
      <c r="E258">
        <v>0.969140575551941</v>
      </c>
      <c r="F258">
        <v>15.106121781226101</v>
      </c>
      <c r="G258">
        <v>37.805260769545598</v>
      </c>
      <c r="H258">
        <v>0.97197332203437303</v>
      </c>
      <c r="I258">
        <v>15.524283766135399</v>
      </c>
      <c r="J258">
        <v>170.622122526168</v>
      </c>
      <c r="K258">
        <v>125.90502023696899</v>
      </c>
    </row>
    <row r="259" spans="1:11">
      <c r="A259" t="s">
        <v>181</v>
      </c>
      <c r="B259">
        <v>6.4</v>
      </c>
      <c r="C259">
        <v>1.2344021110222101</v>
      </c>
      <c r="D259">
        <v>37.651894369144699</v>
      </c>
      <c r="E259">
        <v>0.99841792068948798</v>
      </c>
      <c r="F259">
        <v>28.007717488699601</v>
      </c>
      <c r="G259">
        <v>40.2257095990228</v>
      </c>
      <c r="H259">
        <v>0.99888902809232305</v>
      </c>
      <c r="I259">
        <v>29.542969226031602</v>
      </c>
      <c r="J259">
        <v>664.19566822052002</v>
      </c>
      <c r="K259">
        <v>204.04048609733499</v>
      </c>
    </row>
    <row r="260" spans="1:11">
      <c r="A260" t="s">
        <v>181</v>
      </c>
      <c r="B260">
        <v>3.2</v>
      </c>
      <c r="C260">
        <v>0.87862235628134</v>
      </c>
      <c r="D260">
        <v>35.874875305423302</v>
      </c>
      <c r="E260">
        <v>0.997641677613474</v>
      </c>
      <c r="F260">
        <v>26.273968264170001</v>
      </c>
      <c r="G260">
        <v>38.459960399938304</v>
      </c>
      <c r="H260">
        <v>0.99829223170226999</v>
      </c>
      <c r="I260">
        <v>27.6757105275918</v>
      </c>
      <c r="J260">
        <v>902.40553569793701</v>
      </c>
      <c r="K260">
        <v>287.20921039581299</v>
      </c>
    </row>
    <row r="261" spans="1:11">
      <c r="A261" t="s">
        <v>181</v>
      </c>
      <c r="B261">
        <v>1.28</v>
      </c>
      <c r="C261">
        <v>0.56963592772256799</v>
      </c>
      <c r="D261">
        <v>33.9057394265743</v>
      </c>
      <c r="E261">
        <v>0.99612213918440295</v>
      </c>
      <c r="F261">
        <v>24.114077827001001</v>
      </c>
      <c r="G261">
        <v>36.548272136745297</v>
      </c>
      <c r="H261">
        <v>0.99703537490153804</v>
      </c>
      <c r="I261">
        <v>25.280302189822301</v>
      </c>
      <c r="J261">
        <v>473.08400440216002</v>
      </c>
      <c r="K261">
        <v>200.68855142593301</v>
      </c>
    </row>
    <row r="262" spans="1:11">
      <c r="A262" t="s">
        <v>181</v>
      </c>
      <c r="B262">
        <v>0.32</v>
      </c>
      <c r="C262">
        <v>0.25808841268521499</v>
      </c>
      <c r="D262">
        <v>31.483649085476301</v>
      </c>
      <c r="E262">
        <v>0.99156135575597404</v>
      </c>
      <c r="F262">
        <v>20.737273216959199</v>
      </c>
      <c r="G262">
        <v>34.227858616037899</v>
      </c>
      <c r="H262">
        <v>0.99310645004467502</v>
      </c>
      <c r="I262">
        <v>21.6155707287162</v>
      </c>
      <c r="J262">
        <v>369.39230489730801</v>
      </c>
      <c r="K262">
        <v>192.972858667373</v>
      </c>
    </row>
    <row r="263" spans="1:11">
      <c r="A263" t="s">
        <v>181</v>
      </c>
      <c r="B263">
        <v>0.08</v>
      </c>
      <c r="C263">
        <v>0.12707636780963699</v>
      </c>
      <c r="D263">
        <v>29.089599275724701</v>
      </c>
      <c r="E263">
        <v>0.98272315679201705</v>
      </c>
      <c r="F263">
        <v>17.625356080722401</v>
      </c>
      <c r="G263">
        <v>31.8595078231705</v>
      </c>
      <c r="H263">
        <v>0.98537208417284505</v>
      </c>
      <c r="I263">
        <v>18.348175473705801</v>
      </c>
      <c r="J263">
        <v>139.21343874931301</v>
      </c>
      <c r="K263">
        <v>91.418287515640202</v>
      </c>
    </row>
    <row r="264" spans="1:11">
      <c r="A264" t="s">
        <v>181</v>
      </c>
      <c r="B264">
        <v>0.04</v>
      </c>
      <c r="C264">
        <v>8.9555564945145799E-2</v>
      </c>
      <c r="D264">
        <v>27.715889173799098</v>
      </c>
      <c r="E264">
        <v>0.97516984571016996</v>
      </c>
      <c r="F264">
        <v>16.0502058181421</v>
      </c>
      <c r="G264">
        <v>30.497400282270998</v>
      </c>
      <c r="H264">
        <v>0.97845940439074996</v>
      </c>
      <c r="I264">
        <v>16.6674229239207</v>
      </c>
      <c r="J264">
        <v>167.88105440139699</v>
      </c>
      <c r="K264">
        <v>118.85973691940301</v>
      </c>
    </row>
    <row r="265" spans="1:11">
      <c r="A265" t="s">
        <v>182</v>
      </c>
      <c r="B265">
        <v>6.4</v>
      </c>
      <c r="C265">
        <v>1.58234414540252</v>
      </c>
      <c r="D265">
        <v>40.135196836298498</v>
      </c>
      <c r="E265">
        <v>0.99813384537884897</v>
      </c>
      <c r="F265">
        <v>27.2905237541774</v>
      </c>
      <c r="G265">
        <v>44.237994724945899</v>
      </c>
      <c r="H265">
        <v>0.99834147683146301</v>
      </c>
      <c r="I265">
        <v>27.802784572784699</v>
      </c>
      <c r="J265">
        <v>627.56149029731705</v>
      </c>
      <c r="K265">
        <v>210.97334289550699</v>
      </c>
    </row>
    <row r="266" spans="1:11">
      <c r="A266" t="s">
        <v>182</v>
      </c>
      <c r="B266">
        <v>3.2</v>
      </c>
      <c r="C266">
        <v>1.0479150928849701</v>
      </c>
      <c r="D266">
        <v>38.002026775249</v>
      </c>
      <c r="E266">
        <v>0.996797537810028</v>
      </c>
      <c r="F266">
        <v>24.945159890722699</v>
      </c>
      <c r="G266">
        <v>42.450851147494099</v>
      </c>
      <c r="H266">
        <v>0.99711640725096595</v>
      </c>
      <c r="I266">
        <v>25.400660752066099</v>
      </c>
      <c r="J266">
        <v>824.83935928344704</v>
      </c>
      <c r="K266">
        <v>292.12024927139203</v>
      </c>
    </row>
    <row r="267" spans="1:11">
      <c r="A267" t="s">
        <v>182</v>
      </c>
      <c r="B267">
        <v>1.28</v>
      </c>
      <c r="C267">
        <v>0.61733943539515401</v>
      </c>
      <c r="D267">
        <v>35.379357104451501</v>
      </c>
      <c r="E267">
        <v>0.99450817905228595</v>
      </c>
      <c r="F267">
        <v>22.602836307010399</v>
      </c>
      <c r="G267">
        <v>40.2103226846179</v>
      </c>
      <c r="H267">
        <v>0.99493139026076904</v>
      </c>
      <c r="I267">
        <v>22.951111462639702</v>
      </c>
      <c r="J267">
        <v>483.40125489234902</v>
      </c>
      <c r="K267">
        <v>211.64487361907899</v>
      </c>
    </row>
    <row r="268" spans="1:11">
      <c r="A268" t="s">
        <v>182</v>
      </c>
      <c r="B268">
        <v>0.32</v>
      </c>
      <c r="C268">
        <v>0.232905653434159</v>
      </c>
      <c r="D268">
        <v>32.986887208937098</v>
      </c>
      <c r="E268">
        <v>0.98849899509247297</v>
      </c>
      <c r="F268">
        <v>19.392642112353901</v>
      </c>
      <c r="G268">
        <v>37.683128511024996</v>
      </c>
      <c r="H268">
        <v>0.98926497468337904</v>
      </c>
      <c r="I268">
        <v>19.691969270213502</v>
      </c>
      <c r="J268">
        <v>355.52992010116498</v>
      </c>
      <c r="K268">
        <v>204.66797423362701</v>
      </c>
    </row>
    <row r="269" spans="1:11">
      <c r="A269" t="s">
        <v>182</v>
      </c>
      <c r="B269">
        <v>0.08</v>
      </c>
      <c r="C269">
        <v>0.10485823979185201</v>
      </c>
      <c r="D269">
        <v>31.2692133390685</v>
      </c>
      <c r="E269">
        <v>0.97938511850132004</v>
      </c>
      <c r="F269">
        <v>16.858191573272101</v>
      </c>
      <c r="G269">
        <v>35.220794180711202</v>
      </c>
      <c r="H269">
        <v>0.98036726428215204</v>
      </c>
      <c r="I269">
        <v>17.0701917954501</v>
      </c>
      <c r="J269">
        <v>144.62397670745801</v>
      </c>
      <c r="K269">
        <v>98.747073650360093</v>
      </c>
    </row>
    <row r="270" spans="1:11">
      <c r="A270" t="s">
        <v>182</v>
      </c>
      <c r="B270">
        <v>0.04</v>
      </c>
      <c r="C270">
        <v>6.00244117025866E-2</v>
      </c>
      <c r="D270">
        <v>30.055734305476399</v>
      </c>
      <c r="E270">
        <v>0.971220545005261</v>
      </c>
      <c r="F270">
        <v>15.4091743468777</v>
      </c>
      <c r="G270">
        <v>33.869673768796403</v>
      </c>
      <c r="H270">
        <v>0.972450881158333</v>
      </c>
      <c r="I270">
        <v>15.5989228749539</v>
      </c>
      <c r="J270">
        <v>174.53467106819099</v>
      </c>
      <c r="K270">
        <v>129.821083068847</v>
      </c>
    </row>
    <row r="271" spans="1:11">
      <c r="A271" t="s">
        <v>183</v>
      </c>
      <c r="B271">
        <v>3.2</v>
      </c>
      <c r="C271">
        <v>1.63009039168723</v>
      </c>
      <c r="D271">
        <v>39.678211181724997</v>
      </c>
      <c r="E271">
        <v>0.99595818213902199</v>
      </c>
      <c r="F271">
        <v>23.9342326126967</v>
      </c>
      <c r="G271">
        <v>43.359750315370803</v>
      </c>
      <c r="H271">
        <v>0.99656623293070301</v>
      </c>
      <c r="I271">
        <v>24.642291686829999</v>
      </c>
      <c r="J271">
        <v>621.96814751625004</v>
      </c>
      <c r="K271">
        <v>232.234262228012</v>
      </c>
    </row>
    <row r="272" spans="1:11">
      <c r="A272" t="s">
        <v>183</v>
      </c>
      <c r="B272">
        <v>1.28</v>
      </c>
      <c r="C272">
        <v>0.73867382179319596</v>
      </c>
      <c r="D272">
        <v>36.553717052889702</v>
      </c>
      <c r="E272">
        <v>0.99087297968172805</v>
      </c>
      <c r="F272">
        <v>20.396709826567498</v>
      </c>
      <c r="G272">
        <v>40.688703059123</v>
      </c>
      <c r="H272">
        <v>0.99170577745944</v>
      </c>
      <c r="I272">
        <v>20.812243163507901</v>
      </c>
      <c r="J272">
        <v>422.74488520622202</v>
      </c>
      <c r="K272">
        <v>178.86397933959901</v>
      </c>
    </row>
    <row r="273" spans="1:11">
      <c r="A273" t="s">
        <v>183</v>
      </c>
      <c r="B273">
        <v>0.64</v>
      </c>
      <c r="C273">
        <v>0.494911120385155</v>
      </c>
      <c r="D273">
        <v>35.890392903263098</v>
      </c>
      <c r="E273">
        <v>0.98834962681327099</v>
      </c>
      <c r="F273">
        <v>19.3366016302069</v>
      </c>
      <c r="G273">
        <v>39.950193259870801</v>
      </c>
      <c r="H273">
        <v>0.98937489144789803</v>
      </c>
      <c r="I273">
        <v>19.736666242576</v>
      </c>
      <c r="J273">
        <v>252.31372618675201</v>
      </c>
      <c r="K273">
        <v>140.26716566085801</v>
      </c>
    </row>
    <row r="274" spans="1:11">
      <c r="A274" t="s">
        <v>183</v>
      </c>
      <c r="B274">
        <v>0.32</v>
      </c>
      <c r="C274">
        <v>0.36772768785987298</v>
      </c>
      <c r="D274">
        <v>35.5040804461661</v>
      </c>
      <c r="E274">
        <v>0.98501991722445903</v>
      </c>
      <c r="F274">
        <v>18.244857868460901</v>
      </c>
      <c r="G274">
        <v>39.419245904567198</v>
      </c>
      <c r="H274">
        <v>0.98627490500738102</v>
      </c>
      <c r="I274">
        <v>18.624846410762299</v>
      </c>
      <c r="J274">
        <v>323.25903916358902</v>
      </c>
      <c r="K274">
        <v>184.125675439834</v>
      </c>
    </row>
    <row r="275" spans="1:11">
      <c r="A275" t="s">
        <v>183</v>
      </c>
      <c r="B275">
        <v>0.16</v>
      </c>
      <c r="C275">
        <v>0.160662983258334</v>
      </c>
      <c r="D275">
        <v>34.8106082472747</v>
      </c>
      <c r="E275">
        <v>0.97591775188116203</v>
      </c>
      <c r="F275">
        <v>16.1830297339292</v>
      </c>
      <c r="G275">
        <v>38.5366375529591</v>
      </c>
      <c r="H275">
        <v>0.97748694928703295</v>
      </c>
      <c r="I275">
        <v>16.475656503555498</v>
      </c>
      <c r="J275">
        <v>223.91703748703</v>
      </c>
      <c r="K275">
        <v>129.33050537109301</v>
      </c>
    </row>
    <row r="276" spans="1:11">
      <c r="A276" t="s">
        <v>183</v>
      </c>
      <c r="B276">
        <v>0.08</v>
      </c>
      <c r="C276">
        <v>7.26936359897421E-2</v>
      </c>
      <c r="D276">
        <v>34.022565493194897</v>
      </c>
      <c r="E276">
        <v>0.96783298852042798</v>
      </c>
      <c r="F276">
        <v>14.925892859497701</v>
      </c>
      <c r="G276">
        <v>37.340922543336603</v>
      </c>
      <c r="H276">
        <v>0.969976084972625</v>
      </c>
      <c r="I276">
        <v>15.2253267771816</v>
      </c>
      <c r="J276">
        <v>126.515172481536</v>
      </c>
      <c r="K276">
        <v>83.593533515930105</v>
      </c>
    </row>
    <row r="277" spans="1:11">
      <c r="A277" t="s">
        <v>184</v>
      </c>
      <c r="B277">
        <v>6.4</v>
      </c>
      <c r="C277">
        <v>0.74992987251718801</v>
      </c>
      <c r="D277">
        <v>45.645991246545599</v>
      </c>
      <c r="E277">
        <v>0.99870054622073801</v>
      </c>
      <c r="F277">
        <v>28.862391634647</v>
      </c>
      <c r="G277">
        <v>48.531836130143802</v>
      </c>
      <c r="H277">
        <v>0.99906682316392503</v>
      </c>
      <c r="I277">
        <v>30.300360500859199</v>
      </c>
      <c r="J277">
        <v>491.887861967086</v>
      </c>
      <c r="K277">
        <v>205.358544826507</v>
      </c>
    </row>
    <row r="278" spans="1:11">
      <c r="A278" t="s">
        <v>184</v>
      </c>
      <c r="B278">
        <v>3.2</v>
      </c>
      <c r="C278">
        <v>0.53851689823656701</v>
      </c>
      <c r="D278">
        <v>44.653880884671501</v>
      </c>
      <c r="E278">
        <v>0.998128310488408</v>
      </c>
      <c r="F278">
        <v>27.277661933042999</v>
      </c>
      <c r="G278">
        <v>47.504865016321801</v>
      </c>
      <c r="H278">
        <v>0.99866326059867006</v>
      </c>
      <c r="I278">
        <v>28.739532506257898</v>
      </c>
      <c r="J278">
        <v>955.01262807846001</v>
      </c>
      <c r="K278">
        <v>337.69809246063198</v>
      </c>
    </row>
    <row r="279" spans="1:11">
      <c r="A279" t="s">
        <v>184</v>
      </c>
      <c r="B279">
        <v>1.28</v>
      </c>
      <c r="C279">
        <v>0.28800163531321599</v>
      </c>
      <c r="D279">
        <v>43.273075119938802</v>
      </c>
      <c r="E279">
        <v>0.99691989816933402</v>
      </c>
      <c r="F279">
        <v>25.114349251343299</v>
      </c>
      <c r="G279">
        <v>46.084520087660998</v>
      </c>
      <c r="H279">
        <v>0.99774540631066699</v>
      </c>
      <c r="I279">
        <v>26.4693171293464</v>
      </c>
      <c r="J279">
        <v>1041.58346009254</v>
      </c>
      <c r="K279">
        <v>359.69937133789</v>
      </c>
    </row>
    <row r="280" spans="1:11">
      <c r="A280" t="s">
        <v>184</v>
      </c>
      <c r="B280">
        <v>0.64</v>
      </c>
      <c r="C280">
        <v>0.18210714683600701</v>
      </c>
      <c r="D280">
        <v>42.077854667698197</v>
      </c>
      <c r="E280">
        <v>0.99584678493326195</v>
      </c>
      <c r="F280">
        <v>23.8161557915281</v>
      </c>
      <c r="G280">
        <v>44.858070074760398</v>
      </c>
      <c r="H280">
        <v>0.99698187162035601</v>
      </c>
      <c r="I280">
        <v>25.202622909405001</v>
      </c>
      <c r="J280">
        <v>426.35486292838999</v>
      </c>
      <c r="K280">
        <v>224.228050231933</v>
      </c>
    </row>
    <row r="281" spans="1:11">
      <c r="A281" t="s">
        <v>184</v>
      </c>
      <c r="B281">
        <v>0.32</v>
      </c>
      <c r="C281">
        <v>0.12818060462821401</v>
      </c>
      <c r="D281">
        <v>40.800380112418097</v>
      </c>
      <c r="E281">
        <v>0.99460707700235795</v>
      </c>
      <c r="F281">
        <v>22.681757807016201</v>
      </c>
      <c r="G281">
        <v>43.537469456684001</v>
      </c>
      <c r="H281">
        <v>0.99607902396724801</v>
      </c>
      <c r="I281">
        <v>24.066058123479401</v>
      </c>
      <c r="J281">
        <v>484.68437075614901</v>
      </c>
      <c r="K281">
        <v>260.27766466140702</v>
      </c>
    </row>
    <row r="282" spans="1:11">
      <c r="A282" t="s">
        <v>184</v>
      </c>
      <c r="B282">
        <v>0.08</v>
      </c>
      <c r="C282">
        <v>6.5884521422205203E-2</v>
      </c>
      <c r="D282">
        <v>37.264661990790401</v>
      </c>
      <c r="E282">
        <v>0.98976999933400001</v>
      </c>
      <c r="F282">
        <v>19.901243380141299</v>
      </c>
      <c r="G282">
        <v>39.947708605432197</v>
      </c>
      <c r="H282">
        <v>0.99249720290811205</v>
      </c>
      <c r="I282">
        <v>21.2477679859382</v>
      </c>
      <c r="J282">
        <v>188.26078915596</v>
      </c>
      <c r="K282">
        <v>126.31441640853799</v>
      </c>
    </row>
    <row r="283" spans="1:11">
      <c r="A283" t="s">
        <v>185</v>
      </c>
      <c r="B283">
        <v>6.4</v>
      </c>
      <c r="C283">
        <v>1.1521810359972</v>
      </c>
      <c r="D283">
        <v>38.544226644998297</v>
      </c>
      <c r="E283">
        <v>0.99866269956033205</v>
      </c>
      <c r="F283">
        <v>28.7377101260942</v>
      </c>
      <c r="G283">
        <v>41.426369314170302</v>
      </c>
      <c r="H283">
        <v>0.99912795479299998</v>
      </c>
      <c r="I283">
        <v>30.594610005701199</v>
      </c>
      <c r="J283">
        <v>400.43639731407097</v>
      </c>
      <c r="K283">
        <v>125.208195209503</v>
      </c>
    </row>
    <row r="284" spans="1:11">
      <c r="A284" t="s">
        <v>185</v>
      </c>
      <c r="B284">
        <v>3.2</v>
      </c>
      <c r="C284">
        <v>0.85409263427966697</v>
      </c>
      <c r="D284">
        <v>36.897926385699598</v>
      </c>
      <c r="E284">
        <v>0.99801190206364099</v>
      </c>
      <c r="F284">
        <v>27.015622254856499</v>
      </c>
      <c r="G284">
        <v>39.813439125900601</v>
      </c>
      <c r="H284">
        <v>0.99862708477803896</v>
      </c>
      <c r="I284">
        <v>28.623562797852902</v>
      </c>
      <c r="J284">
        <v>775.51564669609002</v>
      </c>
      <c r="K284">
        <v>226.95269823074301</v>
      </c>
    </row>
    <row r="285" spans="1:11">
      <c r="A285" t="s">
        <v>185</v>
      </c>
      <c r="B285">
        <v>0.64</v>
      </c>
      <c r="C285">
        <v>0.42527362533654101</v>
      </c>
      <c r="D285">
        <v>33.835038931422702</v>
      </c>
      <c r="E285">
        <v>0.99501429507030603</v>
      </c>
      <c r="F285">
        <v>23.022734280379801</v>
      </c>
      <c r="G285">
        <v>36.774633464601102</v>
      </c>
      <c r="H285">
        <v>0.99618799139389902</v>
      </c>
      <c r="I285">
        <v>24.188461275568301</v>
      </c>
      <c r="J285">
        <v>352.39877247810301</v>
      </c>
      <c r="K285">
        <v>148.7715010643</v>
      </c>
    </row>
    <row r="286" spans="1:11">
      <c r="A286" t="s">
        <v>185</v>
      </c>
      <c r="B286">
        <v>0.16</v>
      </c>
      <c r="C286">
        <v>0.22512736498494401</v>
      </c>
      <c r="D286">
        <v>31.268156244308599</v>
      </c>
      <c r="E286">
        <v>0.98856097895447703</v>
      </c>
      <c r="F286">
        <v>19.416111409905099</v>
      </c>
      <c r="G286">
        <v>34.199433415194399</v>
      </c>
      <c r="H286">
        <v>0.99058143798175002</v>
      </c>
      <c r="I286">
        <v>20.260153981848699</v>
      </c>
      <c r="J286">
        <v>232.46699905395499</v>
      </c>
      <c r="K286">
        <v>125.59863686561501</v>
      </c>
    </row>
    <row r="287" spans="1:11">
      <c r="A287" t="s">
        <v>185</v>
      </c>
      <c r="B287">
        <v>0.08</v>
      </c>
      <c r="C287">
        <v>0.16311787848951401</v>
      </c>
      <c r="D287">
        <v>29.766497173173502</v>
      </c>
      <c r="E287">
        <v>0.98239233098704004</v>
      </c>
      <c r="F287">
        <v>17.542981341982401</v>
      </c>
      <c r="G287">
        <v>32.658255576697101</v>
      </c>
      <c r="H287">
        <v>0.98530226897023898</v>
      </c>
      <c r="I287">
        <v>18.327497045247299</v>
      </c>
      <c r="J287">
        <v>116.038965225219</v>
      </c>
      <c r="K287">
        <v>77.379207372665405</v>
      </c>
    </row>
    <row r="288" spans="1:11">
      <c r="A288" t="s">
        <v>185</v>
      </c>
      <c r="B288">
        <v>0.04</v>
      </c>
      <c r="C288">
        <v>0.113951521638769</v>
      </c>
      <c r="D288">
        <v>28.1573150555848</v>
      </c>
      <c r="E288">
        <v>0.97325322067851905</v>
      </c>
      <c r="F288">
        <v>15.727285054976401</v>
      </c>
      <c r="G288">
        <v>31.050873645836901</v>
      </c>
      <c r="H288">
        <v>0.97731420811429903</v>
      </c>
      <c r="I288">
        <v>16.442460563544302</v>
      </c>
      <c r="J288">
        <v>141.64103555679301</v>
      </c>
      <c r="K288">
        <v>100.067779302597</v>
      </c>
    </row>
    <row r="289" spans="1:11">
      <c r="A289" t="s">
        <v>186</v>
      </c>
      <c r="B289">
        <v>6.4</v>
      </c>
      <c r="C289">
        <v>1.0276128472222199</v>
      </c>
      <c r="D289">
        <v>44.561445943985802</v>
      </c>
      <c r="E289">
        <v>0.99822536997164901</v>
      </c>
      <c r="F289">
        <v>27.508921740982501</v>
      </c>
      <c r="G289">
        <v>47.509174867708602</v>
      </c>
      <c r="H289">
        <v>0.99873433840825898</v>
      </c>
      <c r="I289">
        <v>28.976823989678401</v>
      </c>
      <c r="J289">
        <v>830.12328529357899</v>
      </c>
      <c r="K289">
        <v>118.59303736686699</v>
      </c>
    </row>
    <row r="290" spans="1:11">
      <c r="A290" t="s">
        <v>186</v>
      </c>
      <c r="B290">
        <v>3.2</v>
      </c>
      <c r="C290">
        <v>0.62695891203703702</v>
      </c>
      <c r="D290">
        <v>43.157476907774601</v>
      </c>
      <c r="E290">
        <v>0.99737260571587305</v>
      </c>
      <c r="F290">
        <v>25.804747492270799</v>
      </c>
      <c r="G290">
        <v>46.172664075668102</v>
      </c>
      <c r="H290">
        <v>0.99807017819548405</v>
      </c>
      <c r="I290">
        <v>27.144827909343402</v>
      </c>
      <c r="J290">
        <v>318.45969605445799</v>
      </c>
      <c r="K290">
        <v>185.21935153007499</v>
      </c>
    </row>
    <row r="291" spans="1:11">
      <c r="A291" t="s">
        <v>186</v>
      </c>
      <c r="B291">
        <v>1.28</v>
      </c>
      <c r="C291">
        <v>0.37132233796296299</v>
      </c>
      <c r="D291">
        <v>42.033287379177402</v>
      </c>
      <c r="E291">
        <v>0.99611160251575204</v>
      </c>
      <c r="F291">
        <v>24.102293465256</v>
      </c>
      <c r="G291">
        <v>45.064046784588498</v>
      </c>
      <c r="H291">
        <v>0.99711741503038198</v>
      </c>
      <c r="I291">
        <v>25.402178821972601</v>
      </c>
      <c r="J291">
        <v>102.95279836654601</v>
      </c>
      <c r="K291">
        <v>45.153811454772899</v>
      </c>
    </row>
    <row r="292" spans="1:11">
      <c r="A292" t="s">
        <v>186</v>
      </c>
      <c r="B292">
        <v>0.64</v>
      </c>
      <c r="C292">
        <v>0.203388310185185</v>
      </c>
      <c r="D292">
        <v>40.8165823069792</v>
      </c>
      <c r="E292">
        <v>0.99435231932949397</v>
      </c>
      <c r="F292">
        <v>22.481298670125099</v>
      </c>
      <c r="G292">
        <v>43.898767867354799</v>
      </c>
      <c r="H292">
        <v>0.99565055056693597</v>
      </c>
      <c r="I292">
        <v>23.615657139223899</v>
      </c>
      <c r="J292">
        <v>85.332947731017995</v>
      </c>
      <c r="K292">
        <v>43.965219974517801</v>
      </c>
    </row>
    <row r="293" spans="1:11">
      <c r="A293" t="s">
        <v>186</v>
      </c>
      <c r="B293">
        <v>0.32</v>
      </c>
      <c r="C293">
        <v>9.5627893518518498E-2</v>
      </c>
      <c r="D293">
        <v>40.067799949909897</v>
      </c>
      <c r="E293">
        <v>0.99216327504512403</v>
      </c>
      <c r="F293">
        <v>21.058653953752199</v>
      </c>
      <c r="G293">
        <v>43.1104665331885</v>
      </c>
      <c r="H293">
        <v>0.99379808813995496</v>
      </c>
      <c r="I293">
        <v>22.0747441013485</v>
      </c>
      <c r="J293">
        <v>73.669357538223196</v>
      </c>
      <c r="K293">
        <v>44.749295949935899</v>
      </c>
    </row>
    <row r="294" spans="1:11">
      <c r="A294" t="s">
        <v>186</v>
      </c>
      <c r="B294">
        <v>0.16</v>
      </c>
      <c r="C294">
        <v>5.8723958333333298E-2</v>
      </c>
      <c r="D294">
        <v>38.808418380252299</v>
      </c>
      <c r="E294">
        <v>0.99061368053019605</v>
      </c>
      <c r="F294">
        <v>20.2750466836222</v>
      </c>
      <c r="G294">
        <v>41.821311453810701</v>
      </c>
      <c r="H294">
        <v>0.99259076492713505</v>
      </c>
      <c r="I294">
        <v>21.302266261342801</v>
      </c>
      <c r="J294">
        <v>62.762163162231403</v>
      </c>
      <c r="K294">
        <v>36.361399650573702</v>
      </c>
    </row>
    <row r="295" spans="1:11">
      <c r="A295" t="s">
        <v>187</v>
      </c>
      <c r="B295">
        <v>3.2</v>
      </c>
      <c r="C295">
        <v>1.27770543981481</v>
      </c>
      <c r="D295">
        <v>37.199981115716398</v>
      </c>
      <c r="E295">
        <v>0.99656705359407405</v>
      </c>
      <c r="F295">
        <v>24.6433297658958</v>
      </c>
      <c r="G295">
        <v>40.1579744731741</v>
      </c>
      <c r="H295">
        <v>0.997516597225098</v>
      </c>
      <c r="I295">
        <v>26.0495283794396</v>
      </c>
      <c r="J295">
        <v>350.91756319999598</v>
      </c>
      <c r="K295">
        <v>144.44365358352599</v>
      </c>
    </row>
    <row r="296" spans="1:11">
      <c r="A296" t="s">
        <v>187</v>
      </c>
      <c r="B296">
        <v>1.28</v>
      </c>
      <c r="C296">
        <v>0.77559895833333303</v>
      </c>
      <c r="D296">
        <v>35.0263581138056</v>
      </c>
      <c r="E296">
        <v>0.99393650355908802</v>
      </c>
      <c r="F296">
        <v>22.1727687301161</v>
      </c>
      <c r="G296">
        <v>38.061518219302201</v>
      </c>
      <c r="H296">
        <v>0.99550851982385802</v>
      </c>
      <c r="I296">
        <v>23.476105128061398</v>
      </c>
      <c r="J296">
        <v>99.149079561233506</v>
      </c>
      <c r="K296">
        <v>41.659463644027703</v>
      </c>
    </row>
    <row r="297" spans="1:11">
      <c r="A297" t="s">
        <v>187</v>
      </c>
      <c r="B297">
        <v>0.64</v>
      </c>
      <c r="C297">
        <v>0.52361400462962904</v>
      </c>
      <c r="D297">
        <v>33.695814097307299</v>
      </c>
      <c r="E297">
        <v>0.99126818330626698</v>
      </c>
      <c r="F297">
        <v>20.588953899734499</v>
      </c>
      <c r="G297">
        <v>36.756414934416497</v>
      </c>
      <c r="H297">
        <v>0.99347772864454997</v>
      </c>
      <c r="I297">
        <v>21.856011365753002</v>
      </c>
      <c r="J297">
        <v>83.009636402130099</v>
      </c>
      <c r="K297">
        <v>42.795945405959998</v>
      </c>
    </row>
    <row r="298" spans="1:11">
      <c r="A298" t="s">
        <v>187</v>
      </c>
      <c r="B298">
        <v>0.16</v>
      </c>
      <c r="C298">
        <v>0.22536747685185099</v>
      </c>
      <c r="D298">
        <v>31.528066054071001</v>
      </c>
      <c r="E298">
        <v>0.98170540420826602</v>
      </c>
      <c r="F298">
        <v>17.376771815509102</v>
      </c>
      <c r="G298">
        <v>34.612749786546402</v>
      </c>
      <c r="H298">
        <v>0.98548879412383095</v>
      </c>
      <c r="I298">
        <v>18.382964963420299</v>
      </c>
      <c r="J298">
        <v>53.937877655029297</v>
      </c>
      <c r="K298">
        <v>37.072238206863403</v>
      </c>
    </row>
    <row r="299" spans="1:11">
      <c r="A299" t="s">
        <v>187</v>
      </c>
      <c r="B299">
        <v>0.08</v>
      </c>
      <c r="C299">
        <v>0.135923032407407</v>
      </c>
      <c r="D299">
        <v>30.322373490403901</v>
      </c>
      <c r="E299">
        <v>0.97370520049544595</v>
      </c>
      <c r="F299">
        <v>15.801301362936799</v>
      </c>
      <c r="G299">
        <v>33.372913612285402</v>
      </c>
      <c r="H299">
        <v>0.97845309183759199</v>
      </c>
      <c r="I299">
        <v>16.666150393937301</v>
      </c>
      <c r="J299">
        <v>35.047060728073099</v>
      </c>
      <c r="K299">
        <v>22.4616487026214</v>
      </c>
    </row>
    <row r="300" spans="1:11">
      <c r="A300" t="s">
        <v>187</v>
      </c>
      <c r="B300">
        <v>0.04</v>
      </c>
      <c r="C300">
        <v>8.3799189814814795E-2</v>
      </c>
      <c r="D300">
        <v>29.079729791711198</v>
      </c>
      <c r="E300">
        <v>0.96481128641896596</v>
      </c>
      <c r="F300">
        <v>14.535966096885501</v>
      </c>
      <c r="G300">
        <v>32.079204715514003</v>
      </c>
      <c r="H300">
        <v>0.97042928020055697</v>
      </c>
      <c r="I300">
        <v>15.2913810391076</v>
      </c>
      <c r="J300">
        <v>41.793329477310103</v>
      </c>
      <c r="K300">
        <v>29.943649530410699</v>
      </c>
    </row>
    <row r="301" spans="1:11">
      <c r="A301" t="s">
        <v>188</v>
      </c>
      <c r="B301">
        <v>3.2</v>
      </c>
      <c r="C301">
        <v>1.76216145833333</v>
      </c>
      <c r="D301">
        <v>35.805423521060597</v>
      </c>
      <c r="E301">
        <v>0.99599708481175198</v>
      </c>
      <c r="F301">
        <v>23.976236114103202</v>
      </c>
      <c r="G301">
        <v>38.555985281322997</v>
      </c>
      <c r="H301">
        <v>0.99772339698910295</v>
      </c>
      <c r="I301">
        <v>26.427126941141299</v>
      </c>
      <c r="J301">
        <v>352.14317250251702</v>
      </c>
      <c r="K301">
        <v>142.63813161849899</v>
      </c>
    </row>
    <row r="302" spans="1:11">
      <c r="A302" t="s">
        <v>188</v>
      </c>
      <c r="B302">
        <v>1.28</v>
      </c>
      <c r="C302">
        <v>1.1974971064814799</v>
      </c>
      <c r="D302">
        <v>33.631874602670003</v>
      </c>
      <c r="E302">
        <v>0.99253184806396499</v>
      </c>
      <c r="F302">
        <v>21.2678685511633</v>
      </c>
      <c r="G302">
        <v>36.342129374453698</v>
      </c>
      <c r="H302">
        <v>0.995727343283347</v>
      </c>
      <c r="I302">
        <v>23.693019988403101</v>
      </c>
      <c r="J302">
        <v>99.603451728820801</v>
      </c>
      <c r="K302">
        <v>43.0841643810272</v>
      </c>
    </row>
    <row r="303" spans="1:11">
      <c r="A303" t="s">
        <v>188</v>
      </c>
      <c r="B303">
        <v>0.32</v>
      </c>
      <c r="C303">
        <v>0.48877604166666599</v>
      </c>
      <c r="D303">
        <v>30.678212675265598</v>
      </c>
      <c r="E303">
        <v>0.97869823351204499</v>
      </c>
      <c r="F303">
        <v>16.7158438040349</v>
      </c>
      <c r="G303">
        <v>33.403335985405803</v>
      </c>
      <c r="H303">
        <v>0.98834935272243696</v>
      </c>
      <c r="I303">
        <v>19.336499457740199</v>
      </c>
      <c r="J303">
        <v>76.068409204483004</v>
      </c>
      <c r="K303">
        <v>47.037032842636101</v>
      </c>
    </row>
    <row r="304" spans="1:11">
      <c r="A304" t="s">
        <v>188</v>
      </c>
      <c r="B304">
        <v>0.16</v>
      </c>
      <c r="C304">
        <v>0.31417534722222201</v>
      </c>
      <c r="D304">
        <v>29.4823034947986</v>
      </c>
      <c r="E304">
        <v>0.97050680978789605</v>
      </c>
      <c r="F304">
        <v>15.3027824824924</v>
      </c>
      <c r="G304">
        <v>32.222389118102498</v>
      </c>
      <c r="H304">
        <v>0.98358345641930101</v>
      </c>
      <c r="I304">
        <v>17.847182760742701</v>
      </c>
      <c r="J304">
        <v>55.512234449386597</v>
      </c>
      <c r="K304">
        <v>38.051087141036902</v>
      </c>
    </row>
    <row r="305" spans="1:11">
      <c r="A305" t="s">
        <v>188</v>
      </c>
      <c r="B305">
        <v>0.08</v>
      </c>
      <c r="C305">
        <v>0.195512152777777</v>
      </c>
      <c r="D305">
        <v>28.322537213236998</v>
      </c>
      <c r="E305">
        <v>0.95844092846013496</v>
      </c>
      <c r="F305">
        <v>13.813341634636901</v>
      </c>
      <c r="G305">
        <v>31.089243848590201</v>
      </c>
      <c r="H305">
        <v>0.97664843898226905</v>
      </c>
      <c r="I305">
        <v>16.316840821759701</v>
      </c>
      <c r="J305">
        <v>34.248504400253204</v>
      </c>
      <c r="K305">
        <v>22.3434686660766</v>
      </c>
    </row>
    <row r="306" spans="1:11">
      <c r="A306" t="s">
        <v>188</v>
      </c>
      <c r="B306">
        <v>0.04</v>
      </c>
      <c r="C306">
        <v>0.11181423611111101</v>
      </c>
      <c r="D306">
        <v>27.159248807570599</v>
      </c>
      <c r="E306">
        <v>0.94351176150660798</v>
      </c>
      <c r="F306">
        <v>12.480419679177199</v>
      </c>
      <c r="G306">
        <v>29.942615217694701</v>
      </c>
      <c r="H306">
        <v>0.96831996163665901</v>
      </c>
      <c r="I306">
        <v>14.9921430116786</v>
      </c>
      <c r="J306">
        <v>40.868191957473698</v>
      </c>
      <c r="K306">
        <v>30.093655586242601</v>
      </c>
    </row>
    <row r="307" spans="1:11">
      <c r="A307" t="s">
        <v>189</v>
      </c>
      <c r="B307">
        <v>3.2</v>
      </c>
      <c r="C307">
        <v>1.3868711419752999</v>
      </c>
      <c r="D307">
        <v>33.8205045841177</v>
      </c>
      <c r="E307">
        <v>0.99719735265568799</v>
      </c>
      <c r="F307">
        <v>25.524315458553701</v>
      </c>
      <c r="G307">
        <v>36.752444542982502</v>
      </c>
      <c r="H307">
        <v>0.99812748895519099</v>
      </c>
      <c r="I307">
        <v>27.275756119808701</v>
      </c>
      <c r="J307">
        <v>285.49700665473898</v>
      </c>
      <c r="K307">
        <v>105.371201515197</v>
      </c>
    </row>
    <row r="308" spans="1:11">
      <c r="A308" t="s">
        <v>189</v>
      </c>
      <c r="B308">
        <v>1.28</v>
      </c>
      <c r="C308">
        <v>0.93670138888888799</v>
      </c>
      <c r="D308">
        <v>31.399852918808101</v>
      </c>
      <c r="E308">
        <v>0.99481846055457102</v>
      </c>
      <c r="F308">
        <v>22.855411913497701</v>
      </c>
      <c r="G308">
        <v>34.459991868817703</v>
      </c>
      <c r="H308">
        <v>0.996349223231765</v>
      </c>
      <c r="I308">
        <v>24.376147217716699</v>
      </c>
      <c r="J308">
        <v>78.995175600051795</v>
      </c>
      <c r="K308">
        <v>32.2060449123382</v>
      </c>
    </row>
    <row r="309" spans="1:11">
      <c r="A309" t="s">
        <v>189</v>
      </c>
      <c r="B309">
        <v>0.32</v>
      </c>
      <c r="C309">
        <v>0.52299768518518497</v>
      </c>
      <c r="D309">
        <v>28.671026065406501</v>
      </c>
      <c r="E309">
        <v>0.98802114892979198</v>
      </c>
      <c r="F309">
        <v>19.2158483451744</v>
      </c>
      <c r="G309">
        <v>31.8839146938139</v>
      </c>
      <c r="H309">
        <v>0.99060530078482001</v>
      </c>
      <c r="I309">
        <v>20.271171199039198</v>
      </c>
      <c r="J309">
        <v>53.8698406219482</v>
      </c>
      <c r="K309">
        <v>34.9152219295501</v>
      </c>
    </row>
    <row r="310" spans="1:11">
      <c r="A310" t="s">
        <v>189</v>
      </c>
      <c r="B310">
        <v>0.16</v>
      </c>
      <c r="C310">
        <v>0.38798225308641898</v>
      </c>
      <c r="D310">
        <v>27.628869269122699</v>
      </c>
      <c r="E310">
        <v>0.98146362288606503</v>
      </c>
      <c r="F310">
        <v>17.319751436098102</v>
      </c>
      <c r="G310">
        <v>30.874903027639501</v>
      </c>
      <c r="H310">
        <v>0.98481987448984798</v>
      </c>
      <c r="I310">
        <v>18.1872463765392</v>
      </c>
      <c r="J310">
        <v>44.006911039352403</v>
      </c>
      <c r="K310">
        <v>28.6168372631073</v>
      </c>
    </row>
    <row r="311" spans="1:11">
      <c r="A311" t="s">
        <v>189</v>
      </c>
      <c r="B311">
        <v>0.08</v>
      </c>
      <c r="C311">
        <v>0.281554783950617</v>
      </c>
      <c r="D311">
        <v>26.417241845106499</v>
      </c>
      <c r="E311">
        <v>0.97022957381061103</v>
      </c>
      <c r="F311">
        <v>15.262149480078</v>
      </c>
      <c r="G311">
        <v>29.717087111563199</v>
      </c>
      <c r="H311">
        <v>0.974370407001246</v>
      </c>
      <c r="I311">
        <v>15.912582904134499</v>
      </c>
      <c r="J311">
        <v>26.130762338638299</v>
      </c>
      <c r="K311">
        <v>16.2903518676757</v>
      </c>
    </row>
    <row r="312" spans="1:11">
      <c r="A312" t="s">
        <v>189</v>
      </c>
      <c r="B312">
        <v>0.04</v>
      </c>
      <c r="C312">
        <v>0.187310956790123</v>
      </c>
      <c r="D312">
        <v>24.9979314813902</v>
      </c>
      <c r="E312">
        <v>0.95157204844763699</v>
      </c>
      <c r="F312">
        <v>13.149039007308801</v>
      </c>
      <c r="G312">
        <v>28.388345339758501</v>
      </c>
      <c r="H312">
        <v>0.95660030136393803</v>
      </c>
      <c r="I312">
        <v>13.6251328618219</v>
      </c>
      <c r="J312">
        <v>31.955536365509001</v>
      </c>
      <c r="K312">
        <v>22.6075901985168</v>
      </c>
    </row>
    <row r="313" spans="1:11">
      <c r="A313" t="s">
        <v>190</v>
      </c>
      <c r="B313">
        <v>6.4</v>
      </c>
      <c r="C313">
        <v>0.80288966049382704</v>
      </c>
      <c r="D313">
        <v>47.574935647770999</v>
      </c>
      <c r="E313">
        <v>0.99861363497572597</v>
      </c>
      <c r="F313">
        <v>28.581224066967899</v>
      </c>
      <c r="G313">
        <v>50.407261156409596</v>
      </c>
      <c r="H313">
        <v>0.99911860778628903</v>
      </c>
      <c r="I313">
        <v>30.548307904014202</v>
      </c>
      <c r="J313">
        <v>447.19263291358902</v>
      </c>
      <c r="K313">
        <v>91.482322692871094</v>
      </c>
    </row>
    <row r="314" spans="1:11">
      <c r="A314" t="s">
        <v>190</v>
      </c>
      <c r="B314">
        <v>3.2</v>
      </c>
      <c r="C314">
        <v>0.56076774691358</v>
      </c>
      <c r="D314">
        <v>46.517034896551699</v>
      </c>
      <c r="E314">
        <v>0.99800845816763095</v>
      </c>
      <c r="F314">
        <v>27.008105667961502</v>
      </c>
      <c r="G314">
        <v>49.404665097099603</v>
      </c>
      <c r="H314">
        <v>0.998686143586199</v>
      </c>
      <c r="I314">
        <v>28.814520945184299</v>
      </c>
      <c r="J314">
        <v>189.64809179305999</v>
      </c>
      <c r="K314">
        <v>107.26831245422299</v>
      </c>
    </row>
    <row r="315" spans="1:11">
      <c r="A315" t="s">
        <v>190</v>
      </c>
      <c r="B315">
        <v>1.28</v>
      </c>
      <c r="C315">
        <v>0.32175540123456697</v>
      </c>
      <c r="D315">
        <v>45.240898656466499</v>
      </c>
      <c r="E315">
        <v>0.99684856040242797</v>
      </c>
      <c r="F315">
        <v>25.014910124135799</v>
      </c>
      <c r="G315">
        <v>48.181951625299703</v>
      </c>
      <c r="H315">
        <v>0.99788839003777097</v>
      </c>
      <c r="I315">
        <v>26.753862977363799</v>
      </c>
      <c r="J315">
        <v>65.5917649269104</v>
      </c>
      <c r="K315">
        <v>32.9233524799346</v>
      </c>
    </row>
    <row r="316" spans="1:11">
      <c r="A316" t="s">
        <v>190</v>
      </c>
      <c r="B316">
        <v>0.64</v>
      </c>
      <c r="C316">
        <v>0.22330632716049301</v>
      </c>
      <c r="D316">
        <v>43.5980527660505</v>
      </c>
      <c r="E316">
        <v>0.99573646770348201</v>
      </c>
      <c r="F316">
        <v>23.7023044286097</v>
      </c>
      <c r="G316">
        <v>46.5920399075045</v>
      </c>
      <c r="H316">
        <v>0.99710978433943898</v>
      </c>
      <c r="I316">
        <v>25.390697500818199</v>
      </c>
      <c r="J316">
        <v>54.576108694076503</v>
      </c>
      <c r="K316">
        <v>32.8769080638885</v>
      </c>
    </row>
    <row r="317" spans="1:11">
      <c r="A317" t="s">
        <v>190</v>
      </c>
      <c r="B317">
        <v>0.16</v>
      </c>
      <c r="C317">
        <v>0.108260030864197</v>
      </c>
      <c r="D317">
        <v>41.655567375199396</v>
      </c>
      <c r="E317">
        <v>0.99155762265462</v>
      </c>
      <c r="F317">
        <v>20.735352402705001</v>
      </c>
      <c r="G317">
        <v>44.564153191836297</v>
      </c>
      <c r="H317">
        <v>0.99401618024766603</v>
      </c>
      <c r="I317">
        <v>22.230214969861699</v>
      </c>
      <c r="J317">
        <v>38.599846601486199</v>
      </c>
      <c r="K317">
        <v>25.463717937469401</v>
      </c>
    </row>
    <row r="318" spans="1:11">
      <c r="A318" t="s">
        <v>190</v>
      </c>
      <c r="B318">
        <v>0.08</v>
      </c>
      <c r="C318">
        <v>7.1855709876543203E-2</v>
      </c>
      <c r="D318">
        <v>39.2118932534447</v>
      </c>
      <c r="E318">
        <v>0.98798682714719299</v>
      </c>
      <c r="F318">
        <v>19.203422739891501</v>
      </c>
      <c r="G318">
        <v>42.086375139508199</v>
      </c>
      <c r="H318">
        <v>0.99127744465368595</v>
      </c>
      <c r="I318">
        <v>20.593562661879499</v>
      </c>
      <c r="J318">
        <v>25.7347409725189</v>
      </c>
      <c r="K318">
        <v>16.814702272415101</v>
      </c>
    </row>
    <row r="319" spans="1:11">
      <c r="A319" t="s">
        <v>191</v>
      </c>
      <c r="B319">
        <v>6.4</v>
      </c>
      <c r="C319">
        <v>1.6274344135802401</v>
      </c>
      <c r="D319">
        <v>36.791361030074199</v>
      </c>
      <c r="E319">
        <v>0.99843557494062596</v>
      </c>
      <c r="F319">
        <v>28.056452360203998</v>
      </c>
      <c r="G319">
        <v>39.634420963072699</v>
      </c>
      <c r="H319">
        <v>0.99901476921861299</v>
      </c>
      <c r="I319">
        <v>30.0646202803715</v>
      </c>
      <c r="J319">
        <v>615.24700570106495</v>
      </c>
      <c r="K319">
        <v>89.914842844009399</v>
      </c>
    </row>
    <row r="320" spans="1:11">
      <c r="A320" t="s">
        <v>191</v>
      </c>
      <c r="B320">
        <v>1.28</v>
      </c>
      <c r="C320">
        <v>0.83437114197530804</v>
      </c>
      <c r="D320">
        <v>32.5747497042722</v>
      </c>
      <c r="E320">
        <v>0.99551726188415401</v>
      </c>
      <c r="F320">
        <v>23.484566321280301</v>
      </c>
      <c r="G320">
        <v>35.489489985643303</v>
      </c>
      <c r="H320">
        <v>0.99692073231576805</v>
      </c>
      <c r="I320">
        <v>25.115525557439199</v>
      </c>
      <c r="J320">
        <v>80.274670600891099</v>
      </c>
      <c r="K320">
        <v>32.506345272064202</v>
      </c>
    </row>
    <row r="321" spans="1:11">
      <c r="A321" t="s">
        <v>191</v>
      </c>
      <c r="B321">
        <v>0.32</v>
      </c>
      <c r="C321">
        <v>0.42755787037037002</v>
      </c>
      <c r="D321">
        <v>29.549771238906199</v>
      </c>
      <c r="E321">
        <v>0.98939645261419396</v>
      </c>
      <c r="F321">
        <v>19.745488184759299</v>
      </c>
      <c r="G321">
        <v>32.561997941140802</v>
      </c>
      <c r="H321">
        <v>0.99203511316474502</v>
      </c>
      <c r="I321">
        <v>20.988203902550101</v>
      </c>
      <c r="J321">
        <v>60.744342565536499</v>
      </c>
      <c r="K321">
        <v>34.200079202651899</v>
      </c>
    </row>
    <row r="322" spans="1:11">
      <c r="A322" t="s">
        <v>191</v>
      </c>
      <c r="B322">
        <v>0.16</v>
      </c>
      <c r="C322">
        <v>0.30724922839506102</v>
      </c>
      <c r="D322">
        <v>28.307801365115001</v>
      </c>
      <c r="E322">
        <v>0.98363471076462305</v>
      </c>
      <c r="F322">
        <v>17.860763146934001</v>
      </c>
      <c r="G322">
        <v>31.321081316890702</v>
      </c>
      <c r="H322">
        <v>0.98722014648535505</v>
      </c>
      <c r="I322">
        <v>18.934741241233102</v>
      </c>
      <c r="J322">
        <v>41.752059698104802</v>
      </c>
      <c r="K322">
        <v>26.4928090572357</v>
      </c>
    </row>
    <row r="323" spans="1:11">
      <c r="A323" t="s">
        <v>191</v>
      </c>
      <c r="B323">
        <v>0.08</v>
      </c>
      <c r="C323">
        <v>0.214918981481481</v>
      </c>
      <c r="D323">
        <v>26.9821935024409</v>
      </c>
      <c r="E323">
        <v>0.97472589304353696</v>
      </c>
      <c r="F323">
        <v>15.973241809687</v>
      </c>
      <c r="G323">
        <v>30.0003559468996</v>
      </c>
      <c r="H323">
        <v>0.97951329374087703</v>
      </c>
      <c r="I323">
        <v>16.885278594842099</v>
      </c>
      <c r="J323">
        <v>26.455096006393401</v>
      </c>
      <c r="K323">
        <v>16.292465209960898</v>
      </c>
    </row>
    <row r="324" spans="1:11">
      <c r="A324" t="s">
        <v>191</v>
      </c>
      <c r="B324">
        <v>0.04</v>
      </c>
      <c r="C324">
        <v>0.14325231481481401</v>
      </c>
      <c r="D324">
        <v>25.597565634728198</v>
      </c>
      <c r="E324">
        <v>0.96150626434093001</v>
      </c>
      <c r="F324">
        <v>14.1460994036306</v>
      </c>
      <c r="G324">
        <v>28.616730110637398</v>
      </c>
      <c r="H324">
        <v>0.96795662800666804</v>
      </c>
      <c r="I324">
        <v>14.942617884354499</v>
      </c>
      <c r="J324">
        <v>31.3540887832641</v>
      </c>
      <c r="K324">
        <v>22.271174669265701</v>
      </c>
    </row>
    <row r="325" spans="1:11">
      <c r="A325" t="s">
        <v>192</v>
      </c>
      <c r="B325">
        <v>6.4</v>
      </c>
      <c r="C325">
        <v>1.53319830246913</v>
      </c>
      <c r="D325">
        <v>38.514531966249002</v>
      </c>
      <c r="E325">
        <v>0.99838732153598897</v>
      </c>
      <c r="F325">
        <v>27.924522136562</v>
      </c>
      <c r="G325">
        <v>41.188325846021201</v>
      </c>
      <c r="H325">
        <v>0.99894611306722003</v>
      </c>
      <c r="I325">
        <v>29.772059803038701</v>
      </c>
      <c r="J325">
        <v>639.63527107238701</v>
      </c>
      <c r="K325">
        <v>73.030829668045001</v>
      </c>
    </row>
    <row r="326" spans="1:11">
      <c r="A326" t="s">
        <v>192</v>
      </c>
      <c r="B326">
        <v>3.2</v>
      </c>
      <c r="C326">
        <v>1.1315547839506099</v>
      </c>
      <c r="D326">
        <v>36.848051603610301</v>
      </c>
      <c r="E326">
        <v>0.99752700243389403</v>
      </c>
      <c r="F326">
        <v>26.067763110658799</v>
      </c>
      <c r="G326">
        <v>39.5323960405657</v>
      </c>
      <c r="H326">
        <v>0.99831942513757699</v>
      </c>
      <c r="I326">
        <v>27.745421368018899</v>
      </c>
      <c r="J326">
        <v>270.08044195175103</v>
      </c>
      <c r="K326">
        <v>108.042068481445</v>
      </c>
    </row>
    <row r="327" spans="1:11">
      <c r="A327" t="s">
        <v>192</v>
      </c>
      <c r="B327">
        <v>0.64</v>
      </c>
      <c r="C327">
        <v>0.53239583333333296</v>
      </c>
      <c r="D327">
        <v>32.923013510441599</v>
      </c>
      <c r="E327">
        <v>0.99298823278745296</v>
      </c>
      <c r="F327">
        <v>21.541725107164101</v>
      </c>
      <c r="G327">
        <v>35.680619013902501</v>
      </c>
      <c r="H327">
        <v>0.99481328428874105</v>
      </c>
      <c r="I327">
        <v>22.851075554410102</v>
      </c>
      <c r="J327">
        <v>61.7600901126861</v>
      </c>
      <c r="K327">
        <v>27.385668039321899</v>
      </c>
    </row>
    <row r="328" spans="1:11">
      <c r="A328" t="s">
        <v>192</v>
      </c>
      <c r="B328">
        <v>0.16</v>
      </c>
      <c r="C328">
        <v>0.26507330246913502</v>
      </c>
      <c r="D328">
        <v>30.488612704095999</v>
      </c>
      <c r="E328">
        <v>0.98423974885407695</v>
      </c>
      <c r="F328">
        <v>18.0243686613458</v>
      </c>
      <c r="G328">
        <v>33.255129907500098</v>
      </c>
      <c r="H328">
        <v>0.98731970451430096</v>
      </c>
      <c r="I328">
        <v>18.968706260825702</v>
      </c>
      <c r="J328">
        <v>41.716653585433903</v>
      </c>
      <c r="K328">
        <v>25.346554040908799</v>
      </c>
    </row>
    <row r="329" spans="1:11">
      <c r="A329" t="s">
        <v>192</v>
      </c>
      <c r="B329">
        <v>0.08</v>
      </c>
      <c r="C329">
        <v>0.18336805555555499</v>
      </c>
      <c r="D329">
        <v>29.282045409274598</v>
      </c>
      <c r="E329">
        <v>0.97629718532024401</v>
      </c>
      <c r="F329">
        <v>16.252000789981601</v>
      </c>
      <c r="G329">
        <v>32.0370838750381</v>
      </c>
      <c r="H329">
        <v>0.98023353582722395</v>
      </c>
      <c r="I329">
        <v>17.0407101038222</v>
      </c>
      <c r="J329">
        <v>26.157538414001401</v>
      </c>
      <c r="K329">
        <v>16.441451549530001</v>
      </c>
    </row>
    <row r="330" spans="1:11">
      <c r="A330" t="s">
        <v>192</v>
      </c>
      <c r="B330">
        <v>0.04</v>
      </c>
      <c r="C330">
        <v>0.121523919753086</v>
      </c>
      <c r="D330">
        <v>27.972599860296899</v>
      </c>
      <c r="E330">
        <v>0.96489399037315804</v>
      </c>
      <c r="F330">
        <v>14.546185324125</v>
      </c>
      <c r="G330">
        <v>30.712531883337</v>
      </c>
      <c r="H330">
        <v>0.96982125101185501</v>
      </c>
      <c r="I330">
        <v>15.202987671716301</v>
      </c>
      <c r="J330">
        <v>31.942857503890899</v>
      </c>
      <c r="K330">
        <v>20.949671268463099</v>
      </c>
    </row>
    <row r="331" spans="1:11">
      <c r="A331" t="s">
        <v>193</v>
      </c>
      <c r="B331">
        <v>6.4</v>
      </c>
      <c r="C331">
        <v>1.0739236111111099</v>
      </c>
      <c r="D331">
        <v>43.059021649692603</v>
      </c>
      <c r="E331">
        <v>0.99862099694835904</v>
      </c>
      <c r="F331">
        <v>28.604347727586902</v>
      </c>
      <c r="G331">
        <v>45.708603030302797</v>
      </c>
      <c r="H331">
        <v>0.999137030700881</v>
      </c>
      <c r="I331">
        <v>30.640046544127401</v>
      </c>
      <c r="J331">
        <v>585.98888111114502</v>
      </c>
      <c r="K331">
        <v>70.928905248641897</v>
      </c>
    </row>
    <row r="332" spans="1:11">
      <c r="A332" t="s">
        <v>193</v>
      </c>
      <c r="B332">
        <v>3.2</v>
      </c>
      <c r="C332">
        <v>0.76906249999999998</v>
      </c>
      <c r="D332">
        <v>41.451759598294203</v>
      </c>
      <c r="E332">
        <v>0.99789478166830603</v>
      </c>
      <c r="F332">
        <v>26.767028569149499</v>
      </c>
      <c r="G332">
        <v>44.091171682970199</v>
      </c>
      <c r="H332">
        <v>0.99862649832095396</v>
      </c>
      <c r="I332">
        <v>28.621708053370199</v>
      </c>
      <c r="J332">
        <v>259.808386802673</v>
      </c>
      <c r="K332">
        <v>109.671994447708</v>
      </c>
    </row>
    <row r="333" spans="1:11">
      <c r="A333" t="s">
        <v>193</v>
      </c>
      <c r="B333">
        <v>1.28</v>
      </c>
      <c r="C333">
        <v>0.50670910493827104</v>
      </c>
      <c r="D333">
        <v>39.400341174748299</v>
      </c>
      <c r="E333">
        <v>0.99650001628250395</v>
      </c>
      <c r="F333">
        <v>24.559339760548799</v>
      </c>
      <c r="G333">
        <v>42.026867916573103</v>
      </c>
      <c r="H333">
        <v>0.99763271165040801</v>
      </c>
      <c r="I333">
        <v>26.257488392362902</v>
      </c>
      <c r="J333">
        <v>77.890595436096106</v>
      </c>
      <c r="K333">
        <v>32.912728071212698</v>
      </c>
    </row>
    <row r="334" spans="1:11">
      <c r="A334" t="s">
        <v>193</v>
      </c>
      <c r="B334">
        <v>0.32</v>
      </c>
      <c r="C334">
        <v>0.25012731481481398</v>
      </c>
      <c r="D334">
        <v>36.639692880183297</v>
      </c>
      <c r="E334">
        <v>0.99269532222031698</v>
      </c>
      <c r="F334">
        <v>21.363989366896199</v>
      </c>
      <c r="G334">
        <v>39.280054217075801</v>
      </c>
      <c r="H334">
        <v>0.99461578740776901</v>
      </c>
      <c r="I334">
        <v>22.688778006024499</v>
      </c>
      <c r="J334">
        <v>55.276051044464097</v>
      </c>
      <c r="K334">
        <v>31.334829568862901</v>
      </c>
    </row>
    <row r="335" spans="1:11">
      <c r="A335" t="s">
        <v>193</v>
      </c>
      <c r="B335">
        <v>0.08</v>
      </c>
      <c r="C335">
        <v>0.12016589506172801</v>
      </c>
      <c r="D335">
        <v>33.672855955494903</v>
      </c>
      <c r="E335">
        <v>0.98377022710722495</v>
      </c>
      <c r="F335">
        <v>17.8968755732133</v>
      </c>
      <c r="G335">
        <v>36.320129173064302</v>
      </c>
      <c r="H335">
        <v>0.98706389421177398</v>
      </c>
      <c r="I335">
        <v>18.881964415358699</v>
      </c>
      <c r="J335">
        <v>26.1447880268096</v>
      </c>
      <c r="K335">
        <v>16.211076259613002</v>
      </c>
    </row>
    <row r="336" spans="1:11">
      <c r="A336" t="s">
        <v>193</v>
      </c>
      <c r="B336">
        <v>0.04</v>
      </c>
      <c r="C336">
        <v>7.8877314814814803E-2</v>
      </c>
      <c r="D336">
        <v>32.026347368176801</v>
      </c>
      <c r="E336">
        <v>0.97619887515537596</v>
      </c>
      <c r="F336">
        <v>16.234025176380499</v>
      </c>
      <c r="G336">
        <v>34.626937605106797</v>
      </c>
      <c r="H336">
        <v>0.98024478797196002</v>
      </c>
      <c r="I336">
        <v>17.0431830477708</v>
      </c>
      <c r="J336">
        <v>31.804061889648398</v>
      </c>
      <c r="K336">
        <v>23.230119466781598</v>
      </c>
    </row>
    <row r="337" spans="1:11">
      <c r="A337" t="s">
        <v>194</v>
      </c>
      <c r="B337">
        <v>6.4</v>
      </c>
      <c r="C337">
        <v>1.1737770061728301</v>
      </c>
      <c r="D337">
        <v>39.761175721858898</v>
      </c>
      <c r="E337">
        <v>0.99854895891713602</v>
      </c>
      <c r="F337">
        <v>28.383202913471202</v>
      </c>
      <c r="G337">
        <v>42.604488256278202</v>
      </c>
      <c r="H337">
        <v>0.99915558477059596</v>
      </c>
      <c r="I337">
        <v>30.7344394259976</v>
      </c>
      <c r="J337">
        <v>635.32438969612099</v>
      </c>
      <c r="K337">
        <v>73.394642114639197</v>
      </c>
    </row>
    <row r="338" spans="1:11">
      <c r="A338" t="s">
        <v>194</v>
      </c>
      <c r="B338">
        <v>3.2</v>
      </c>
      <c r="C338">
        <v>0.83517361111111099</v>
      </c>
      <c r="D338">
        <v>38.2467512006371</v>
      </c>
      <c r="E338">
        <v>0.99788193842341699</v>
      </c>
      <c r="F338">
        <v>26.7406141817502</v>
      </c>
      <c r="G338">
        <v>41.0806673386043</v>
      </c>
      <c r="H338">
        <v>0.99872336412654905</v>
      </c>
      <c r="I338">
        <v>28.939329560658798</v>
      </c>
      <c r="J338">
        <v>286.75445437431301</v>
      </c>
      <c r="K338">
        <v>109.369477272033</v>
      </c>
    </row>
    <row r="339" spans="1:11">
      <c r="A339" t="s">
        <v>194</v>
      </c>
      <c r="B339">
        <v>1.28</v>
      </c>
      <c r="C339">
        <v>0.54992283950617205</v>
      </c>
      <c r="D339">
        <v>35.948122499198902</v>
      </c>
      <c r="E339">
        <v>0.99640939406153495</v>
      </c>
      <c r="F339">
        <v>24.448322551750199</v>
      </c>
      <c r="G339">
        <v>38.819715995042301</v>
      </c>
      <c r="H339">
        <v>0.99766969569756503</v>
      </c>
      <c r="I339">
        <v>26.325873629916199</v>
      </c>
      <c r="J339">
        <v>87.146104574203406</v>
      </c>
      <c r="K339">
        <v>33.690949440002399</v>
      </c>
    </row>
    <row r="340" spans="1:11">
      <c r="A340" t="s">
        <v>194</v>
      </c>
      <c r="B340">
        <v>0.32</v>
      </c>
      <c r="C340">
        <v>0.25545138888888802</v>
      </c>
      <c r="D340">
        <v>33.311609241794102</v>
      </c>
      <c r="E340">
        <v>0.99252727776114502</v>
      </c>
      <c r="F340">
        <v>21.265211601731998</v>
      </c>
      <c r="G340">
        <v>36.247854516000203</v>
      </c>
      <c r="H340">
        <v>0.99458148755336595</v>
      </c>
      <c r="I340">
        <v>22.661199246957899</v>
      </c>
      <c r="J340">
        <v>58.063137531280503</v>
      </c>
      <c r="K340">
        <v>32.542200565338099</v>
      </c>
    </row>
    <row r="341" spans="1:11">
      <c r="A341" t="s">
        <v>194</v>
      </c>
      <c r="B341">
        <v>0.08</v>
      </c>
      <c r="C341">
        <v>0.123043981481481</v>
      </c>
      <c r="D341">
        <v>30.823832751361401</v>
      </c>
      <c r="E341">
        <v>0.984300750743339</v>
      </c>
      <c r="F341">
        <v>18.041211152012998</v>
      </c>
      <c r="G341">
        <v>33.794842773908897</v>
      </c>
      <c r="H341">
        <v>0.98753819242739105</v>
      </c>
      <c r="I341">
        <v>19.044189591316101</v>
      </c>
      <c r="J341">
        <v>25.684691429138098</v>
      </c>
      <c r="K341">
        <v>17.071118354797299</v>
      </c>
    </row>
    <row r="342" spans="1:11">
      <c r="A342" t="s">
        <v>194</v>
      </c>
      <c r="B342">
        <v>0.04</v>
      </c>
      <c r="C342">
        <v>8.3792438271604902E-2</v>
      </c>
      <c r="D342">
        <v>29.648015797327499</v>
      </c>
      <c r="E342">
        <v>0.97771334608834004</v>
      </c>
      <c r="F342">
        <v>16.519551310166801</v>
      </c>
      <c r="G342">
        <v>32.666221032722802</v>
      </c>
      <c r="H342">
        <v>0.98160692081035394</v>
      </c>
      <c r="I342">
        <v>17.3534555933566</v>
      </c>
      <c r="J342">
        <v>31.755391120910598</v>
      </c>
      <c r="K342">
        <v>22.706241130828801</v>
      </c>
    </row>
    <row r="343" spans="1:11">
      <c r="A343" t="s">
        <v>195</v>
      </c>
      <c r="B343">
        <v>6.4</v>
      </c>
      <c r="C343">
        <v>1.2771412037037</v>
      </c>
      <c r="D343">
        <v>38.916405560076797</v>
      </c>
      <c r="E343">
        <v>0.99851343325630504</v>
      </c>
      <c r="F343">
        <v>28.2781558711998</v>
      </c>
      <c r="G343">
        <v>41.889335417660398</v>
      </c>
      <c r="H343">
        <v>0.99903595688187496</v>
      </c>
      <c r="I343">
        <v>30.159035412579598</v>
      </c>
      <c r="J343">
        <v>426.25443434715203</v>
      </c>
      <c r="K343">
        <v>72.712919950485201</v>
      </c>
    </row>
    <row r="344" spans="1:11">
      <c r="A344" t="s">
        <v>195</v>
      </c>
      <c r="B344">
        <v>3.2</v>
      </c>
      <c r="C344">
        <v>0.90496527777777702</v>
      </c>
      <c r="D344">
        <v>37.0585459459516</v>
      </c>
      <c r="E344">
        <v>0.99773165666507302</v>
      </c>
      <c r="F344">
        <v>26.4429121028226</v>
      </c>
      <c r="G344">
        <v>40.163136963803197</v>
      </c>
      <c r="H344">
        <v>0.99844208048697602</v>
      </c>
      <c r="I344">
        <v>28.0745498309007</v>
      </c>
      <c r="J344">
        <v>216.91738510131799</v>
      </c>
      <c r="K344">
        <v>108.56644058227501</v>
      </c>
    </row>
    <row r="345" spans="1:11">
      <c r="A345" t="s">
        <v>195</v>
      </c>
      <c r="B345">
        <v>1.28</v>
      </c>
      <c r="C345">
        <v>0.58420138888888795</v>
      </c>
      <c r="D345">
        <v>34.498395690795299</v>
      </c>
      <c r="E345">
        <v>0.99600073829544999</v>
      </c>
      <c r="F345">
        <v>23.980201754806199</v>
      </c>
      <c r="G345">
        <v>37.838779893557899</v>
      </c>
      <c r="H345">
        <v>0.99700844894339602</v>
      </c>
      <c r="I345">
        <v>25.241035806835001</v>
      </c>
      <c r="J345">
        <v>66.9458265304565</v>
      </c>
      <c r="K345">
        <v>33.879956245422299</v>
      </c>
    </row>
    <row r="346" spans="1:11">
      <c r="A346" t="s">
        <v>195</v>
      </c>
      <c r="B346">
        <v>0.16</v>
      </c>
      <c r="C346">
        <v>0.217496141975308</v>
      </c>
      <c r="D346">
        <v>30.4736737012249</v>
      </c>
      <c r="E346">
        <v>0.98688181117252805</v>
      </c>
      <c r="F346">
        <v>18.8212612201315</v>
      </c>
      <c r="G346">
        <v>34.108890293491498</v>
      </c>
      <c r="H346">
        <v>0.98857979361119597</v>
      </c>
      <c r="I346">
        <v>19.423260473416001</v>
      </c>
      <c r="J346">
        <v>40.497413396835299</v>
      </c>
      <c r="K346">
        <v>26.7027087211608</v>
      </c>
    </row>
    <row r="347" spans="1:11">
      <c r="A347" t="s">
        <v>195</v>
      </c>
      <c r="B347">
        <v>0.08</v>
      </c>
      <c r="C347">
        <v>0.15170138888888801</v>
      </c>
      <c r="D347">
        <v>29.441075219939702</v>
      </c>
      <c r="E347">
        <v>0.98067503269133205</v>
      </c>
      <c r="F347">
        <v>17.138812320889301</v>
      </c>
      <c r="G347">
        <v>33.134779966255202</v>
      </c>
      <c r="H347">
        <v>0.982567017796808</v>
      </c>
      <c r="I347">
        <v>17.586283131995401</v>
      </c>
      <c r="J347">
        <v>25.697903871536202</v>
      </c>
      <c r="K347">
        <v>16.550823211669901</v>
      </c>
    </row>
    <row r="348" spans="1:11">
      <c r="A348" t="s">
        <v>195</v>
      </c>
      <c r="B348">
        <v>0.04</v>
      </c>
      <c r="C348">
        <v>0.102496141975308</v>
      </c>
      <c r="D348">
        <v>28.426515370614101</v>
      </c>
      <c r="E348">
        <v>0.97151059728386002</v>
      </c>
      <c r="F348">
        <v>15.4531665570274</v>
      </c>
      <c r="G348">
        <v>31.9813420332842</v>
      </c>
      <c r="H348">
        <v>0.97375755555135801</v>
      </c>
      <c r="I348">
        <v>15.8099571346135</v>
      </c>
      <c r="J348">
        <v>31.6882951259613</v>
      </c>
      <c r="K348">
        <v>22.825329542159999</v>
      </c>
    </row>
    <row r="349" spans="1:11">
      <c r="A349" t="s">
        <v>196</v>
      </c>
      <c r="B349">
        <v>6.4</v>
      </c>
      <c r="C349">
        <v>1.44462577160493</v>
      </c>
      <c r="D349">
        <v>37.501408555105797</v>
      </c>
      <c r="E349">
        <v>0.99828344751932596</v>
      </c>
      <c r="F349">
        <v>27.653429142199101</v>
      </c>
      <c r="G349">
        <v>40.429523074073003</v>
      </c>
      <c r="H349">
        <v>0.99894400897942304</v>
      </c>
      <c r="I349">
        <v>29.763397747288199</v>
      </c>
      <c r="J349">
        <v>483.63160753250099</v>
      </c>
      <c r="K349">
        <v>74.460114479064899</v>
      </c>
    </row>
    <row r="350" spans="1:11">
      <c r="A350" t="s">
        <v>196</v>
      </c>
      <c r="B350">
        <v>3.2</v>
      </c>
      <c r="C350">
        <v>1.07082947530864</v>
      </c>
      <c r="D350">
        <v>36.041166824885302</v>
      </c>
      <c r="E350">
        <v>0.99748937126186199</v>
      </c>
      <c r="F350">
        <v>26.002175042919902</v>
      </c>
      <c r="G350">
        <v>38.994806515281098</v>
      </c>
      <c r="H350">
        <v>0.99836083141908305</v>
      </c>
      <c r="I350">
        <v>27.853763789511799</v>
      </c>
      <c r="J350">
        <v>240.39121556282001</v>
      </c>
      <c r="K350">
        <v>109.930110931396</v>
      </c>
    </row>
    <row r="351" spans="1:11">
      <c r="A351" t="s">
        <v>196</v>
      </c>
      <c r="B351">
        <v>0.64</v>
      </c>
      <c r="C351">
        <v>0.50744984567901197</v>
      </c>
      <c r="D351">
        <v>31.651875304267801</v>
      </c>
      <c r="E351">
        <v>0.99255075862920095</v>
      </c>
      <c r="F351">
        <v>21.2788795346003</v>
      </c>
      <c r="G351">
        <v>34.822498205347799</v>
      </c>
      <c r="H351">
        <v>0.99460901202492402</v>
      </c>
      <c r="I351">
        <v>22.683316368903899</v>
      </c>
      <c r="J351">
        <v>57.323146343231201</v>
      </c>
      <c r="K351">
        <v>28.538304567337001</v>
      </c>
    </row>
    <row r="352" spans="1:11">
      <c r="A352" t="s">
        <v>196</v>
      </c>
      <c r="B352">
        <v>0.16</v>
      </c>
      <c r="C352">
        <v>0.26593749999999999</v>
      </c>
      <c r="D352">
        <v>29.091936516303001</v>
      </c>
      <c r="E352">
        <v>0.982924143990062</v>
      </c>
      <c r="F352">
        <v>17.676175159876301</v>
      </c>
      <c r="G352">
        <v>32.386943360605002</v>
      </c>
      <c r="H352">
        <v>0.98641998903356198</v>
      </c>
      <c r="I352">
        <v>18.6709987934405</v>
      </c>
      <c r="J352">
        <v>40.883022069931002</v>
      </c>
      <c r="K352">
        <v>25.248461484909001</v>
      </c>
    </row>
    <row r="353" spans="1:11">
      <c r="A353" t="s">
        <v>196</v>
      </c>
      <c r="B353">
        <v>0.08</v>
      </c>
      <c r="C353">
        <v>0.184440586419753</v>
      </c>
      <c r="D353">
        <v>28.076157939714999</v>
      </c>
      <c r="E353">
        <v>0.97503164096850403</v>
      </c>
      <c r="F353">
        <v>16.026099993781099</v>
      </c>
      <c r="G353">
        <v>31.3804093032123</v>
      </c>
      <c r="H353">
        <v>0.97911529619840498</v>
      </c>
      <c r="I353">
        <v>16.8017167975941</v>
      </c>
      <c r="J353">
        <v>26.018258810043299</v>
      </c>
      <c r="K353">
        <v>16.436037778854299</v>
      </c>
    </row>
    <row r="354" spans="1:11">
      <c r="A354" t="s">
        <v>196</v>
      </c>
      <c r="B354">
        <v>0.04</v>
      </c>
      <c r="C354">
        <v>0.123530092592592</v>
      </c>
      <c r="D354">
        <v>27.1072007972436</v>
      </c>
      <c r="E354">
        <v>0.96306756403002902</v>
      </c>
      <c r="F354">
        <v>14.3259204643982</v>
      </c>
      <c r="G354">
        <v>30.378008484337499</v>
      </c>
      <c r="H354">
        <v>0.96807275237255697</v>
      </c>
      <c r="I354">
        <v>14.958385193476801</v>
      </c>
      <c r="J354">
        <v>30.629658937454199</v>
      </c>
      <c r="K354">
        <v>22.572452545166001</v>
      </c>
    </row>
    <row r="355" spans="1:11">
      <c r="A355" t="s">
        <v>197</v>
      </c>
      <c r="B355">
        <v>1.28</v>
      </c>
      <c r="C355">
        <v>1.25053626543209</v>
      </c>
      <c r="D355">
        <v>31.276934038378901</v>
      </c>
      <c r="E355">
        <v>0.99185168713744698</v>
      </c>
      <c r="F355">
        <v>20.889323041844499</v>
      </c>
      <c r="G355">
        <v>33.740338385230203</v>
      </c>
      <c r="H355">
        <v>0.99456599736201401</v>
      </c>
      <c r="I355">
        <v>22.648801550858799</v>
      </c>
      <c r="J355">
        <v>83.765745162963796</v>
      </c>
      <c r="K355">
        <v>32.834436178207397</v>
      </c>
    </row>
    <row r="356" spans="1:11">
      <c r="A356" t="s">
        <v>197</v>
      </c>
      <c r="B356">
        <v>0.64</v>
      </c>
      <c r="C356">
        <v>0.89098379629629598</v>
      </c>
      <c r="D356">
        <v>29.8014345039375</v>
      </c>
      <c r="E356">
        <v>0.987316261916793</v>
      </c>
      <c r="F356">
        <v>18.967527346513101</v>
      </c>
      <c r="G356">
        <v>32.295845231180799</v>
      </c>
      <c r="H356">
        <v>0.99135511347900296</v>
      </c>
      <c r="I356">
        <v>20.632407032146201</v>
      </c>
      <c r="J356">
        <v>61.313162326812702</v>
      </c>
      <c r="K356">
        <v>28.076667308807298</v>
      </c>
    </row>
    <row r="357" spans="1:11">
      <c r="A357" t="s">
        <v>197</v>
      </c>
      <c r="B357">
        <v>0.32</v>
      </c>
      <c r="C357">
        <v>0.64538194444444397</v>
      </c>
      <c r="D357">
        <v>28.771378965263899</v>
      </c>
      <c r="E357">
        <v>0.980712268355306</v>
      </c>
      <c r="F357">
        <v>17.147188450424402</v>
      </c>
      <c r="G357">
        <v>31.2534485027739</v>
      </c>
      <c r="H357">
        <v>0.98698021686169002</v>
      </c>
      <c r="I357">
        <v>18.853962494560001</v>
      </c>
      <c r="J357">
        <v>58.531087398529003</v>
      </c>
      <c r="K357">
        <v>33.953109979629502</v>
      </c>
    </row>
    <row r="358" spans="1:11">
      <c r="A358" t="s">
        <v>197</v>
      </c>
      <c r="B358">
        <v>0.16</v>
      </c>
      <c r="C358">
        <v>0.45409336419752999</v>
      </c>
      <c r="D358">
        <v>27.6818325875428</v>
      </c>
      <c r="E358">
        <v>0.97053110204559601</v>
      </c>
      <c r="F358">
        <v>15.306361051161501</v>
      </c>
      <c r="G358">
        <v>30.163026698784002</v>
      </c>
      <c r="H358">
        <v>0.97915175070156302</v>
      </c>
      <c r="I358">
        <v>16.809304084096901</v>
      </c>
      <c r="J358">
        <v>41.717312335968003</v>
      </c>
      <c r="K358">
        <v>27.517988204956001</v>
      </c>
    </row>
    <row r="359" spans="1:11">
      <c r="A359" t="s">
        <v>197</v>
      </c>
      <c r="B359">
        <v>0.08</v>
      </c>
      <c r="C359">
        <v>0.31636188271604898</v>
      </c>
      <c r="D359">
        <v>26.568403580017002</v>
      </c>
      <c r="E359">
        <v>0.95516586096564604</v>
      </c>
      <c r="F359">
        <v>13.4839116573373</v>
      </c>
      <c r="G359">
        <v>29.0548440508671</v>
      </c>
      <c r="H359">
        <v>0.96685726998252397</v>
      </c>
      <c r="I359">
        <v>14.796117209410401</v>
      </c>
      <c r="J359">
        <v>26.550773382186801</v>
      </c>
      <c r="K359">
        <v>17.0911943912506</v>
      </c>
    </row>
    <row r="360" spans="1:11">
      <c r="A360" t="s">
        <v>197</v>
      </c>
      <c r="B360">
        <v>0.04</v>
      </c>
      <c r="C360">
        <v>0.19726466049382699</v>
      </c>
      <c r="D360">
        <v>25.395937123134601</v>
      </c>
      <c r="E360">
        <v>0.93282546063577598</v>
      </c>
      <c r="F360">
        <v>11.7279530297088</v>
      </c>
      <c r="G360">
        <v>27.8856404177554</v>
      </c>
      <c r="H360">
        <v>0.94793616670051495</v>
      </c>
      <c r="I360">
        <v>12.8346385928622</v>
      </c>
      <c r="J360">
        <v>31.861572742462101</v>
      </c>
      <c r="K360">
        <v>22.748998403549098</v>
      </c>
    </row>
    <row r="361" spans="1:11">
      <c r="A361" t="s">
        <v>198</v>
      </c>
      <c r="B361">
        <v>6.4</v>
      </c>
      <c r="C361">
        <v>1.04596064814814</v>
      </c>
      <c r="D361">
        <v>47.193196567858699</v>
      </c>
      <c r="E361">
        <v>0.998382993939394</v>
      </c>
      <c r="F361">
        <v>27.9128835233678</v>
      </c>
      <c r="G361">
        <v>49.770085043893403</v>
      </c>
      <c r="H361">
        <v>0.99900394014433302</v>
      </c>
      <c r="I361">
        <v>30.017145629772799</v>
      </c>
      <c r="J361">
        <v>276.046217918396</v>
      </c>
      <c r="K361">
        <v>72.644263029098497</v>
      </c>
    </row>
    <row r="362" spans="1:11">
      <c r="A362" t="s">
        <v>198</v>
      </c>
      <c r="B362">
        <v>3.2</v>
      </c>
      <c r="C362">
        <v>0.821547067901234</v>
      </c>
      <c r="D362">
        <v>46.170950313874002</v>
      </c>
      <c r="E362">
        <v>0.99773788556599896</v>
      </c>
      <c r="F362">
        <v>26.4548542911974</v>
      </c>
      <c r="G362">
        <v>48.731033443057797</v>
      </c>
      <c r="H362">
        <v>0.99855179527816695</v>
      </c>
      <c r="I362">
        <v>28.391700408475501</v>
      </c>
      <c r="J362">
        <v>184.10484886169399</v>
      </c>
      <c r="K362">
        <v>108.919048070907</v>
      </c>
    </row>
    <row r="363" spans="1:11">
      <c r="A363" t="s">
        <v>198</v>
      </c>
      <c r="B363">
        <v>1.28</v>
      </c>
      <c r="C363">
        <v>0.52184027777777697</v>
      </c>
      <c r="D363">
        <v>44.973599571935502</v>
      </c>
      <c r="E363">
        <v>0.99619001221574199</v>
      </c>
      <c r="F363">
        <v>24.1907641677528</v>
      </c>
      <c r="G363">
        <v>47.499711005923899</v>
      </c>
      <c r="H363">
        <v>0.99734920808351901</v>
      </c>
      <c r="I363">
        <v>25.766243624484598</v>
      </c>
      <c r="J363">
        <v>58.835769176483097</v>
      </c>
      <c r="K363">
        <v>33.307473659515303</v>
      </c>
    </row>
    <row r="364" spans="1:11">
      <c r="A364" t="s">
        <v>198</v>
      </c>
      <c r="B364">
        <v>0.32</v>
      </c>
      <c r="C364">
        <v>0.241631944444444</v>
      </c>
      <c r="D364">
        <v>42.374353196729501</v>
      </c>
      <c r="E364">
        <v>0.99147030319099805</v>
      </c>
      <c r="F364">
        <v>20.690664057044099</v>
      </c>
      <c r="G364">
        <v>44.861377786627102</v>
      </c>
      <c r="H364">
        <v>0.99299734220268498</v>
      </c>
      <c r="I364">
        <v>21.547370960380299</v>
      </c>
      <c r="J364">
        <v>46.595054864883402</v>
      </c>
      <c r="K364">
        <v>34.101733207702601</v>
      </c>
    </row>
    <row r="365" spans="1:11">
      <c r="A365" t="s">
        <v>198</v>
      </c>
      <c r="B365">
        <v>0.08</v>
      </c>
      <c r="C365">
        <v>0.105466820987654</v>
      </c>
      <c r="D365">
        <v>39.647201614139703</v>
      </c>
      <c r="E365">
        <v>0.98196929590347004</v>
      </c>
      <c r="F365">
        <v>17.439873138063302</v>
      </c>
      <c r="G365">
        <v>42.094240247506001</v>
      </c>
      <c r="H365">
        <v>0.98400680563970699</v>
      </c>
      <c r="I365">
        <v>17.9606478487818</v>
      </c>
      <c r="J365">
        <v>25.850907087326</v>
      </c>
      <c r="K365">
        <v>16.796610593795702</v>
      </c>
    </row>
    <row r="366" spans="1:11">
      <c r="A366" t="s">
        <v>198</v>
      </c>
      <c r="B366">
        <v>0.04</v>
      </c>
      <c r="C366">
        <v>8.3530092592592503E-2</v>
      </c>
      <c r="D366">
        <v>37.731388079564397</v>
      </c>
      <c r="E366">
        <v>0.97432725198793002</v>
      </c>
      <c r="F366">
        <v>15.9052764194006</v>
      </c>
      <c r="G366">
        <v>40.1576443544811</v>
      </c>
      <c r="H366">
        <v>0.97627126939584796</v>
      </c>
      <c r="I366">
        <v>16.2472549424612</v>
      </c>
      <c r="J366">
        <v>29.323889732360801</v>
      </c>
      <c r="K366">
        <v>22.4770634174346</v>
      </c>
    </row>
    <row r="367" spans="1:11">
      <c r="A367" t="s">
        <v>199</v>
      </c>
      <c r="B367">
        <v>3.2</v>
      </c>
      <c r="C367">
        <v>1.43355143229166</v>
      </c>
      <c r="D367">
        <v>34.941758064364201</v>
      </c>
      <c r="E367">
        <v>0.99673266142625505</v>
      </c>
      <c r="F367">
        <v>24.8580585998732</v>
      </c>
      <c r="G367">
        <v>37.849146325175603</v>
      </c>
      <c r="H367">
        <v>0.99756942446094798</v>
      </c>
      <c r="I367">
        <v>26.142908770854099</v>
      </c>
      <c r="J367">
        <v>329.341998338699</v>
      </c>
      <c r="K367">
        <v>131.570399284362</v>
      </c>
    </row>
    <row r="368" spans="1:11">
      <c r="A368" t="s">
        <v>199</v>
      </c>
      <c r="B368">
        <v>1.28</v>
      </c>
      <c r="C368">
        <v>0.93555664062499999</v>
      </c>
      <c r="D368">
        <v>32.674925642572099</v>
      </c>
      <c r="E368">
        <v>0.99417248648696799</v>
      </c>
      <c r="F368">
        <v>22.345167107497801</v>
      </c>
      <c r="G368">
        <v>35.647763639499601</v>
      </c>
      <c r="H368">
        <v>0.99562713368765099</v>
      </c>
      <c r="I368">
        <v>23.592337997411001</v>
      </c>
      <c r="J368">
        <v>93.601702928543006</v>
      </c>
      <c r="K368">
        <v>40.240611314773503</v>
      </c>
    </row>
    <row r="369" spans="1:11">
      <c r="A369" t="s">
        <v>199</v>
      </c>
      <c r="B369">
        <v>0.32</v>
      </c>
      <c r="C369">
        <v>0.48067382812499998</v>
      </c>
      <c r="D369">
        <v>30.2363358789096</v>
      </c>
      <c r="E369">
        <v>0.98697905297992905</v>
      </c>
      <c r="F369">
        <v>18.853574281615298</v>
      </c>
      <c r="G369">
        <v>33.231766981520799</v>
      </c>
      <c r="H369">
        <v>0.98993570460108904</v>
      </c>
      <c r="I369">
        <v>19.972166246577299</v>
      </c>
      <c r="J369">
        <v>64.714850187301593</v>
      </c>
      <c r="K369">
        <v>42.128305196762</v>
      </c>
    </row>
    <row r="370" spans="1:11">
      <c r="A370" t="s">
        <v>199</v>
      </c>
      <c r="B370">
        <v>0.16</v>
      </c>
      <c r="C370">
        <v>0.33091471354166602</v>
      </c>
      <c r="D370">
        <v>29.023119973784699</v>
      </c>
      <c r="E370">
        <v>0.979808404099755</v>
      </c>
      <c r="F370">
        <v>16.948293539994399</v>
      </c>
      <c r="G370">
        <v>32.016790967728099</v>
      </c>
      <c r="H370">
        <v>0.98402188749357</v>
      </c>
      <c r="I370">
        <v>17.964745251758298</v>
      </c>
      <c r="J370">
        <v>44.437868833541799</v>
      </c>
      <c r="K370">
        <v>30.247144699096602</v>
      </c>
    </row>
    <row r="371" spans="1:11">
      <c r="A371" t="s">
        <v>199</v>
      </c>
      <c r="B371">
        <v>0.08</v>
      </c>
      <c r="C371">
        <v>0.22713216145833301</v>
      </c>
      <c r="D371">
        <v>27.702748215394301</v>
      </c>
      <c r="E371">
        <v>0.96946763284623505</v>
      </c>
      <c r="F371">
        <v>15.152395238387401</v>
      </c>
      <c r="G371">
        <v>30.6949098343736</v>
      </c>
      <c r="H371">
        <v>0.97542958576440797</v>
      </c>
      <c r="I371">
        <v>16.095875216348901</v>
      </c>
      <c r="J371">
        <v>30.3130168914794</v>
      </c>
      <c r="K371">
        <v>19.0865960121154</v>
      </c>
    </row>
    <row r="372" spans="1:11">
      <c r="A372" t="s">
        <v>199</v>
      </c>
      <c r="B372">
        <v>0.04</v>
      </c>
      <c r="C372">
        <v>0.14809570312500001</v>
      </c>
      <c r="D372">
        <v>26.343998778770398</v>
      </c>
      <c r="E372">
        <v>0.95479873125535597</v>
      </c>
      <c r="F372">
        <v>13.4484937489957</v>
      </c>
      <c r="G372">
        <v>29.301550019394501</v>
      </c>
      <c r="H372">
        <v>0.963180969538601</v>
      </c>
      <c r="I372">
        <v>14.3392765175835</v>
      </c>
      <c r="J372">
        <v>36.701982736587503</v>
      </c>
      <c r="K372">
        <v>26.651368141174299</v>
      </c>
    </row>
    <row r="373" spans="1:11">
      <c r="A373" t="s">
        <v>200</v>
      </c>
      <c r="B373">
        <v>6.4</v>
      </c>
      <c r="C373">
        <v>1.51696397569444</v>
      </c>
      <c r="D373">
        <v>43.625028004950202</v>
      </c>
      <c r="E373">
        <v>0.99807183696377999</v>
      </c>
      <c r="F373">
        <v>27.148562470219101</v>
      </c>
      <c r="G373">
        <v>46.417300020085499</v>
      </c>
      <c r="H373">
        <v>0.99897637842527998</v>
      </c>
      <c r="I373">
        <v>29.8986056912827</v>
      </c>
      <c r="J373">
        <v>727.95539283752396</v>
      </c>
      <c r="K373">
        <v>144.772221326828</v>
      </c>
    </row>
    <row r="374" spans="1:11">
      <c r="A374" t="s">
        <v>200</v>
      </c>
      <c r="B374">
        <v>3.2</v>
      </c>
      <c r="C374">
        <v>1.1040776909722201</v>
      </c>
      <c r="D374">
        <v>42.342406433650403</v>
      </c>
      <c r="E374">
        <v>0.99709492701008795</v>
      </c>
      <c r="F374">
        <v>25.368429514947898</v>
      </c>
      <c r="G374">
        <v>45.112265345070099</v>
      </c>
      <c r="H374">
        <v>0.99855202396490395</v>
      </c>
      <c r="I374">
        <v>28.392386259234001</v>
      </c>
      <c r="J374">
        <v>410.18900442123402</v>
      </c>
      <c r="K374">
        <v>192.87748050689601</v>
      </c>
    </row>
    <row r="375" spans="1:11">
      <c r="A375" t="s">
        <v>200</v>
      </c>
      <c r="B375">
        <v>0.64</v>
      </c>
      <c r="C375">
        <v>0.39935546875</v>
      </c>
      <c r="D375">
        <v>39.370761055900303</v>
      </c>
      <c r="E375">
        <v>0.99169270957182099</v>
      </c>
      <c r="F375">
        <v>20.805406060569201</v>
      </c>
      <c r="G375">
        <v>42.1401584105597</v>
      </c>
      <c r="H375">
        <v>0.99600744200884705</v>
      </c>
      <c r="I375">
        <v>23.987487670981999</v>
      </c>
      <c r="J375">
        <v>105.682661056518</v>
      </c>
      <c r="K375">
        <v>52.898691415786701</v>
      </c>
    </row>
    <row r="376" spans="1:11">
      <c r="A376" t="s">
        <v>200</v>
      </c>
      <c r="B376">
        <v>0.32</v>
      </c>
      <c r="C376">
        <v>0.244694010416666</v>
      </c>
      <c r="D376">
        <v>38.244454319689297</v>
      </c>
      <c r="E376">
        <v>0.98819047954589301</v>
      </c>
      <c r="F376">
        <v>19.277677373029601</v>
      </c>
      <c r="G376">
        <v>41.015989072585398</v>
      </c>
      <c r="H376">
        <v>0.99455790561705903</v>
      </c>
      <c r="I376">
        <v>22.642339304661</v>
      </c>
      <c r="J376">
        <v>100.97236609458901</v>
      </c>
      <c r="K376">
        <v>55.225515127182</v>
      </c>
    </row>
    <row r="377" spans="1:11">
      <c r="A377" t="s">
        <v>200</v>
      </c>
      <c r="B377">
        <v>0.16</v>
      </c>
      <c r="C377">
        <v>0.14588324652777701</v>
      </c>
      <c r="D377">
        <v>36.839159560641797</v>
      </c>
      <c r="E377">
        <v>0.98348466255848899</v>
      </c>
      <c r="F377">
        <v>17.821125483734701</v>
      </c>
      <c r="G377">
        <v>39.5696049536716</v>
      </c>
      <c r="H377">
        <v>0.99263473893631904</v>
      </c>
      <c r="I377">
        <v>21.328118548625699</v>
      </c>
      <c r="J377">
        <v>79.531960487365694</v>
      </c>
      <c r="K377">
        <v>52.340585947036701</v>
      </c>
    </row>
    <row r="378" spans="1:11">
      <c r="A378" t="s">
        <v>200</v>
      </c>
      <c r="B378">
        <v>0.04</v>
      </c>
      <c r="C378">
        <v>4.9121093749999997E-2</v>
      </c>
      <c r="D378">
        <v>34.2905568475717</v>
      </c>
      <c r="E378">
        <v>0.97235490853726603</v>
      </c>
      <c r="F378">
        <v>15.583819688761</v>
      </c>
      <c r="G378">
        <v>36.9638317980599</v>
      </c>
      <c r="H378">
        <v>0.98733957158333796</v>
      </c>
      <c r="I378">
        <v>18.975515979644701</v>
      </c>
      <c r="J378">
        <v>53.210746049880903</v>
      </c>
      <c r="K378">
        <v>40.500815629959099</v>
      </c>
    </row>
    <row r="379" spans="1:11">
      <c r="A379" t="s">
        <v>201</v>
      </c>
      <c r="B379">
        <v>3.2</v>
      </c>
      <c r="C379">
        <v>1.2808300781249999</v>
      </c>
      <c r="D379">
        <v>39.583754398667303</v>
      </c>
      <c r="E379">
        <v>0.99593241117924902</v>
      </c>
      <c r="F379">
        <v>23.9066295493921</v>
      </c>
      <c r="G379">
        <v>42.418183910408501</v>
      </c>
      <c r="H379">
        <v>0.99703049650681497</v>
      </c>
      <c r="I379">
        <v>25.27316159503</v>
      </c>
      <c r="J379">
        <v>256.427249670028</v>
      </c>
      <c r="K379">
        <v>132.008851289749</v>
      </c>
    </row>
    <row r="380" spans="1:11">
      <c r="A380" t="s">
        <v>201</v>
      </c>
      <c r="B380">
        <v>1.28</v>
      </c>
      <c r="C380">
        <v>0.715823567708333</v>
      </c>
      <c r="D380">
        <v>37.376467521723903</v>
      </c>
      <c r="E380">
        <v>0.99301944298086298</v>
      </c>
      <c r="F380">
        <v>21.5610992111821</v>
      </c>
      <c r="G380">
        <v>40.248240556443697</v>
      </c>
      <c r="H380">
        <v>0.99469721920874099</v>
      </c>
      <c r="I380">
        <v>22.754963255713001</v>
      </c>
      <c r="J380">
        <v>74.745278835296602</v>
      </c>
      <c r="K380">
        <v>35.758805274963301</v>
      </c>
    </row>
    <row r="381" spans="1:11">
      <c r="A381" t="s">
        <v>201</v>
      </c>
      <c r="B381">
        <v>0.64</v>
      </c>
      <c r="C381">
        <v>0.52108398437500003</v>
      </c>
      <c r="D381">
        <v>36.270189756518803</v>
      </c>
      <c r="E381">
        <v>0.99057061727354201</v>
      </c>
      <c r="F381">
        <v>20.2551673645332</v>
      </c>
      <c r="G381">
        <v>39.086973455598503</v>
      </c>
      <c r="H381">
        <v>0.99281324308702901</v>
      </c>
      <c r="I381">
        <v>21.434670446021101</v>
      </c>
      <c r="J381">
        <v>60.910462617874103</v>
      </c>
      <c r="K381">
        <v>37.4393727779388</v>
      </c>
    </row>
    <row r="382" spans="1:11">
      <c r="A382" t="s">
        <v>201</v>
      </c>
      <c r="B382">
        <v>0.16</v>
      </c>
      <c r="C382">
        <v>0.15923502604166601</v>
      </c>
      <c r="D382">
        <v>34.137479748902201</v>
      </c>
      <c r="E382">
        <v>0.977076527814014</v>
      </c>
      <c r="F382">
        <v>16.397195997498301</v>
      </c>
      <c r="G382">
        <v>36.928378854113397</v>
      </c>
      <c r="H382">
        <v>0.98149537457045799</v>
      </c>
      <c r="I382">
        <v>17.3271970146481</v>
      </c>
      <c r="J382">
        <v>48.195320606231597</v>
      </c>
      <c r="K382">
        <v>33.112349987030001</v>
      </c>
    </row>
    <row r="383" spans="1:11">
      <c r="A383" t="s">
        <v>201</v>
      </c>
      <c r="B383">
        <v>0.08</v>
      </c>
      <c r="C383">
        <v>8.62337239583333E-2</v>
      </c>
      <c r="D383">
        <v>33.136033474781897</v>
      </c>
      <c r="E383">
        <v>0.96928619279205896</v>
      </c>
      <c r="F383">
        <v>15.1266634614511</v>
      </c>
      <c r="G383">
        <v>35.8543409854285</v>
      </c>
      <c r="H383">
        <v>0.97524499194150505</v>
      </c>
      <c r="I383">
        <v>16.063369279566501</v>
      </c>
      <c r="J383">
        <v>29.3377556800842</v>
      </c>
      <c r="K383">
        <v>19.559997081756499</v>
      </c>
    </row>
    <row r="384" spans="1:11">
      <c r="A384" t="s">
        <v>201</v>
      </c>
      <c r="B384">
        <v>0.04</v>
      </c>
      <c r="C384">
        <v>4.6624348958333298E-2</v>
      </c>
      <c r="D384">
        <v>31.942679001693602</v>
      </c>
      <c r="E384">
        <v>0.96159599026349796</v>
      </c>
      <c r="F384">
        <v>14.1562342887404</v>
      </c>
      <c r="G384">
        <v>34.600384058129002</v>
      </c>
      <c r="H384">
        <v>0.96963264571930696</v>
      </c>
      <c r="I384">
        <v>15.175930438192401</v>
      </c>
      <c r="J384">
        <v>35.3346843719482</v>
      </c>
      <c r="K384">
        <v>27.299461364746001</v>
      </c>
    </row>
    <row r="385" spans="1:11">
      <c r="A385" t="s">
        <v>202</v>
      </c>
      <c r="B385">
        <v>6.4</v>
      </c>
      <c r="C385">
        <v>1.6202662037036999</v>
      </c>
      <c r="D385">
        <v>40.649303213325403</v>
      </c>
      <c r="E385">
        <v>0.99778850787033602</v>
      </c>
      <c r="F385">
        <v>26.553146018741501</v>
      </c>
      <c r="G385">
        <v>43.716268754121103</v>
      </c>
      <c r="H385">
        <v>0.99861916441547205</v>
      </c>
      <c r="I385">
        <v>28.598580295917099</v>
      </c>
      <c r="J385">
        <v>572.23954987525894</v>
      </c>
      <c r="K385">
        <v>87.645367383956895</v>
      </c>
    </row>
    <row r="386" spans="1:11">
      <c r="A386" t="s">
        <v>202</v>
      </c>
      <c r="B386">
        <v>3.2</v>
      </c>
      <c r="C386">
        <v>1.1304359567901201</v>
      </c>
      <c r="D386">
        <v>39.220676673003297</v>
      </c>
      <c r="E386">
        <v>0.99669501482920497</v>
      </c>
      <c r="F386">
        <v>24.808304848187198</v>
      </c>
      <c r="G386">
        <v>42.302542527670496</v>
      </c>
      <c r="H386">
        <v>0.99787771318125196</v>
      </c>
      <c r="I386">
        <v>26.731959232707201</v>
      </c>
      <c r="J386">
        <v>266.16572141647299</v>
      </c>
      <c r="K386">
        <v>110.71548891067501</v>
      </c>
    </row>
    <row r="387" spans="1:11">
      <c r="A387" t="s">
        <v>202</v>
      </c>
      <c r="B387">
        <v>0.64</v>
      </c>
      <c r="C387">
        <v>0.48227237654320898</v>
      </c>
      <c r="D387">
        <v>36.392509124447699</v>
      </c>
      <c r="E387">
        <v>0.99197364926627396</v>
      </c>
      <c r="F387">
        <v>20.954818664818902</v>
      </c>
      <c r="G387">
        <v>39.426342350009897</v>
      </c>
      <c r="H387">
        <v>0.99479262457427597</v>
      </c>
      <c r="I387">
        <v>22.833811107355899</v>
      </c>
      <c r="J387">
        <v>60.645923376083303</v>
      </c>
      <c r="K387">
        <v>32.279368638992302</v>
      </c>
    </row>
    <row r="388" spans="1:11">
      <c r="A388" t="s">
        <v>202</v>
      </c>
      <c r="B388">
        <v>0.16</v>
      </c>
      <c r="C388">
        <v>0.20340663580246901</v>
      </c>
      <c r="D388">
        <v>34.169053726316697</v>
      </c>
      <c r="E388">
        <v>0.98259287381263105</v>
      </c>
      <c r="F388">
        <v>17.592729223914201</v>
      </c>
      <c r="G388">
        <v>37.186503595936998</v>
      </c>
      <c r="H388">
        <v>0.98804009608465804</v>
      </c>
      <c r="I388">
        <v>19.222723094115398</v>
      </c>
      <c r="J388">
        <v>43.883646249771097</v>
      </c>
      <c r="K388">
        <v>29.896145105361899</v>
      </c>
    </row>
    <row r="389" spans="1:11">
      <c r="A389" t="s">
        <v>202</v>
      </c>
      <c r="B389">
        <v>0.08</v>
      </c>
      <c r="C389">
        <v>0.12484182098765401</v>
      </c>
      <c r="D389">
        <v>32.793536688230397</v>
      </c>
      <c r="E389">
        <v>0.975393060286741</v>
      </c>
      <c r="F389">
        <v>16.089423947607202</v>
      </c>
      <c r="G389">
        <v>35.682039120035498</v>
      </c>
      <c r="H389">
        <v>0.98271618235772196</v>
      </c>
      <c r="I389">
        <v>17.623603244812799</v>
      </c>
      <c r="J389">
        <v>26.399027824401799</v>
      </c>
      <c r="K389">
        <v>16.721628665924001</v>
      </c>
    </row>
    <row r="390" spans="1:11">
      <c r="A390" t="s">
        <v>202</v>
      </c>
      <c r="B390">
        <v>0.04</v>
      </c>
      <c r="C390">
        <v>7.9101080246913494E-2</v>
      </c>
      <c r="D390">
        <v>31.370700939238102</v>
      </c>
      <c r="E390">
        <v>0.966926249239216</v>
      </c>
      <c r="F390">
        <v>14.805165507064199</v>
      </c>
      <c r="G390">
        <v>34.239135229343802</v>
      </c>
      <c r="H390">
        <v>0.97600000867855097</v>
      </c>
      <c r="I390">
        <v>16.1978891533203</v>
      </c>
      <c r="J390">
        <v>31.138792753219601</v>
      </c>
      <c r="K390">
        <v>23.334723472595201</v>
      </c>
    </row>
    <row r="391" spans="1:11">
      <c r="A391" t="s">
        <v>203</v>
      </c>
      <c r="B391">
        <v>3.2</v>
      </c>
      <c r="C391">
        <v>1.4643634259259199</v>
      </c>
      <c r="D391">
        <v>38.617180311669401</v>
      </c>
      <c r="E391">
        <v>0.99668639137415005</v>
      </c>
      <c r="F391">
        <v>24.796987879116202</v>
      </c>
      <c r="G391">
        <v>41.508540541151099</v>
      </c>
      <c r="H391">
        <v>0.99766803439339202</v>
      </c>
      <c r="I391">
        <v>26.322778591319398</v>
      </c>
      <c r="J391">
        <v>313.01817131042401</v>
      </c>
      <c r="K391">
        <v>108.36929345130901</v>
      </c>
    </row>
    <row r="392" spans="1:11">
      <c r="A392" t="s">
        <v>203</v>
      </c>
      <c r="B392">
        <v>1.28</v>
      </c>
      <c r="C392">
        <v>0.96428626543209806</v>
      </c>
      <c r="D392">
        <v>36.266483055061698</v>
      </c>
      <c r="E392">
        <v>0.99389287404655802</v>
      </c>
      <c r="F392">
        <v>22.1416312301697</v>
      </c>
      <c r="G392">
        <v>39.325740980456899</v>
      </c>
      <c r="H392">
        <v>0.99551675745212997</v>
      </c>
      <c r="I392">
        <v>23.484077647363002</v>
      </c>
      <c r="J392">
        <v>81.537403106689396</v>
      </c>
      <c r="K392">
        <v>32.046545028686502</v>
      </c>
    </row>
    <row r="393" spans="1:11">
      <c r="A393" t="s">
        <v>203</v>
      </c>
      <c r="B393">
        <v>0.32</v>
      </c>
      <c r="C393">
        <v>0.51167824074073998</v>
      </c>
      <c r="D393">
        <v>33.734090487112802</v>
      </c>
      <c r="E393">
        <v>0.98609276669501</v>
      </c>
      <c r="F393">
        <v>18.567592596475698</v>
      </c>
      <c r="G393">
        <v>36.947278420860599</v>
      </c>
      <c r="H393">
        <v>0.989016016563116</v>
      </c>
      <c r="I393">
        <v>19.592401306580001</v>
      </c>
      <c r="J393">
        <v>57.831612348556497</v>
      </c>
      <c r="K393">
        <v>34.783340215682898</v>
      </c>
    </row>
    <row r="394" spans="1:11">
      <c r="A394" t="s">
        <v>203</v>
      </c>
      <c r="B394">
        <v>0.16</v>
      </c>
      <c r="C394">
        <v>0.36372299382716</v>
      </c>
      <c r="D394">
        <v>32.804773171142401</v>
      </c>
      <c r="E394">
        <v>0.97890035051120405</v>
      </c>
      <c r="F394">
        <v>16.757247592210899</v>
      </c>
      <c r="G394">
        <v>36.029330668209298</v>
      </c>
      <c r="H394">
        <v>0.98271663387097596</v>
      </c>
      <c r="I394">
        <v>17.623716699073899</v>
      </c>
      <c r="J394">
        <v>43.6685981750488</v>
      </c>
      <c r="K394">
        <v>30.234140634536701</v>
      </c>
    </row>
    <row r="395" spans="1:11">
      <c r="A395" t="s">
        <v>203</v>
      </c>
      <c r="B395">
        <v>0.08</v>
      </c>
      <c r="C395">
        <v>0.25121527777777702</v>
      </c>
      <c r="D395">
        <v>31.7264589033636</v>
      </c>
      <c r="E395">
        <v>0.96717570550687304</v>
      </c>
      <c r="F395">
        <v>14.838045996188299</v>
      </c>
      <c r="G395">
        <v>34.930780524577202</v>
      </c>
      <c r="H395">
        <v>0.97189506497622202</v>
      </c>
      <c r="I395">
        <v>15.5121741442182</v>
      </c>
      <c r="J395">
        <v>26.2814860343933</v>
      </c>
      <c r="K395">
        <v>16.7837793827056</v>
      </c>
    </row>
    <row r="396" spans="1:11">
      <c r="A396" t="s">
        <v>203</v>
      </c>
      <c r="B396">
        <v>0.04</v>
      </c>
      <c r="C396">
        <v>0.15812114197530799</v>
      </c>
      <c r="D396">
        <v>30.5391641698433</v>
      </c>
      <c r="E396">
        <v>0.949844087973712</v>
      </c>
      <c r="F396">
        <v>12.996778680460601</v>
      </c>
      <c r="G396">
        <v>33.791386479625203</v>
      </c>
      <c r="H396">
        <v>0.95565009833338499</v>
      </c>
      <c r="I396">
        <v>13.531073387565799</v>
      </c>
      <c r="J396">
        <v>31.7278087139129</v>
      </c>
      <c r="K396">
        <v>22.241198778152398</v>
      </c>
    </row>
    <row r="397" spans="1:11">
      <c r="A397" t="s">
        <v>204</v>
      </c>
      <c r="B397">
        <v>6.4</v>
      </c>
      <c r="C397">
        <v>0.97571344800625404</v>
      </c>
      <c r="D397">
        <v>42.916885839550901</v>
      </c>
      <c r="E397">
        <v>0.99861821656386496</v>
      </c>
      <c r="F397">
        <v>28.595600176431901</v>
      </c>
      <c r="G397">
        <v>45.705528373346397</v>
      </c>
      <c r="H397">
        <v>0.99916017427082804</v>
      </c>
      <c r="I397">
        <v>30.758108243088699</v>
      </c>
      <c r="J397">
        <v>608.14255714416504</v>
      </c>
      <c r="K397">
        <v>106.712057352066</v>
      </c>
    </row>
    <row r="398" spans="1:11">
      <c r="A398" t="s">
        <v>204</v>
      </c>
      <c r="B398">
        <v>3.2</v>
      </c>
      <c r="C398">
        <v>0.69064698983580897</v>
      </c>
      <c r="D398">
        <v>41.753696514766297</v>
      </c>
      <c r="E398">
        <v>0.99800571054806997</v>
      </c>
      <c r="F398">
        <v>27.002118077833099</v>
      </c>
      <c r="G398">
        <v>44.528958247581599</v>
      </c>
      <c r="H398">
        <v>0.99876151553953196</v>
      </c>
      <c r="I398">
        <v>29.071094382306001</v>
      </c>
      <c r="J398">
        <v>288.56402778625397</v>
      </c>
      <c r="K398">
        <v>130.15429091453501</v>
      </c>
    </row>
    <row r="399" spans="1:11">
      <c r="A399" t="s">
        <v>204</v>
      </c>
      <c r="B399">
        <v>1.28</v>
      </c>
      <c r="C399">
        <v>0.44193054469637699</v>
      </c>
      <c r="D399">
        <v>39.479987952247001</v>
      </c>
      <c r="E399">
        <v>0.99675272880764698</v>
      </c>
      <c r="F399">
        <v>24.884814402240401</v>
      </c>
      <c r="G399">
        <v>42.275170335901301</v>
      </c>
      <c r="H399">
        <v>0.99788871258075096</v>
      </c>
      <c r="I399">
        <v>26.754526401661199</v>
      </c>
      <c r="J399">
        <v>88.990996837615896</v>
      </c>
      <c r="K399">
        <v>35.941166400909403</v>
      </c>
    </row>
    <row r="400" spans="1:11">
      <c r="A400" t="s">
        <v>204</v>
      </c>
      <c r="B400">
        <v>0.32</v>
      </c>
      <c r="C400">
        <v>0.20796520719311901</v>
      </c>
      <c r="D400">
        <v>37.047458992451404</v>
      </c>
      <c r="E400">
        <v>0.99366317658362002</v>
      </c>
      <c r="F400">
        <v>21.981283948726102</v>
      </c>
      <c r="G400">
        <v>39.836965554233799</v>
      </c>
      <c r="H400">
        <v>0.99547186522639397</v>
      </c>
      <c r="I400">
        <v>23.440806554588601</v>
      </c>
      <c r="J400">
        <v>68.496476411819401</v>
      </c>
      <c r="K400">
        <v>42.613922595977698</v>
      </c>
    </row>
    <row r="401" spans="1:11">
      <c r="A401" t="s">
        <v>204</v>
      </c>
      <c r="B401">
        <v>0.08</v>
      </c>
      <c r="C401">
        <v>0.10628420641125801</v>
      </c>
      <c r="D401">
        <v>34.049692879741698</v>
      </c>
      <c r="E401">
        <v>0.98682071077078104</v>
      </c>
      <c r="F401">
        <v>18.8010801099784</v>
      </c>
      <c r="G401">
        <v>36.812969564968597</v>
      </c>
      <c r="H401">
        <v>0.98984913377373596</v>
      </c>
      <c r="I401">
        <v>19.934968955601601</v>
      </c>
      <c r="J401">
        <v>30.039300680160501</v>
      </c>
      <c r="K401">
        <v>19.277001857757501</v>
      </c>
    </row>
    <row r="402" spans="1:11">
      <c r="A402" t="s">
        <v>204</v>
      </c>
      <c r="B402">
        <v>0.04</v>
      </c>
      <c r="C402">
        <v>7.3283163930153702E-2</v>
      </c>
      <c r="D402">
        <v>32.440226525678803</v>
      </c>
      <c r="E402">
        <v>0.98071963618548996</v>
      </c>
      <c r="F402">
        <v>17.148847753531498</v>
      </c>
      <c r="G402">
        <v>35.208580944095303</v>
      </c>
      <c r="H402">
        <v>0.98468043956032203</v>
      </c>
      <c r="I402">
        <v>18.147536956277602</v>
      </c>
      <c r="J402">
        <v>36.501986742019596</v>
      </c>
      <c r="K402">
        <v>26.043246030807399</v>
      </c>
    </row>
    <row r="403" spans="1:11">
      <c r="A403" t="s">
        <v>205</v>
      </c>
      <c r="B403">
        <v>6.4</v>
      </c>
      <c r="C403">
        <v>1.16191731770833</v>
      </c>
      <c r="D403">
        <v>40.3028164879358</v>
      </c>
      <c r="E403">
        <v>0.99835470815162197</v>
      </c>
      <c r="F403">
        <v>27.8375705400721</v>
      </c>
      <c r="G403">
        <v>42.749686335693703</v>
      </c>
      <c r="H403">
        <v>0.99896392083241103</v>
      </c>
      <c r="I403">
        <v>29.846070585549899</v>
      </c>
      <c r="J403">
        <v>539.59557414054802</v>
      </c>
      <c r="K403">
        <v>102.698278903961</v>
      </c>
    </row>
    <row r="404" spans="1:11">
      <c r="A404" t="s">
        <v>205</v>
      </c>
      <c r="B404">
        <v>3.2</v>
      </c>
      <c r="C404">
        <v>0.84244466145833297</v>
      </c>
      <c r="D404">
        <v>38.729405836863599</v>
      </c>
      <c r="E404">
        <v>0.99762185705517603</v>
      </c>
      <c r="F404">
        <v>26.2376204446823</v>
      </c>
      <c r="G404">
        <v>41.206060839924803</v>
      </c>
      <c r="H404">
        <v>0.99842598012136197</v>
      </c>
      <c r="I404">
        <v>28.029897871434699</v>
      </c>
      <c r="J404">
        <v>258.92207765579201</v>
      </c>
      <c r="K404">
        <v>130.15332221984801</v>
      </c>
    </row>
    <row r="405" spans="1:11">
      <c r="A405" t="s">
        <v>205</v>
      </c>
      <c r="B405">
        <v>1.28</v>
      </c>
      <c r="C405">
        <v>0.54591471354166599</v>
      </c>
      <c r="D405">
        <v>36.305062099522303</v>
      </c>
      <c r="E405">
        <v>0.99601536496343301</v>
      </c>
      <c r="F405">
        <v>23.996114506452301</v>
      </c>
      <c r="G405">
        <v>38.861182135843499</v>
      </c>
      <c r="H405">
        <v>0.99718569081861497</v>
      </c>
      <c r="I405">
        <v>25.506281924758401</v>
      </c>
      <c r="J405">
        <v>77.787521839141803</v>
      </c>
      <c r="K405">
        <v>36.910716772079397</v>
      </c>
    </row>
    <row r="406" spans="1:11">
      <c r="A406" t="s">
        <v>205</v>
      </c>
      <c r="B406">
        <v>0.32</v>
      </c>
      <c r="C406">
        <v>0.285029296875</v>
      </c>
      <c r="D406">
        <v>33.867130020132699</v>
      </c>
      <c r="E406">
        <v>0.99193102430998803</v>
      </c>
      <c r="F406">
        <v>20.931815929619798</v>
      </c>
      <c r="G406">
        <v>36.533337510896601</v>
      </c>
      <c r="H406">
        <v>0.993693345035771</v>
      </c>
      <c r="I406">
        <v>22.0020092851687</v>
      </c>
      <c r="J406">
        <v>64.282031774520803</v>
      </c>
      <c r="K406">
        <v>41.843055248260498</v>
      </c>
    </row>
    <row r="407" spans="1:11">
      <c r="A407" t="s">
        <v>205</v>
      </c>
      <c r="B407">
        <v>0.08</v>
      </c>
      <c r="C407">
        <v>0.13939778645833301</v>
      </c>
      <c r="D407">
        <v>31.777215672972801</v>
      </c>
      <c r="E407">
        <v>0.981720490431645</v>
      </c>
      <c r="F407">
        <v>17.380354603863399</v>
      </c>
      <c r="G407">
        <v>34.401997063493397</v>
      </c>
      <c r="H407">
        <v>0.98437199353559302</v>
      </c>
      <c r="I407">
        <v>18.0609641780459</v>
      </c>
      <c r="J407">
        <v>30.889122009277301</v>
      </c>
      <c r="K407">
        <v>19.4950704574584</v>
      </c>
    </row>
    <row r="408" spans="1:11">
      <c r="A408" t="s">
        <v>205</v>
      </c>
      <c r="B408">
        <v>0.04</v>
      </c>
      <c r="C408">
        <v>9.0029296874999998E-2</v>
      </c>
      <c r="D408">
        <v>30.4591982206171</v>
      </c>
      <c r="E408">
        <v>0.97251508236958395</v>
      </c>
      <c r="F408">
        <v>15.609055602339801</v>
      </c>
      <c r="G408">
        <v>33.016732129625098</v>
      </c>
      <c r="H408">
        <v>0.97552070529313095</v>
      </c>
      <c r="I408">
        <v>16.112010991624</v>
      </c>
      <c r="J408">
        <v>36.525248289108198</v>
      </c>
      <c r="K408">
        <v>26.1270298957824</v>
      </c>
    </row>
    <row r="409" spans="1:11">
      <c r="A409" t="s">
        <v>206</v>
      </c>
      <c r="B409">
        <v>6.4</v>
      </c>
      <c r="C409">
        <v>0.64691731770833305</v>
      </c>
      <c r="D409">
        <v>47.630679019291698</v>
      </c>
      <c r="E409">
        <v>0.99863421490526205</v>
      </c>
      <c r="F409">
        <v>28.6461763119034</v>
      </c>
      <c r="G409">
        <v>50.381199903945898</v>
      </c>
      <c r="H409">
        <v>0.99920237130766298</v>
      </c>
      <c r="I409">
        <v>30.981992319541401</v>
      </c>
      <c r="J409">
        <v>485.968609571456</v>
      </c>
      <c r="K409">
        <v>104.801488399505</v>
      </c>
    </row>
    <row r="410" spans="1:11">
      <c r="A410" t="s">
        <v>206</v>
      </c>
      <c r="B410">
        <v>3.2</v>
      </c>
      <c r="C410">
        <v>0.412965494791666</v>
      </c>
      <c r="D410">
        <v>46.767263183000203</v>
      </c>
      <c r="E410">
        <v>0.99814059945130096</v>
      </c>
      <c r="F410">
        <v>27.306270452192798</v>
      </c>
      <c r="G410">
        <v>49.539413252983799</v>
      </c>
      <c r="H410">
        <v>0.99888684588227095</v>
      </c>
      <c r="I410">
        <v>29.5344470283008</v>
      </c>
      <c r="J410">
        <v>264.36925554275501</v>
      </c>
      <c r="K410">
        <v>130.66307044029199</v>
      </c>
    </row>
    <row r="411" spans="1:11">
      <c r="A411" t="s">
        <v>206</v>
      </c>
      <c r="B411">
        <v>1.28</v>
      </c>
      <c r="C411">
        <v>0.24241210937499999</v>
      </c>
      <c r="D411">
        <v>45.653037893317098</v>
      </c>
      <c r="E411">
        <v>0.99734081798690599</v>
      </c>
      <c r="F411">
        <v>25.752519354865001</v>
      </c>
      <c r="G411">
        <v>48.416574144871703</v>
      </c>
      <c r="H411">
        <v>0.99837128295199196</v>
      </c>
      <c r="I411">
        <v>27.881543577800699</v>
      </c>
      <c r="J411">
        <v>83.881452560424805</v>
      </c>
      <c r="K411">
        <v>36.986956596374498</v>
      </c>
    </row>
    <row r="412" spans="1:11">
      <c r="A412" t="s">
        <v>206</v>
      </c>
      <c r="B412">
        <v>0.64</v>
      </c>
      <c r="C412">
        <v>0.165042317708333</v>
      </c>
      <c r="D412">
        <v>44.630333270128602</v>
      </c>
      <c r="E412">
        <v>0.99648943476732399</v>
      </c>
      <c r="F412">
        <v>24.546229525743701</v>
      </c>
      <c r="G412">
        <v>47.420930336137502</v>
      </c>
      <c r="H412">
        <v>0.99775242816912901</v>
      </c>
      <c r="I412">
        <v>26.482864196160399</v>
      </c>
      <c r="J412">
        <v>66.806318521499605</v>
      </c>
      <c r="K412">
        <v>35.541986465454102</v>
      </c>
    </row>
    <row r="413" spans="1:11">
      <c r="A413" t="s">
        <v>206</v>
      </c>
      <c r="B413">
        <v>0.32</v>
      </c>
      <c r="C413">
        <v>0.113707682291666</v>
      </c>
      <c r="D413">
        <v>43.4778903057002</v>
      </c>
      <c r="E413">
        <v>0.99529916770813698</v>
      </c>
      <c r="F413">
        <v>23.278252425403299</v>
      </c>
      <c r="G413">
        <v>46.218811163753699</v>
      </c>
      <c r="H413">
        <v>0.99678782495173002</v>
      </c>
      <c r="I413">
        <v>24.932007957638799</v>
      </c>
      <c r="J413">
        <v>57.773808479308997</v>
      </c>
      <c r="K413">
        <v>41.397018194198601</v>
      </c>
    </row>
    <row r="414" spans="1:11">
      <c r="A414" t="s">
        <v>206</v>
      </c>
      <c r="B414">
        <v>0.08</v>
      </c>
      <c r="C414">
        <v>5.5166015625000002E-2</v>
      </c>
      <c r="D414">
        <v>39.559405390417098</v>
      </c>
      <c r="E414">
        <v>0.99096048951500204</v>
      </c>
      <c r="F414">
        <v>20.438550871596298</v>
      </c>
      <c r="G414">
        <v>42.586937620656798</v>
      </c>
      <c r="H414">
        <v>0.99330359768887999</v>
      </c>
      <c r="I414">
        <v>21.741584623847899</v>
      </c>
      <c r="J414">
        <v>29.839496374130199</v>
      </c>
      <c r="K414">
        <v>20.162671089172299</v>
      </c>
    </row>
    <row r="415" spans="1:11">
      <c r="A415" t="s">
        <v>207</v>
      </c>
      <c r="B415">
        <v>6.4</v>
      </c>
      <c r="C415">
        <v>1.46650716145833</v>
      </c>
      <c r="D415">
        <v>39.717204093968199</v>
      </c>
      <c r="E415">
        <v>0.99779354639533602</v>
      </c>
      <c r="F415">
        <v>26.563052000773801</v>
      </c>
      <c r="G415">
        <v>42.592028852123001</v>
      </c>
      <c r="H415">
        <v>0.99844064406307198</v>
      </c>
      <c r="I415">
        <v>28.070547418990301</v>
      </c>
      <c r="J415">
        <v>545.18318748474098</v>
      </c>
      <c r="K415">
        <v>104.22857475280701</v>
      </c>
    </row>
    <row r="416" spans="1:11">
      <c r="A416" t="s">
        <v>207</v>
      </c>
      <c r="B416">
        <v>3.2</v>
      </c>
      <c r="C416">
        <v>1.03126627604166</v>
      </c>
      <c r="D416">
        <v>38.082414367992101</v>
      </c>
      <c r="E416">
        <v>0.99674667325123401</v>
      </c>
      <c r="F416">
        <v>24.8767231604205</v>
      </c>
      <c r="G416">
        <v>41.026272208840403</v>
      </c>
      <c r="H416">
        <v>0.99767736783588001</v>
      </c>
      <c r="I416">
        <v>26.340195640879099</v>
      </c>
      <c r="J416">
        <v>286.07731580734202</v>
      </c>
      <c r="K416">
        <v>131.10465860366801</v>
      </c>
    </row>
    <row r="417" spans="1:11">
      <c r="A417" t="s">
        <v>207</v>
      </c>
      <c r="B417">
        <v>0.64</v>
      </c>
      <c r="C417">
        <v>0.40909179687500002</v>
      </c>
      <c r="D417">
        <v>34.685780841101902</v>
      </c>
      <c r="E417">
        <v>0.99194224926747598</v>
      </c>
      <c r="F417">
        <v>20.937861716912298</v>
      </c>
      <c r="G417">
        <v>37.815116887020203</v>
      </c>
      <c r="H417">
        <v>0.99386736924569596</v>
      </c>
      <c r="I417">
        <v>22.123531833960001</v>
      </c>
      <c r="J417">
        <v>67.429646968841496</v>
      </c>
      <c r="K417">
        <v>36.945698499679501</v>
      </c>
    </row>
    <row r="418" spans="1:11">
      <c r="A418" t="s">
        <v>207</v>
      </c>
      <c r="B418">
        <v>0.32</v>
      </c>
      <c r="C418">
        <v>0.26969726562500002</v>
      </c>
      <c r="D418">
        <v>33.613076357933103</v>
      </c>
      <c r="E418">
        <v>0.98856066686053801</v>
      </c>
      <c r="F418">
        <v>19.4159929217703</v>
      </c>
      <c r="G418">
        <v>36.793126199923002</v>
      </c>
      <c r="H418">
        <v>0.99106220845830095</v>
      </c>
      <c r="I418">
        <v>20.487697787140998</v>
      </c>
      <c r="J418">
        <v>61.938971757888702</v>
      </c>
      <c r="K418">
        <v>41.096142768859799</v>
      </c>
    </row>
    <row r="419" spans="1:11">
      <c r="A419" t="s">
        <v>207</v>
      </c>
      <c r="B419">
        <v>0.08</v>
      </c>
      <c r="C419">
        <v>0.117770182291666</v>
      </c>
      <c r="D419">
        <v>31.448852343365701</v>
      </c>
      <c r="E419">
        <v>0.978106976900872</v>
      </c>
      <c r="F419">
        <v>16.596942647172099</v>
      </c>
      <c r="G419">
        <v>34.563595568010598</v>
      </c>
      <c r="H419">
        <v>0.98208217751796001</v>
      </c>
      <c r="I419">
        <v>17.467147704270101</v>
      </c>
      <c r="J419">
        <v>29.9614706039428</v>
      </c>
      <c r="K419">
        <v>19.567535638809201</v>
      </c>
    </row>
    <row r="420" spans="1:11">
      <c r="A420" t="s">
        <v>207</v>
      </c>
      <c r="B420">
        <v>0.04</v>
      </c>
      <c r="C420">
        <v>7.6442057291666601E-2</v>
      </c>
      <c r="D420">
        <v>29.934128429031801</v>
      </c>
      <c r="E420">
        <v>0.96964180759629703</v>
      </c>
      <c r="F420">
        <v>15.1772409089475</v>
      </c>
      <c r="G420">
        <v>32.869720900525103</v>
      </c>
      <c r="H420">
        <v>0.97427647755677604</v>
      </c>
      <c r="I420">
        <v>15.8966956168442</v>
      </c>
      <c r="J420">
        <v>36.520198822021399</v>
      </c>
      <c r="K420">
        <v>25.846474647521902</v>
      </c>
    </row>
    <row r="421" spans="1:11">
      <c r="A421" t="s">
        <v>208</v>
      </c>
      <c r="B421">
        <v>6.4</v>
      </c>
      <c r="C421">
        <v>1.2784537760416601</v>
      </c>
      <c r="D421">
        <v>38.073572214326298</v>
      </c>
      <c r="E421">
        <v>0.99849542552964199</v>
      </c>
      <c r="F421">
        <v>28.225863115697901</v>
      </c>
      <c r="G421">
        <v>40.747508349103498</v>
      </c>
      <c r="H421">
        <v>0.99907896049176204</v>
      </c>
      <c r="I421">
        <v>30.3572174022509</v>
      </c>
      <c r="J421">
        <v>678.81413578987099</v>
      </c>
      <c r="K421">
        <v>102.841346025466</v>
      </c>
    </row>
    <row r="422" spans="1:11">
      <c r="A422" t="s">
        <v>208</v>
      </c>
      <c r="B422">
        <v>3.2</v>
      </c>
      <c r="C422">
        <v>0.92097330729166604</v>
      </c>
      <c r="D422">
        <v>36.5603646912447</v>
      </c>
      <c r="E422">
        <v>0.99779164177490198</v>
      </c>
      <c r="F422">
        <v>26.559304768828301</v>
      </c>
      <c r="G422">
        <v>39.193942970606301</v>
      </c>
      <c r="H422">
        <v>0.99858792196196899</v>
      </c>
      <c r="I422">
        <v>28.5014130147852</v>
      </c>
      <c r="J422">
        <v>333.82972526550202</v>
      </c>
      <c r="K422">
        <v>133.08563494682301</v>
      </c>
    </row>
    <row r="423" spans="1:11">
      <c r="A423" t="s">
        <v>208</v>
      </c>
      <c r="B423">
        <v>0.64</v>
      </c>
      <c r="C423">
        <v>0.41134440104166597</v>
      </c>
      <c r="D423">
        <v>32.579276593561701</v>
      </c>
      <c r="E423">
        <v>0.99421144226298097</v>
      </c>
      <c r="F423">
        <v>22.374296305523099</v>
      </c>
      <c r="G423">
        <v>35.195704048593598</v>
      </c>
      <c r="H423">
        <v>0.99597345552449701</v>
      </c>
      <c r="I423">
        <v>23.950674995123698</v>
      </c>
      <c r="J423">
        <v>72.296518325805593</v>
      </c>
      <c r="K423">
        <v>35.971173524856503</v>
      </c>
    </row>
    <row r="424" spans="1:11">
      <c r="A424" t="s">
        <v>208</v>
      </c>
      <c r="B424">
        <v>0.32</v>
      </c>
      <c r="C424">
        <v>0.28493164062499998</v>
      </c>
      <c r="D424">
        <v>31.334859664340701</v>
      </c>
      <c r="E424">
        <v>0.99156170239696395</v>
      </c>
      <c r="F424">
        <v>20.7374516192674</v>
      </c>
      <c r="G424">
        <v>33.959237525740399</v>
      </c>
      <c r="H424">
        <v>0.993909566362709</v>
      </c>
      <c r="I424">
        <v>22.153517846121201</v>
      </c>
      <c r="J424">
        <v>61.579893827438298</v>
      </c>
      <c r="K424">
        <v>39.683324098587001</v>
      </c>
    </row>
    <row r="425" spans="1:11">
      <c r="A425" t="s">
        <v>208</v>
      </c>
      <c r="B425">
        <v>0.08</v>
      </c>
      <c r="C425">
        <v>0.13560872395833301</v>
      </c>
      <c r="D425">
        <v>28.746380418730901</v>
      </c>
      <c r="E425">
        <v>0.98157893813173003</v>
      </c>
      <c r="F425">
        <v>17.346853388385099</v>
      </c>
      <c r="G425">
        <v>31.3726646971175</v>
      </c>
      <c r="H425">
        <v>0.98591062064754098</v>
      </c>
      <c r="I425">
        <v>18.511081374611798</v>
      </c>
      <c r="J425">
        <v>29.833946943282999</v>
      </c>
      <c r="K425">
        <v>19.834871768951398</v>
      </c>
    </row>
    <row r="426" spans="1:11">
      <c r="A426" t="s">
        <v>208</v>
      </c>
      <c r="B426">
        <v>0.04</v>
      </c>
      <c r="C426">
        <v>8.9567057291666599E-2</v>
      </c>
      <c r="D426">
        <v>27.362653278530299</v>
      </c>
      <c r="E426">
        <v>0.97290440405003897</v>
      </c>
      <c r="F426">
        <v>15.6710129252267</v>
      </c>
      <c r="G426">
        <v>29.984705913671899</v>
      </c>
      <c r="H426">
        <v>0.97863902979032702</v>
      </c>
      <c r="I426">
        <v>16.703790256538799</v>
      </c>
      <c r="J426">
        <v>36.767737388610797</v>
      </c>
      <c r="K426">
        <v>26.265065670013399</v>
      </c>
    </row>
    <row r="427" spans="1:11">
      <c r="A427" t="s">
        <v>209</v>
      </c>
      <c r="B427">
        <v>6.4</v>
      </c>
      <c r="C427">
        <v>0.59491210937500005</v>
      </c>
      <c r="D427">
        <v>45.434835564364001</v>
      </c>
      <c r="E427">
        <v>0.99896602083612795</v>
      </c>
      <c r="F427">
        <v>29.854882127960899</v>
      </c>
      <c r="G427">
        <v>47.928226481413802</v>
      </c>
      <c r="H427">
        <v>0.99942654737245495</v>
      </c>
      <c r="I427">
        <v>32.415024529946898</v>
      </c>
      <c r="J427">
        <v>641.75355625152497</v>
      </c>
      <c r="K427">
        <v>102.44486880302399</v>
      </c>
    </row>
    <row r="428" spans="1:11">
      <c r="A428" t="s">
        <v>209</v>
      </c>
      <c r="B428">
        <v>3.2</v>
      </c>
      <c r="C428">
        <v>0.376097005208333</v>
      </c>
      <c r="D428">
        <v>43.935420798086803</v>
      </c>
      <c r="E428">
        <v>0.99848117064714104</v>
      </c>
      <c r="F428">
        <v>28.184910182866801</v>
      </c>
      <c r="G428">
        <v>46.365926605371698</v>
      </c>
      <c r="H428">
        <v>0.99916764979338402</v>
      </c>
      <c r="I428">
        <v>30.796939083244499</v>
      </c>
      <c r="J428">
        <v>288.43331432342501</v>
      </c>
      <c r="K428">
        <v>131.57539725303599</v>
      </c>
    </row>
    <row r="429" spans="1:11">
      <c r="A429" t="s">
        <v>209</v>
      </c>
      <c r="B429">
        <v>1.28</v>
      </c>
      <c r="C429">
        <v>0.21713867187499999</v>
      </c>
      <c r="D429">
        <v>42.245723176594602</v>
      </c>
      <c r="E429">
        <v>0.99781677556550097</v>
      </c>
      <c r="F429">
        <v>26.609016167168299</v>
      </c>
      <c r="G429">
        <v>44.624581349095301</v>
      </c>
      <c r="H429">
        <v>0.99878571078753098</v>
      </c>
      <c r="I429">
        <v>29.156778631616898</v>
      </c>
      <c r="J429">
        <v>74.832723379135103</v>
      </c>
      <c r="K429">
        <v>37.121877193450899</v>
      </c>
    </row>
    <row r="430" spans="1:11">
      <c r="A430" t="s">
        <v>209</v>
      </c>
      <c r="B430">
        <v>0.64</v>
      </c>
      <c r="C430">
        <v>0.145354817708333</v>
      </c>
      <c r="D430">
        <v>40.863352470852597</v>
      </c>
      <c r="E430">
        <v>0.99720051737892701</v>
      </c>
      <c r="F430">
        <v>25.529222242203002</v>
      </c>
      <c r="G430">
        <v>43.255711394028197</v>
      </c>
      <c r="H430">
        <v>0.99842077266824403</v>
      </c>
      <c r="I430">
        <v>28.0155534825616</v>
      </c>
      <c r="J430">
        <v>67.704109191894503</v>
      </c>
      <c r="K430">
        <v>35.568021059036198</v>
      </c>
    </row>
    <row r="431" spans="1:11">
      <c r="A431" t="s">
        <v>209</v>
      </c>
      <c r="B431">
        <v>0.32</v>
      </c>
      <c r="C431">
        <v>0.105745442708333</v>
      </c>
      <c r="D431">
        <v>39.522674547780397</v>
      </c>
      <c r="E431">
        <v>0.99632380655733299</v>
      </c>
      <c r="F431">
        <v>24.346016439474798</v>
      </c>
      <c r="G431">
        <v>41.869328725174299</v>
      </c>
      <c r="H431">
        <v>0.99785837192526605</v>
      </c>
      <c r="I431">
        <v>26.692559485907701</v>
      </c>
      <c r="J431">
        <v>62.692843198776202</v>
      </c>
      <c r="K431">
        <v>36.800858974456702</v>
      </c>
    </row>
    <row r="432" spans="1:11">
      <c r="A432" t="s">
        <v>209</v>
      </c>
      <c r="B432">
        <v>0.08</v>
      </c>
      <c r="C432">
        <v>5.9222005208333303E-2</v>
      </c>
      <c r="D432">
        <v>35.986337574165503</v>
      </c>
      <c r="E432">
        <v>0.99274414503837805</v>
      </c>
      <c r="F432">
        <v>21.393114070390599</v>
      </c>
      <c r="G432">
        <v>38.295672307390703</v>
      </c>
      <c r="H432">
        <v>0.99536279406709205</v>
      </c>
      <c r="I432">
        <v>23.337436171644899</v>
      </c>
      <c r="J432">
        <v>29.345772743225002</v>
      </c>
      <c r="K432">
        <v>19.546479463577199</v>
      </c>
    </row>
    <row r="433" spans="1:11">
      <c r="A433" t="s">
        <v>210</v>
      </c>
      <c r="B433">
        <v>3.2</v>
      </c>
      <c r="C433">
        <v>1.63201904296875</v>
      </c>
      <c r="D433">
        <v>33.856472149841203</v>
      </c>
      <c r="E433">
        <v>0.99720404752879399</v>
      </c>
      <c r="F433">
        <v>25.534702154974301</v>
      </c>
      <c r="G433">
        <v>37.629254084786197</v>
      </c>
      <c r="H433">
        <v>0.99779550925261395</v>
      </c>
      <c r="I433">
        <v>26.566917196401</v>
      </c>
      <c r="J433">
        <v>41.329833984375</v>
      </c>
      <c r="K433">
        <v>16.074938535690301</v>
      </c>
    </row>
    <row r="434" spans="1:11">
      <c r="A434" t="s">
        <v>210</v>
      </c>
      <c r="B434">
        <v>1.28</v>
      </c>
      <c r="C434">
        <v>1.10943603515625</v>
      </c>
      <c r="D434">
        <v>30.550943967281299</v>
      </c>
      <c r="E434">
        <v>0.99426615720796696</v>
      </c>
      <c r="F434">
        <v>22.415542185204799</v>
      </c>
      <c r="G434">
        <v>34.792232710591399</v>
      </c>
      <c r="H434">
        <v>0.99519683887693999</v>
      </c>
      <c r="I434">
        <v>23.184728446161099</v>
      </c>
      <c r="J434">
        <v>12.033640146255401</v>
      </c>
      <c r="K434">
        <v>6.1525025367736799</v>
      </c>
    </row>
    <row r="435" spans="1:11">
      <c r="A435" t="s">
        <v>210</v>
      </c>
      <c r="B435">
        <v>0.32</v>
      </c>
      <c r="C435">
        <v>0.56626383463541596</v>
      </c>
      <c r="D435">
        <v>27.646162887316802</v>
      </c>
      <c r="E435">
        <v>0.98566501965971998</v>
      </c>
      <c r="F435">
        <v>18.436028983305899</v>
      </c>
      <c r="G435">
        <v>32.086703181810996</v>
      </c>
      <c r="H435">
        <v>0.98744822331690296</v>
      </c>
      <c r="I435">
        <v>19.012947961707699</v>
      </c>
      <c r="J435">
        <v>10.711818695068301</v>
      </c>
      <c r="K435">
        <v>7.0973145961761404</v>
      </c>
    </row>
    <row r="436" spans="1:11">
      <c r="A436" t="s">
        <v>210</v>
      </c>
      <c r="B436">
        <v>0.16</v>
      </c>
      <c r="C436">
        <v>0.41269938151041602</v>
      </c>
      <c r="D436">
        <v>26.524696628814901</v>
      </c>
      <c r="E436">
        <v>0.97833273160860301</v>
      </c>
      <c r="F436">
        <v>16.641958370567401</v>
      </c>
      <c r="G436">
        <v>30.925311508987701</v>
      </c>
      <c r="H436">
        <v>0.98078091591707295</v>
      </c>
      <c r="I436">
        <v>17.162673131923999</v>
      </c>
      <c r="J436">
        <v>8.3477962017059308</v>
      </c>
      <c r="K436">
        <v>5.5043077468871999</v>
      </c>
    </row>
    <row r="437" spans="1:11">
      <c r="A437" t="s">
        <v>210</v>
      </c>
      <c r="B437">
        <v>0.08</v>
      </c>
      <c r="C437">
        <v>0.28965250651041602</v>
      </c>
      <c r="D437">
        <v>25.663719217601599</v>
      </c>
      <c r="E437">
        <v>0.96549225903809799</v>
      </c>
      <c r="F437">
        <v>14.6208347072569</v>
      </c>
      <c r="G437">
        <v>29.816188047519098</v>
      </c>
      <c r="H437">
        <v>0.96897982597010601</v>
      </c>
      <c r="I437">
        <v>15.0835577002949</v>
      </c>
      <c r="J437">
        <v>5.5841305255889804</v>
      </c>
      <c r="K437">
        <v>3.3966481685638401</v>
      </c>
    </row>
    <row r="438" spans="1:11">
      <c r="A438" t="s">
        <v>210</v>
      </c>
      <c r="B438">
        <v>0.04</v>
      </c>
      <c r="C438">
        <v>0.17987060546875</v>
      </c>
      <c r="D438">
        <v>24.678149764247099</v>
      </c>
      <c r="E438">
        <v>0.94368270127312104</v>
      </c>
      <c r="F438">
        <v>12.493581844083</v>
      </c>
      <c r="G438">
        <v>28.7627497723199</v>
      </c>
      <c r="H438">
        <v>0.94839618409938897</v>
      </c>
      <c r="I438">
        <v>12.8731818280487</v>
      </c>
      <c r="J438">
        <v>6.1531443595886204</v>
      </c>
      <c r="K438">
        <v>4.3430905342101997</v>
      </c>
    </row>
    <row r="439" spans="1:11">
      <c r="A439" t="s">
        <v>211</v>
      </c>
      <c r="B439">
        <v>6.4</v>
      </c>
      <c r="C439">
        <v>1.6168416341145799</v>
      </c>
      <c r="D439">
        <v>40.165915679517802</v>
      </c>
      <c r="E439">
        <v>0.99793587889815905</v>
      </c>
      <c r="F439">
        <v>26.852648262705198</v>
      </c>
      <c r="G439">
        <v>43.209026370177298</v>
      </c>
      <c r="H439">
        <v>0.99858997314439302</v>
      </c>
      <c r="I439">
        <v>28.507726156208498</v>
      </c>
      <c r="J439">
        <v>62.991152048110898</v>
      </c>
      <c r="K439">
        <v>15.608767747879</v>
      </c>
    </row>
    <row r="440" spans="1:11">
      <c r="A440" t="s">
        <v>211</v>
      </c>
      <c r="B440">
        <v>3.2</v>
      </c>
      <c r="C440">
        <v>1.0952351888020799</v>
      </c>
      <c r="D440">
        <v>38.178956127338402</v>
      </c>
      <c r="E440">
        <v>0.99684798095129801</v>
      </c>
      <c r="F440">
        <v>25.0141116658831</v>
      </c>
      <c r="G440">
        <v>41.375391408833899</v>
      </c>
      <c r="H440">
        <v>0.99778397979703204</v>
      </c>
      <c r="I440">
        <v>26.5442628455862</v>
      </c>
      <c r="J440">
        <v>70.500784397125202</v>
      </c>
      <c r="K440">
        <v>20.3704078197479</v>
      </c>
    </row>
    <row r="441" spans="1:11">
      <c r="A441" t="s">
        <v>211</v>
      </c>
      <c r="B441">
        <v>0.64</v>
      </c>
      <c r="C441">
        <v>0.49074300130208298</v>
      </c>
      <c r="D441">
        <v>34.289733763521902</v>
      </c>
      <c r="E441">
        <v>0.99253380191574303</v>
      </c>
      <c r="F441">
        <v>21.269004920740201</v>
      </c>
      <c r="G441">
        <v>37.722521147791802</v>
      </c>
      <c r="H441">
        <v>0.99443076428391897</v>
      </c>
      <c r="I441">
        <v>22.542044003493</v>
      </c>
      <c r="J441">
        <v>10.152579545974699</v>
      </c>
      <c r="K441">
        <v>5.3340928554534903</v>
      </c>
    </row>
    <row r="442" spans="1:11">
      <c r="A442" t="s">
        <v>211</v>
      </c>
      <c r="B442">
        <v>0.16</v>
      </c>
      <c r="C442">
        <v>0.22092692057291599</v>
      </c>
      <c r="D442">
        <v>32.225510709238598</v>
      </c>
      <c r="E442">
        <v>0.98449226523745403</v>
      </c>
      <c r="F442">
        <v>18.094516355825501</v>
      </c>
      <c r="G442">
        <v>35.603769420427298</v>
      </c>
      <c r="H442">
        <v>0.98744902998599504</v>
      </c>
      <c r="I442">
        <v>19.013227080116302</v>
      </c>
      <c r="J442">
        <v>7.3704710006713796</v>
      </c>
      <c r="K442">
        <v>4.4883866310119602</v>
      </c>
    </row>
    <row r="443" spans="1:11">
      <c r="A443" t="s">
        <v>211</v>
      </c>
      <c r="B443">
        <v>0.08</v>
      </c>
      <c r="C443">
        <v>0.14931233723958301</v>
      </c>
      <c r="D443">
        <v>30.9302094440975</v>
      </c>
      <c r="E443">
        <v>0.97804573812176698</v>
      </c>
      <c r="F443">
        <v>16.584811596800201</v>
      </c>
      <c r="G443">
        <v>34.272374971730798</v>
      </c>
      <c r="H443">
        <v>0.98200632550672096</v>
      </c>
      <c r="I443">
        <v>17.448801402007</v>
      </c>
      <c r="J443">
        <v>5.4174811840057302</v>
      </c>
      <c r="K443">
        <v>3.5928978919982901</v>
      </c>
    </row>
    <row r="444" spans="1:11">
      <c r="A444" t="s">
        <v>211</v>
      </c>
      <c r="B444">
        <v>0.04</v>
      </c>
      <c r="C444">
        <v>9.967041015625E-2</v>
      </c>
      <c r="D444">
        <v>29.377978184745899</v>
      </c>
      <c r="E444">
        <v>0.96823319709462896</v>
      </c>
      <c r="F444">
        <v>14.9802649151291</v>
      </c>
      <c r="G444">
        <v>32.664418167045902</v>
      </c>
      <c r="H444">
        <v>0.97313927502660902</v>
      </c>
      <c r="I444">
        <v>15.708822698618601</v>
      </c>
      <c r="J444">
        <v>6.3087570667266801</v>
      </c>
      <c r="K444">
        <v>4.2615172863006503</v>
      </c>
    </row>
    <row r="445" spans="1:11">
      <c r="A445" t="s">
        <v>212</v>
      </c>
      <c r="B445">
        <v>3.2</v>
      </c>
      <c r="C445">
        <v>1.3993123372395799</v>
      </c>
      <c r="D445">
        <v>35.730472437908702</v>
      </c>
      <c r="E445">
        <v>0.99704321531683304</v>
      </c>
      <c r="F445">
        <v>25.291803002006802</v>
      </c>
      <c r="G445">
        <v>39.1675506286931</v>
      </c>
      <c r="H445">
        <v>0.99779968317496504</v>
      </c>
      <c r="I445">
        <v>26.575147803335302</v>
      </c>
      <c r="J445">
        <v>56.2178890705108</v>
      </c>
      <c r="K445">
        <v>17.525309801101599</v>
      </c>
    </row>
    <row r="446" spans="1:11">
      <c r="A446" t="s">
        <v>212</v>
      </c>
      <c r="B446">
        <v>1.28</v>
      </c>
      <c r="C446">
        <v>0.93027750651041596</v>
      </c>
      <c r="D446">
        <v>32.629265424632898</v>
      </c>
      <c r="E446">
        <v>0.99424325405852199</v>
      </c>
      <c r="F446">
        <v>22.398229365426001</v>
      </c>
      <c r="G446">
        <v>36.417812118994703</v>
      </c>
      <c r="H446">
        <v>0.995519706876417</v>
      </c>
      <c r="I446">
        <v>23.486935713166002</v>
      </c>
      <c r="J446">
        <v>11.985189676284699</v>
      </c>
      <c r="K446">
        <v>3.95949959754943</v>
      </c>
    </row>
    <row r="447" spans="1:11">
      <c r="A447" t="s">
        <v>212</v>
      </c>
      <c r="B447">
        <v>0.32</v>
      </c>
      <c r="C447">
        <v>0.47231038411458298</v>
      </c>
      <c r="D447">
        <v>29.8451322988562</v>
      </c>
      <c r="E447">
        <v>0.98658823851670596</v>
      </c>
      <c r="F447">
        <v>18.725141787304398</v>
      </c>
      <c r="G447">
        <v>33.703809708493999</v>
      </c>
      <c r="H447">
        <v>0.98913698295591701</v>
      </c>
      <c r="I447">
        <v>19.640495390543901</v>
      </c>
      <c r="J447">
        <v>7.7401664257049498</v>
      </c>
      <c r="K447">
        <v>6.3065309524536097</v>
      </c>
    </row>
    <row r="448" spans="1:11">
      <c r="A448" t="s">
        <v>212</v>
      </c>
      <c r="B448">
        <v>0.16</v>
      </c>
      <c r="C448">
        <v>0.33152262369791602</v>
      </c>
      <c r="D448">
        <v>28.867643280570199</v>
      </c>
      <c r="E448">
        <v>0.97924643644151199</v>
      </c>
      <c r="F448">
        <v>16.829073205948401</v>
      </c>
      <c r="G448">
        <v>32.621022317942398</v>
      </c>
      <c r="H448">
        <v>0.98280356092838805</v>
      </c>
      <c r="I448">
        <v>17.645614747004299</v>
      </c>
      <c r="J448">
        <v>6.6811442375183097</v>
      </c>
      <c r="K448">
        <v>4.4681727886199898</v>
      </c>
    </row>
    <row r="449" spans="1:11">
      <c r="A449" t="s">
        <v>212</v>
      </c>
      <c r="B449">
        <v>0.08</v>
      </c>
      <c r="C449">
        <v>0.21974690755208301</v>
      </c>
      <c r="D449">
        <v>27.885581971506699</v>
      </c>
      <c r="E449">
        <v>0.96759876325162597</v>
      </c>
      <c r="F449">
        <v>14.894384125482199</v>
      </c>
      <c r="G449">
        <v>31.488870709144901</v>
      </c>
      <c r="H449">
        <v>0.97271506525012397</v>
      </c>
      <c r="I449">
        <v>15.6407708046625</v>
      </c>
      <c r="J449">
        <v>5.9444069862365696</v>
      </c>
      <c r="K449">
        <v>3.8498764038085902</v>
      </c>
    </row>
    <row r="450" spans="1:11">
      <c r="A450" t="s">
        <v>212</v>
      </c>
      <c r="B450">
        <v>0.04</v>
      </c>
      <c r="C450">
        <v>0.13999430338541599</v>
      </c>
      <c r="D450">
        <v>26.8133203795682</v>
      </c>
      <c r="E450">
        <v>0.95073224755821395</v>
      </c>
      <c r="F450">
        <v>13.074372494643701</v>
      </c>
      <c r="G450">
        <v>30.281404856474001</v>
      </c>
      <c r="H450">
        <v>0.95838412204368595</v>
      </c>
      <c r="I450">
        <v>13.8074093876837</v>
      </c>
      <c r="J450">
        <v>6.3790488243103001</v>
      </c>
      <c r="K450">
        <v>4.4259078502655003</v>
      </c>
    </row>
    <row r="451" spans="1:11">
      <c r="A451" t="s">
        <v>213</v>
      </c>
      <c r="B451">
        <v>6.4</v>
      </c>
      <c r="C451">
        <v>1.6111857096354101</v>
      </c>
      <c r="D451">
        <v>40.507549584187302</v>
      </c>
      <c r="E451">
        <v>0.99803375007779904</v>
      </c>
      <c r="F451">
        <v>27.0636128155267</v>
      </c>
      <c r="G451">
        <v>43.644475737289397</v>
      </c>
      <c r="H451">
        <v>0.99868191992128696</v>
      </c>
      <c r="I451">
        <v>28.800582037887899</v>
      </c>
      <c r="J451">
        <v>46.979210138320902</v>
      </c>
      <c r="K451">
        <v>15.3144972324371</v>
      </c>
    </row>
    <row r="452" spans="1:11">
      <c r="A452" t="s">
        <v>213</v>
      </c>
      <c r="B452">
        <v>3.2</v>
      </c>
      <c r="C452">
        <v>1.15765380859375</v>
      </c>
      <c r="D452">
        <v>38.7671163469996</v>
      </c>
      <c r="E452">
        <v>0.99698245675544495</v>
      </c>
      <c r="F452">
        <v>25.203464972913199</v>
      </c>
      <c r="G452">
        <v>41.9830970943352</v>
      </c>
      <c r="H452">
        <v>0.99789840629939397</v>
      </c>
      <c r="I452">
        <v>26.774512419902202</v>
      </c>
      <c r="J452">
        <v>62.299242973327601</v>
      </c>
      <c r="K452">
        <v>18.000527143478301</v>
      </c>
    </row>
    <row r="453" spans="1:11">
      <c r="A453" t="s">
        <v>213</v>
      </c>
      <c r="B453">
        <v>0.64</v>
      </c>
      <c r="C453">
        <v>0.52492268880208304</v>
      </c>
      <c r="D453">
        <v>34.193415598107201</v>
      </c>
      <c r="E453">
        <v>0.99189340611453103</v>
      </c>
      <c r="F453">
        <v>20.911615832079502</v>
      </c>
      <c r="G453">
        <v>37.868852578776</v>
      </c>
      <c r="H453">
        <v>0.993767023793938</v>
      </c>
      <c r="I453">
        <v>22.0530453099277</v>
      </c>
      <c r="J453">
        <v>8.6444261074066109</v>
      </c>
      <c r="K453">
        <v>5.4327130317687899</v>
      </c>
    </row>
    <row r="454" spans="1:11">
      <c r="A454" t="s">
        <v>213</v>
      </c>
      <c r="B454">
        <v>0.16</v>
      </c>
      <c r="C454">
        <v>0.24171956380208301</v>
      </c>
      <c r="D454">
        <v>32.0067678267432</v>
      </c>
      <c r="E454">
        <v>0.98145297088155703</v>
      </c>
      <c r="F454">
        <v>17.3172564619972</v>
      </c>
      <c r="G454">
        <v>35.446968763513503</v>
      </c>
      <c r="H454">
        <v>0.98456053854237502</v>
      </c>
      <c r="I454">
        <v>18.1136785232029</v>
      </c>
      <c r="J454">
        <v>6.9549577236175502</v>
      </c>
      <c r="K454">
        <v>4.6551597118377597</v>
      </c>
    </row>
    <row r="455" spans="1:11">
      <c r="A455" t="s">
        <v>213</v>
      </c>
      <c r="B455">
        <v>0.08</v>
      </c>
      <c r="C455">
        <v>0.15574137369791599</v>
      </c>
      <c r="D455">
        <v>30.589725235252399</v>
      </c>
      <c r="E455">
        <v>0.97250110766637299</v>
      </c>
      <c r="F455">
        <v>15.6068479937272</v>
      </c>
      <c r="G455">
        <v>33.953505893173798</v>
      </c>
      <c r="H455">
        <v>0.97653917545541502</v>
      </c>
      <c r="I455">
        <v>16.296567284152701</v>
      </c>
      <c r="J455">
        <v>6.0585377216339102</v>
      </c>
      <c r="K455">
        <v>3.7310721874236998</v>
      </c>
    </row>
    <row r="456" spans="1:11">
      <c r="A456" t="s">
        <v>213</v>
      </c>
      <c r="B456">
        <v>0.04</v>
      </c>
      <c r="C456">
        <v>9.7025553385416602E-2</v>
      </c>
      <c r="D456">
        <v>29.630718420935398</v>
      </c>
      <c r="E456">
        <v>0.96027882956841804</v>
      </c>
      <c r="F456">
        <v>14.009779629840899</v>
      </c>
      <c r="G456">
        <v>32.712208845727098</v>
      </c>
      <c r="H456">
        <v>0.96557923599385398</v>
      </c>
      <c r="I456">
        <v>14.6317949426497</v>
      </c>
      <c r="J456">
        <v>6.3737714290618896</v>
      </c>
      <c r="K456">
        <v>4.4951250553131104</v>
      </c>
    </row>
    <row r="457" spans="1:11">
      <c r="A457" t="s">
        <v>214</v>
      </c>
      <c r="B457">
        <v>1.28</v>
      </c>
      <c r="C457">
        <v>1.3389689127604101</v>
      </c>
      <c r="D457">
        <v>27.7915338235833</v>
      </c>
      <c r="E457">
        <v>0.99301830878985098</v>
      </c>
      <c r="F457">
        <v>21.560393632981199</v>
      </c>
      <c r="G457">
        <v>32.014890670677303</v>
      </c>
      <c r="H457">
        <v>0.99431176387362996</v>
      </c>
      <c r="I457">
        <v>22.450223837531802</v>
      </c>
      <c r="J457">
        <v>11.1002268791198</v>
      </c>
      <c r="K457">
        <v>4.2880651950836102</v>
      </c>
    </row>
    <row r="458" spans="1:11">
      <c r="A458" t="s">
        <v>214</v>
      </c>
      <c r="B458">
        <v>0.64</v>
      </c>
      <c r="C458">
        <v>0.96079508463541596</v>
      </c>
      <c r="D458">
        <v>25.913214668078499</v>
      </c>
      <c r="E458">
        <v>0.98835880711013901</v>
      </c>
      <c r="F458">
        <v>19.340025146225699</v>
      </c>
      <c r="G458">
        <v>30.2963838855866</v>
      </c>
      <c r="H458">
        <v>0.99032135527406295</v>
      </c>
      <c r="I458">
        <v>20.1418545149888</v>
      </c>
      <c r="J458">
        <v>9.8209352493286097</v>
      </c>
      <c r="K458">
        <v>5.6627647876739502</v>
      </c>
    </row>
    <row r="459" spans="1:11">
      <c r="A459" t="s">
        <v>214</v>
      </c>
      <c r="B459">
        <v>0.32</v>
      </c>
      <c r="C459">
        <v>0.68963623046875</v>
      </c>
      <c r="D459">
        <v>24.410309798495</v>
      </c>
      <c r="E459">
        <v>0.98132781268196401</v>
      </c>
      <c r="F459">
        <v>17.288048044659401</v>
      </c>
      <c r="G459">
        <v>28.920188397882001</v>
      </c>
      <c r="H459">
        <v>0.98411111263295703</v>
      </c>
      <c r="I459">
        <v>17.989065135712298</v>
      </c>
      <c r="J459">
        <v>9.2005932331085205</v>
      </c>
      <c r="K459">
        <v>6.1162438392639098</v>
      </c>
    </row>
    <row r="460" spans="1:11">
      <c r="A460" t="s">
        <v>214</v>
      </c>
      <c r="B460">
        <v>0.16</v>
      </c>
      <c r="C460">
        <v>0.51999918619791596</v>
      </c>
      <c r="D460">
        <v>23.578770106660901</v>
      </c>
      <c r="E460">
        <v>0.97271027128679699</v>
      </c>
      <c r="F460">
        <v>15.6400078162378</v>
      </c>
      <c r="G460">
        <v>28.007977641145398</v>
      </c>
      <c r="H460">
        <v>0.97640752673626796</v>
      </c>
      <c r="I460">
        <v>16.272265284451699</v>
      </c>
      <c r="J460">
        <v>6.5993947982787997</v>
      </c>
      <c r="K460">
        <v>4.42964267730712</v>
      </c>
    </row>
    <row r="461" spans="1:11">
      <c r="A461" t="s">
        <v>214</v>
      </c>
      <c r="B461">
        <v>0.08</v>
      </c>
      <c r="C461">
        <v>0.37868245442708298</v>
      </c>
      <c r="D461">
        <v>22.9610604415567</v>
      </c>
      <c r="E461">
        <v>0.95814047431828198</v>
      </c>
      <c r="F461">
        <v>13.782056970431899</v>
      </c>
      <c r="G461">
        <v>27.296818407286199</v>
      </c>
      <c r="H461">
        <v>0.96311212142357205</v>
      </c>
      <c r="I461">
        <v>14.331163203504</v>
      </c>
      <c r="J461">
        <v>5.6119031906127903</v>
      </c>
      <c r="K461">
        <v>3.6354215145111</v>
      </c>
    </row>
    <row r="462" spans="1:11">
      <c r="A462" t="s">
        <v>214</v>
      </c>
      <c r="B462">
        <v>0.04</v>
      </c>
      <c r="C462">
        <v>0.23284912109375</v>
      </c>
      <c r="D462">
        <v>21.9762199813911</v>
      </c>
      <c r="E462">
        <v>0.926623577676702</v>
      </c>
      <c r="F462">
        <v>11.344434673297</v>
      </c>
      <c r="G462">
        <v>26.257615047692301</v>
      </c>
      <c r="H462">
        <v>0.93339433258052795</v>
      </c>
      <c r="I462">
        <v>11.764888155101101</v>
      </c>
      <c r="J462">
        <v>6.3309223651885898</v>
      </c>
      <c r="K462">
        <v>4.3150601387023899</v>
      </c>
    </row>
    <row r="463" spans="1:11">
      <c r="A463" t="s">
        <v>215</v>
      </c>
      <c r="B463">
        <v>3.2</v>
      </c>
      <c r="C463">
        <v>1.5844930013020799</v>
      </c>
      <c r="D463">
        <v>34.985349372174397</v>
      </c>
      <c r="E463">
        <v>0.99712811992818295</v>
      </c>
      <c r="F463">
        <v>25.4183369995757</v>
      </c>
      <c r="G463">
        <v>38.080238992879501</v>
      </c>
      <c r="H463">
        <v>0.99778311004779197</v>
      </c>
      <c r="I463">
        <v>26.5425586499783</v>
      </c>
      <c r="J463">
        <v>62.909970760345402</v>
      </c>
      <c r="K463">
        <v>18.592693328857401</v>
      </c>
    </row>
    <row r="464" spans="1:11">
      <c r="A464" t="s">
        <v>215</v>
      </c>
      <c r="B464">
        <v>1.28</v>
      </c>
      <c r="C464">
        <v>1.0656941731770799</v>
      </c>
      <c r="D464">
        <v>31.967043165794301</v>
      </c>
      <c r="E464">
        <v>0.99437381915532697</v>
      </c>
      <c r="F464">
        <v>22.4978631223813</v>
      </c>
      <c r="G464">
        <v>35.336402941645801</v>
      </c>
      <c r="H464">
        <v>0.99544596519016704</v>
      </c>
      <c r="I464">
        <v>23.416036540765401</v>
      </c>
      <c r="J464">
        <v>10.549710273742599</v>
      </c>
      <c r="K464">
        <v>4.7187535762786803</v>
      </c>
    </row>
    <row r="465" spans="1:11">
      <c r="A465" t="s">
        <v>215</v>
      </c>
      <c r="B465">
        <v>0.32</v>
      </c>
      <c r="C465">
        <v>0.58559163411458304</v>
      </c>
      <c r="D465">
        <v>29.1830446035877</v>
      </c>
      <c r="E465">
        <v>0.986453655327859</v>
      </c>
      <c r="F465">
        <v>18.681778784340299</v>
      </c>
      <c r="G465">
        <v>32.608599562544697</v>
      </c>
      <c r="H465">
        <v>0.98855931599397795</v>
      </c>
      <c r="I465">
        <v>19.415480095324501</v>
      </c>
      <c r="J465">
        <v>9.5925960540771396</v>
      </c>
      <c r="K465">
        <v>6.1308665275573704</v>
      </c>
    </row>
    <row r="466" spans="1:11">
      <c r="A466" t="s">
        <v>215</v>
      </c>
      <c r="B466">
        <v>0.16</v>
      </c>
      <c r="C466">
        <v>0.42148844401041602</v>
      </c>
      <c r="D466">
        <v>28.215827385835802</v>
      </c>
      <c r="E466">
        <v>0.97834909049109597</v>
      </c>
      <c r="F466">
        <v>16.6452385513502</v>
      </c>
      <c r="G466">
        <v>31.515510157960598</v>
      </c>
      <c r="H466">
        <v>0.98147121888285305</v>
      </c>
      <c r="I466">
        <v>17.321531490301599</v>
      </c>
      <c r="J466">
        <v>6.9506456851959202</v>
      </c>
      <c r="K466">
        <v>3.9699254035949698</v>
      </c>
    </row>
    <row r="467" spans="1:11">
      <c r="A467" t="s">
        <v>215</v>
      </c>
      <c r="B467">
        <v>0.08</v>
      </c>
      <c r="C467">
        <v>0.28977457682291602</v>
      </c>
      <c r="D467">
        <v>27.041286565163599</v>
      </c>
      <c r="E467">
        <v>0.96443515752464604</v>
      </c>
      <c r="F467">
        <v>14.489791105493101</v>
      </c>
      <c r="G467">
        <v>30.236301189421201</v>
      </c>
      <c r="H467">
        <v>0.96896712619666803</v>
      </c>
      <c r="I467">
        <v>15.0817800465631</v>
      </c>
      <c r="J467">
        <v>5.3997173309326101</v>
      </c>
      <c r="K467">
        <v>3.4031112194061199</v>
      </c>
    </row>
    <row r="468" spans="1:11">
      <c r="A468" t="s">
        <v>215</v>
      </c>
      <c r="B468">
        <v>0.04</v>
      </c>
      <c r="C468">
        <v>0.18292236328125</v>
      </c>
      <c r="D468">
        <v>25.788381074378702</v>
      </c>
      <c r="E468">
        <v>0.94349532522562196</v>
      </c>
      <c r="F468">
        <v>12.4791562041541</v>
      </c>
      <c r="G468">
        <v>28.8702392073948</v>
      </c>
      <c r="H468">
        <v>0.950095842730449</v>
      </c>
      <c r="I468">
        <v>13.0186327393531</v>
      </c>
      <c r="J468">
        <v>6.2350208759307799</v>
      </c>
      <c r="K468">
        <v>4.3726928234100297</v>
      </c>
    </row>
    <row r="469" spans="1:11">
      <c r="A469" t="s">
        <v>216</v>
      </c>
      <c r="B469">
        <v>6.4</v>
      </c>
      <c r="C469">
        <v>1.63360595703125</v>
      </c>
      <c r="D469">
        <v>39.124745191446401</v>
      </c>
      <c r="E469">
        <v>0.99794134110622501</v>
      </c>
      <c r="F469">
        <v>26.864156071573898</v>
      </c>
      <c r="G469">
        <v>42.171165642160098</v>
      </c>
      <c r="H469">
        <v>0.99868000898843901</v>
      </c>
      <c r="I469">
        <v>28.794290260994401</v>
      </c>
      <c r="J469">
        <v>65.516998767852698</v>
      </c>
      <c r="K469">
        <v>15.7058963775634</v>
      </c>
    </row>
    <row r="470" spans="1:11">
      <c r="A470" t="s">
        <v>216</v>
      </c>
      <c r="B470">
        <v>3.2</v>
      </c>
      <c r="C470">
        <v>1.2169392903645799</v>
      </c>
      <c r="D470">
        <v>37.052514072013302</v>
      </c>
      <c r="E470">
        <v>0.99694098156003397</v>
      </c>
      <c r="F470">
        <v>25.144179050515199</v>
      </c>
      <c r="G470">
        <v>40.2326943026615</v>
      </c>
      <c r="H470">
        <v>0.99797907950873299</v>
      </c>
      <c r="I470">
        <v>26.9445077252308</v>
      </c>
      <c r="J470">
        <v>76.677817583084106</v>
      </c>
      <c r="K470">
        <v>18.121395111083899</v>
      </c>
    </row>
    <row r="471" spans="1:11">
      <c r="A471" t="s">
        <v>216</v>
      </c>
      <c r="B471">
        <v>0.64</v>
      </c>
      <c r="C471">
        <v>0.50677490234375</v>
      </c>
      <c r="D471">
        <v>32.272429703504301</v>
      </c>
      <c r="E471">
        <v>0.99130868408314698</v>
      </c>
      <c r="F471">
        <v>20.6091446380889</v>
      </c>
      <c r="G471">
        <v>35.781145865389703</v>
      </c>
      <c r="H471">
        <v>0.99380901219843698</v>
      </c>
      <c r="I471">
        <v>22.082400517001201</v>
      </c>
      <c r="J471">
        <v>12.610659360885601</v>
      </c>
      <c r="K471">
        <v>5.5589575767517001</v>
      </c>
    </row>
    <row r="472" spans="1:11">
      <c r="A472" t="s">
        <v>216</v>
      </c>
      <c r="B472">
        <v>0.16</v>
      </c>
      <c r="C472">
        <v>0.23773193359375</v>
      </c>
      <c r="D472">
        <v>30.152538329559501</v>
      </c>
      <c r="E472">
        <v>0.98188293017189299</v>
      </c>
      <c r="F472">
        <v>17.419120417799199</v>
      </c>
      <c r="G472">
        <v>33.584799385655899</v>
      </c>
      <c r="H472">
        <v>0.98615504894417005</v>
      </c>
      <c r="I472">
        <v>18.587085752178499</v>
      </c>
      <c r="J472">
        <v>7.3056793212890598</v>
      </c>
      <c r="K472">
        <v>4.4577035903930602</v>
      </c>
    </row>
    <row r="473" spans="1:11">
      <c r="A473" t="s">
        <v>216</v>
      </c>
      <c r="B473">
        <v>0.08</v>
      </c>
      <c r="C473">
        <v>0.15395100911458301</v>
      </c>
      <c r="D473">
        <v>29.639032352509101</v>
      </c>
      <c r="E473">
        <v>0.97299428739613902</v>
      </c>
      <c r="F473">
        <v>15.685443584368</v>
      </c>
      <c r="G473">
        <v>32.916262436476202</v>
      </c>
      <c r="H473">
        <v>0.97865318365429699</v>
      </c>
      <c r="I473">
        <v>16.7066688628728</v>
      </c>
      <c r="J473">
        <v>5.9831256866454998</v>
      </c>
      <c r="K473">
        <v>3.9795854091644198</v>
      </c>
    </row>
    <row r="474" spans="1:11">
      <c r="A474" t="s">
        <v>216</v>
      </c>
      <c r="B474">
        <v>0.04</v>
      </c>
      <c r="C474">
        <v>9.356689453125E-2</v>
      </c>
      <c r="D474">
        <v>28.0262730924123</v>
      </c>
      <c r="E474">
        <v>0.96102231771142199</v>
      </c>
      <c r="F474">
        <v>14.091839886972901</v>
      </c>
      <c r="G474">
        <v>31.130728781645299</v>
      </c>
      <c r="H474">
        <v>0.96824902349506103</v>
      </c>
      <c r="I474">
        <v>14.982429133898099</v>
      </c>
      <c r="J474">
        <v>6.2993929386138898</v>
      </c>
      <c r="K474">
        <v>4.48142409324646</v>
      </c>
    </row>
    <row r="475" spans="1:11">
      <c r="A475" t="s">
        <v>217</v>
      </c>
      <c r="B475">
        <v>6.4</v>
      </c>
      <c r="C475">
        <v>1.6482950846354101</v>
      </c>
      <c r="D475">
        <v>39.859066769203103</v>
      </c>
      <c r="E475">
        <v>0.99816596207415997</v>
      </c>
      <c r="F475">
        <v>27.365916878520899</v>
      </c>
      <c r="G475">
        <v>43.161329021332101</v>
      </c>
      <c r="H475">
        <v>0.99874147507284705</v>
      </c>
      <c r="I475">
        <v>29.0013817811524</v>
      </c>
      <c r="J475">
        <v>49.983174085617001</v>
      </c>
      <c r="K475">
        <v>16.698816061019802</v>
      </c>
    </row>
    <row r="476" spans="1:11">
      <c r="A476" t="s">
        <v>217</v>
      </c>
      <c r="B476">
        <v>1.28</v>
      </c>
      <c r="C476">
        <v>0.79404703776041596</v>
      </c>
      <c r="D476">
        <v>34.013864435657297</v>
      </c>
      <c r="E476">
        <v>0.99456067375726798</v>
      </c>
      <c r="F476">
        <v>22.6445489206384</v>
      </c>
      <c r="G476">
        <v>38.0832114068767</v>
      </c>
      <c r="H476">
        <v>0.99579163454730002</v>
      </c>
      <c r="I476">
        <v>23.7588655326518</v>
      </c>
      <c r="J476">
        <v>11.157106399536101</v>
      </c>
      <c r="K476">
        <v>4.4466519355773899</v>
      </c>
    </row>
    <row r="477" spans="1:11">
      <c r="A477" t="s">
        <v>217</v>
      </c>
      <c r="B477">
        <v>0.64</v>
      </c>
      <c r="C477">
        <v>0.55706787109375</v>
      </c>
      <c r="D477">
        <v>32.402292951699401</v>
      </c>
      <c r="E477">
        <v>0.99178293521957395</v>
      </c>
      <c r="F477">
        <v>20.852832891891602</v>
      </c>
      <c r="G477">
        <v>36.5883232178969</v>
      </c>
      <c r="H477">
        <v>0.99340636517409897</v>
      </c>
      <c r="I477">
        <v>21.808751089805501</v>
      </c>
      <c r="J477">
        <v>9.4680557250976491</v>
      </c>
      <c r="K477">
        <v>5.2865588665008501</v>
      </c>
    </row>
    <row r="478" spans="1:11">
      <c r="A478" t="s">
        <v>217</v>
      </c>
      <c r="B478">
        <v>0.16</v>
      </c>
      <c r="C478">
        <v>0.28098551432291602</v>
      </c>
      <c r="D478">
        <v>30.292694414471701</v>
      </c>
      <c r="E478">
        <v>0.98113464252280602</v>
      </c>
      <c r="F478">
        <v>17.243349609956301</v>
      </c>
      <c r="G478">
        <v>34.431872506412702</v>
      </c>
      <c r="H478">
        <v>0.98363181564106605</v>
      </c>
      <c r="I478">
        <v>17.859994920375499</v>
      </c>
      <c r="J478">
        <v>6.5901606082916198</v>
      </c>
      <c r="K478">
        <v>4.5123074054718</v>
      </c>
    </row>
    <row r="479" spans="1:11">
      <c r="A479" t="s">
        <v>217</v>
      </c>
      <c r="B479">
        <v>0.08</v>
      </c>
      <c r="C479">
        <v>0.18760172526041599</v>
      </c>
      <c r="D479">
        <v>29.480959926199599</v>
      </c>
      <c r="E479">
        <v>0.97199790027168798</v>
      </c>
      <c r="F479">
        <v>15.5280940200674</v>
      </c>
      <c r="G479">
        <v>33.429213685843997</v>
      </c>
      <c r="H479">
        <v>0.97492527828752595</v>
      </c>
      <c r="I479">
        <v>16.0076387822409</v>
      </c>
      <c r="J479">
        <v>5.4588959217071498</v>
      </c>
      <c r="K479">
        <v>3.2030324935913002</v>
      </c>
    </row>
    <row r="480" spans="1:11">
      <c r="A480" t="s">
        <v>217</v>
      </c>
      <c r="B480">
        <v>0.04</v>
      </c>
      <c r="C480">
        <v>0.124165852864583</v>
      </c>
      <c r="D480">
        <v>28.8117644958052</v>
      </c>
      <c r="E480">
        <v>0.95886051653934401</v>
      </c>
      <c r="F480">
        <v>13.857411655240201</v>
      </c>
      <c r="G480">
        <v>32.662180568760498</v>
      </c>
      <c r="H480">
        <v>0.96228574529592603</v>
      </c>
      <c r="I480">
        <v>14.234944702390701</v>
      </c>
      <c r="J480">
        <v>6.2805795669555602</v>
      </c>
      <c r="K480">
        <v>4.39033722877502</v>
      </c>
    </row>
    <row r="481" spans="1:11">
      <c r="A481" t="s">
        <v>218</v>
      </c>
      <c r="B481">
        <v>6.4</v>
      </c>
      <c r="C481">
        <v>1.54193115234375</v>
      </c>
      <c r="D481">
        <v>39.420381301154698</v>
      </c>
      <c r="E481">
        <v>0.99806058414559995</v>
      </c>
      <c r="F481">
        <v>27.123290584266599</v>
      </c>
      <c r="G481">
        <v>42.535737652512502</v>
      </c>
      <c r="H481">
        <v>0.99864375711470199</v>
      </c>
      <c r="I481">
        <v>28.6766252706289</v>
      </c>
      <c r="J481">
        <v>52.011567115783599</v>
      </c>
      <c r="K481">
        <v>16.482507705688398</v>
      </c>
    </row>
    <row r="482" spans="1:11">
      <c r="A482" t="s">
        <v>218</v>
      </c>
      <c r="B482">
        <v>3.2</v>
      </c>
      <c r="C482">
        <v>1.1071573893229101</v>
      </c>
      <c r="D482">
        <v>37.5707113866806</v>
      </c>
      <c r="E482">
        <v>0.99713319279594803</v>
      </c>
      <c r="F482">
        <v>25.426015128546901</v>
      </c>
      <c r="G482">
        <v>40.821304656178199</v>
      </c>
      <c r="H482">
        <v>0.99795282193483403</v>
      </c>
      <c r="I482">
        <v>26.888443804172802</v>
      </c>
      <c r="J482">
        <v>58.0856258869171</v>
      </c>
      <c r="K482">
        <v>17.998246431350701</v>
      </c>
    </row>
    <row r="483" spans="1:11">
      <c r="A483" t="s">
        <v>218</v>
      </c>
      <c r="B483">
        <v>0.64</v>
      </c>
      <c r="C483">
        <v>0.50978597005208304</v>
      </c>
      <c r="D483">
        <v>33.507454364791499</v>
      </c>
      <c r="E483">
        <v>0.99282921353471099</v>
      </c>
      <c r="F483">
        <v>21.4443320991045</v>
      </c>
      <c r="G483">
        <v>37.073879949928802</v>
      </c>
      <c r="H483">
        <v>0.994468945383437</v>
      </c>
      <c r="I483">
        <v>22.571920530559499</v>
      </c>
      <c r="J483">
        <v>9.9353182315826398</v>
      </c>
      <c r="K483">
        <v>5.7091691493988002</v>
      </c>
    </row>
    <row r="484" spans="1:11">
      <c r="A484" t="s">
        <v>218</v>
      </c>
      <c r="B484">
        <v>0.16</v>
      </c>
      <c r="C484">
        <v>0.25445556640625</v>
      </c>
      <c r="D484">
        <v>31.397757403681702</v>
      </c>
      <c r="E484">
        <v>0.98428148276275895</v>
      </c>
      <c r="F484">
        <v>18.035884243307301</v>
      </c>
      <c r="G484">
        <v>34.993663732635497</v>
      </c>
      <c r="H484">
        <v>0.98688742331488699</v>
      </c>
      <c r="I484">
        <v>18.823119589452901</v>
      </c>
      <c r="J484">
        <v>6.6578254699706996</v>
      </c>
      <c r="K484">
        <v>4.0691475868225098</v>
      </c>
    </row>
    <row r="485" spans="1:11">
      <c r="A485" t="s">
        <v>218</v>
      </c>
      <c r="B485">
        <v>0.08</v>
      </c>
      <c r="C485">
        <v>0.17490641276041599</v>
      </c>
      <c r="D485">
        <v>30.231512194918899</v>
      </c>
      <c r="E485">
        <v>0.97622894775924995</v>
      </c>
      <c r="F485">
        <v>16.239515935247798</v>
      </c>
      <c r="G485">
        <v>33.763256501102902</v>
      </c>
      <c r="H485">
        <v>0.97966860951465295</v>
      </c>
      <c r="I485">
        <v>16.918329184862699</v>
      </c>
      <c r="J485">
        <v>5.3366904258728001</v>
      </c>
      <c r="K485">
        <v>3.22689485549926</v>
      </c>
    </row>
    <row r="486" spans="1:11">
      <c r="A486" t="s">
        <v>218</v>
      </c>
      <c r="B486">
        <v>0.04</v>
      </c>
      <c r="C486">
        <v>0.115620930989583</v>
      </c>
      <c r="D486">
        <v>29.000913591088501</v>
      </c>
      <c r="E486">
        <v>0.96440190922895597</v>
      </c>
      <c r="F486">
        <v>14.485732938764301</v>
      </c>
      <c r="G486">
        <v>32.388143152817797</v>
      </c>
      <c r="H486">
        <v>0.96864432409496803</v>
      </c>
      <c r="I486">
        <v>15.036838331070401</v>
      </c>
      <c r="J486">
        <v>6.4486365318298304</v>
      </c>
      <c r="K486">
        <v>4.1326317787170401</v>
      </c>
    </row>
    <row r="487" spans="1:11">
      <c r="A487" t="s">
        <v>219</v>
      </c>
      <c r="B487">
        <v>3.2</v>
      </c>
      <c r="C487">
        <v>1.67926025390625</v>
      </c>
      <c r="D487">
        <v>34.1026143795726</v>
      </c>
      <c r="E487">
        <v>0.99647262194986796</v>
      </c>
      <c r="F487">
        <v>24.525479919096899</v>
      </c>
      <c r="G487">
        <v>37.325635769848503</v>
      </c>
      <c r="H487">
        <v>0.99749524488777297</v>
      </c>
      <c r="I487">
        <v>26.012347283226799</v>
      </c>
      <c r="J487">
        <v>63.190165519714299</v>
      </c>
      <c r="K487">
        <v>17.8219814300537</v>
      </c>
    </row>
    <row r="488" spans="1:11">
      <c r="A488" t="s">
        <v>219</v>
      </c>
      <c r="B488">
        <v>1.28</v>
      </c>
      <c r="C488">
        <v>1.11602783203125</v>
      </c>
      <c r="D488">
        <v>31.393052157465402</v>
      </c>
      <c r="E488">
        <v>0.99345316915387005</v>
      </c>
      <c r="F488">
        <v>21.8396888002525</v>
      </c>
      <c r="G488">
        <v>34.833086736148601</v>
      </c>
      <c r="H488">
        <v>0.995196933921903</v>
      </c>
      <c r="I488">
        <v>23.184814385213301</v>
      </c>
      <c r="J488">
        <v>11.6476624011993</v>
      </c>
      <c r="K488">
        <v>4.3493473529815603</v>
      </c>
    </row>
    <row r="489" spans="1:11">
      <c r="A489" t="s">
        <v>219</v>
      </c>
      <c r="B489">
        <v>0.32</v>
      </c>
      <c r="C489">
        <v>0.58253987630208304</v>
      </c>
      <c r="D489">
        <v>28.166572244091402</v>
      </c>
      <c r="E489">
        <v>0.98444861644838499</v>
      </c>
      <c r="F489">
        <v>18.082309672736599</v>
      </c>
      <c r="G489">
        <v>31.741208325890099</v>
      </c>
      <c r="H489">
        <v>0.98809349499453603</v>
      </c>
      <c r="I489">
        <v>19.242157011194799</v>
      </c>
      <c r="J489">
        <v>10.3815112113952</v>
      </c>
      <c r="K489">
        <v>6.19921374320983</v>
      </c>
    </row>
    <row r="490" spans="1:11">
      <c r="A490" t="s">
        <v>219</v>
      </c>
      <c r="B490">
        <v>0.16</v>
      </c>
      <c r="C490">
        <v>0.41448974609375</v>
      </c>
      <c r="D490">
        <v>27.433319142881199</v>
      </c>
      <c r="E490">
        <v>0.97631684200665803</v>
      </c>
      <c r="F490">
        <v>16.255603877752101</v>
      </c>
      <c r="G490">
        <v>30.917213122745299</v>
      </c>
      <c r="H490">
        <v>0.98157695255742505</v>
      </c>
      <c r="I490">
        <v>17.3463852951236</v>
      </c>
      <c r="J490">
        <v>7.0402724742889404</v>
      </c>
      <c r="K490">
        <v>4.5707826614379803</v>
      </c>
    </row>
    <row r="491" spans="1:11">
      <c r="A491" t="s">
        <v>219</v>
      </c>
      <c r="B491">
        <v>0.08</v>
      </c>
      <c r="C491">
        <v>0.28692626953125</v>
      </c>
      <c r="D491">
        <v>26.621237111168899</v>
      </c>
      <c r="E491">
        <v>0.96350684475920101</v>
      </c>
      <c r="F491">
        <v>14.3778858540412</v>
      </c>
      <c r="G491">
        <v>30.023167313392701</v>
      </c>
      <c r="H491">
        <v>0.970589675887921</v>
      </c>
      <c r="I491">
        <v>15.315001893891599</v>
      </c>
      <c r="J491">
        <v>5.8006653785705504</v>
      </c>
      <c r="K491">
        <v>3.7631967067718501</v>
      </c>
    </row>
    <row r="492" spans="1:11">
      <c r="A492" t="s">
        <v>219</v>
      </c>
      <c r="B492">
        <v>0.04</v>
      </c>
      <c r="C492">
        <v>0.18166097005208301</v>
      </c>
      <c r="D492">
        <v>25.425148170515001</v>
      </c>
      <c r="E492">
        <v>0.94123671701637102</v>
      </c>
      <c r="F492">
        <v>12.308939490654801</v>
      </c>
      <c r="G492">
        <v>28.749329871673499</v>
      </c>
      <c r="H492">
        <v>0.95106101772341101</v>
      </c>
      <c r="I492">
        <v>13.1034506637485</v>
      </c>
      <c r="J492">
        <v>6.28812551498413</v>
      </c>
      <c r="K492">
        <v>4.1371679306030202</v>
      </c>
    </row>
    <row r="493" spans="1:11">
      <c r="A493" t="s">
        <v>220</v>
      </c>
      <c r="B493">
        <v>3.2</v>
      </c>
      <c r="C493">
        <v>1.32611083984375</v>
      </c>
      <c r="D493">
        <v>36.277153698459699</v>
      </c>
      <c r="E493">
        <v>0.99677832635474395</v>
      </c>
      <c r="F493">
        <v>24.919184556123898</v>
      </c>
      <c r="G493">
        <v>39.464606994284203</v>
      </c>
      <c r="H493">
        <v>0.99775799921688002</v>
      </c>
      <c r="I493">
        <v>26.493642400441001</v>
      </c>
      <c r="J493">
        <v>59.110479116439798</v>
      </c>
      <c r="K493">
        <v>17.869141101837101</v>
      </c>
    </row>
    <row r="494" spans="1:11">
      <c r="A494" t="s">
        <v>220</v>
      </c>
      <c r="B494">
        <v>1.28</v>
      </c>
      <c r="C494">
        <v>0.88295491536458304</v>
      </c>
      <c r="D494">
        <v>33.433288306423997</v>
      </c>
      <c r="E494">
        <v>0.99425030598177599</v>
      </c>
      <c r="F494">
        <v>22.4035526656827</v>
      </c>
      <c r="G494">
        <v>36.949957155665999</v>
      </c>
      <c r="H494">
        <v>0.995764506720346</v>
      </c>
      <c r="I494">
        <v>23.730960030058998</v>
      </c>
      <c r="J494">
        <v>10.7972948551177</v>
      </c>
      <c r="K494">
        <v>4.82415723800659</v>
      </c>
    </row>
    <row r="495" spans="1:11">
      <c r="A495" t="s">
        <v>220</v>
      </c>
      <c r="B495">
        <v>0.32</v>
      </c>
      <c r="C495">
        <v>0.40346272786458298</v>
      </c>
      <c r="D495">
        <v>30.7911875829266</v>
      </c>
      <c r="E495">
        <v>0.98657332310500301</v>
      </c>
      <c r="F495">
        <v>18.7203146199607</v>
      </c>
      <c r="G495">
        <v>34.385122590436801</v>
      </c>
      <c r="H495">
        <v>0.98935178176115801</v>
      </c>
      <c r="I495">
        <v>19.727230564295599</v>
      </c>
      <c r="J495">
        <v>10.1509816646575</v>
      </c>
      <c r="K495">
        <v>6.4837989807128897</v>
      </c>
    </row>
    <row r="496" spans="1:11">
      <c r="A496" t="s">
        <v>220</v>
      </c>
      <c r="B496">
        <v>0.16</v>
      </c>
      <c r="C496">
        <v>0.28448486328125</v>
      </c>
      <c r="D496">
        <v>28.952848510313601</v>
      </c>
      <c r="E496">
        <v>0.98078804114572304</v>
      </c>
      <c r="F496">
        <v>17.164283521486201</v>
      </c>
      <c r="G496">
        <v>32.704179409056103</v>
      </c>
      <c r="H496">
        <v>0.98431025349201096</v>
      </c>
      <c r="I496">
        <v>18.0438407305239</v>
      </c>
      <c r="J496">
        <v>6.5497891902923504</v>
      </c>
      <c r="K496">
        <v>4.5783593654632497</v>
      </c>
    </row>
    <row r="497" spans="1:11">
      <c r="A497" t="s">
        <v>220</v>
      </c>
      <c r="B497">
        <v>0.08</v>
      </c>
      <c r="C497">
        <v>0.20184326171875</v>
      </c>
      <c r="D497">
        <v>28.054194170520901</v>
      </c>
      <c r="E497">
        <v>0.97230383931791997</v>
      </c>
      <c r="F497">
        <v>15.575804298579699</v>
      </c>
      <c r="G497">
        <v>31.704053652361601</v>
      </c>
      <c r="H497">
        <v>0.97640558381727305</v>
      </c>
      <c r="I497">
        <v>16.2719076431624</v>
      </c>
      <c r="J497">
        <v>5.28869175910949</v>
      </c>
      <c r="K497">
        <v>3.2153058052062899</v>
      </c>
    </row>
    <row r="498" spans="1:11">
      <c r="A498" t="s">
        <v>220</v>
      </c>
      <c r="B498">
        <v>0.04</v>
      </c>
      <c r="C498">
        <v>0.12432861328125</v>
      </c>
      <c r="D498">
        <v>26.876981362854199</v>
      </c>
      <c r="E498">
        <v>0.95602547294979501</v>
      </c>
      <c r="F498">
        <v>13.5679882271964</v>
      </c>
      <c r="G498">
        <v>30.3010642480162</v>
      </c>
      <c r="H498">
        <v>0.96138280415550303</v>
      </c>
      <c r="I498">
        <v>14.1321926534368</v>
      </c>
      <c r="J498">
        <v>5.86938023567199</v>
      </c>
      <c r="K498">
        <v>4.5067782402038503</v>
      </c>
    </row>
    <row r="499" spans="1:11">
      <c r="A499" t="s">
        <v>221</v>
      </c>
      <c r="B499">
        <v>3.2</v>
      </c>
      <c r="C499">
        <v>1.4764607747395799</v>
      </c>
      <c r="D499">
        <v>37.799675323541301</v>
      </c>
      <c r="E499">
        <v>0.99647018906882701</v>
      </c>
      <c r="F499">
        <v>24.522485562970601</v>
      </c>
      <c r="G499">
        <v>40.929685342930298</v>
      </c>
      <c r="H499">
        <v>0.99759665701184796</v>
      </c>
      <c r="I499">
        <v>26.191842453293301</v>
      </c>
      <c r="J499">
        <v>59.025757789611802</v>
      </c>
      <c r="K499">
        <v>17.107159614562899</v>
      </c>
    </row>
    <row r="500" spans="1:11">
      <c r="A500" t="s">
        <v>221</v>
      </c>
      <c r="B500">
        <v>1.28</v>
      </c>
      <c r="C500">
        <v>0.96588134765625</v>
      </c>
      <c r="D500">
        <v>35.010036437781203</v>
      </c>
      <c r="E500">
        <v>0.99340507623965202</v>
      </c>
      <c r="F500">
        <v>21.807902206864799</v>
      </c>
      <c r="G500">
        <v>38.329482343700903</v>
      </c>
      <c r="H500">
        <v>0.99529926913002598</v>
      </c>
      <c r="I500">
        <v>23.278346126771002</v>
      </c>
      <c r="J500">
        <v>11.110359907150199</v>
      </c>
      <c r="K500">
        <v>4.4127054214477504</v>
      </c>
    </row>
    <row r="501" spans="1:11">
      <c r="A501" t="s">
        <v>221</v>
      </c>
      <c r="B501">
        <v>0.32</v>
      </c>
      <c r="C501">
        <v>0.48293050130208298</v>
      </c>
      <c r="D501">
        <v>32.487803156107098</v>
      </c>
      <c r="E501">
        <v>0.98431313284673205</v>
      </c>
      <c r="F501">
        <v>18.0446378132708</v>
      </c>
      <c r="G501">
        <v>35.865158687786099</v>
      </c>
      <c r="H501">
        <v>0.98867212465588705</v>
      </c>
      <c r="I501">
        <v>19.4585153875583</v>
      </c>
      <c r="J501">
        <v>9.1430301666259695</v>
      </c>
      <c r="K501">
        <v>6.5649666786193803</v>
      </c>
    </row>
    <row r="502" spans="1:11">
      <c r="A502" t="s">
        <v>221</v>
      </c>
      <c r="B502">
        <v>0.16</v>
      </c>
      <c r="C502">
        <v>0.32049560546875</v>
      </c>
      <c r="D502">
        <v>31.4453244467689</v>
      </c>
      <c r="E502">
        <v>0.975772821643209</v>
      </c>
      <c r="F502">
        <v>16.1569716347012</v>
      </c>
      <c r="G502">
        <v>34.775628742459801</v>
      </c>
      <c r="H502">
        <v>0.98194707153072902</v>
      </c>
      <c r="I502">
        <v>17.434523386400599</v>
      </c>
      <c r="J502">
        <v>6.0447437763214102</v>
      </c>
      <c r="K502">
        <v>4.5558736324310303</v>
      </c>
    </row>
    <row r="503" spans="1:11">
      <c r="A503" t="s">
        <v>221</v>
      </c>
      <c r="B503">
        <v>0.08</v>
      </c>
      <c r="C503">
        <v>0.20489501953125</v>
      </c>
      <c r="D503">
        <v>30.486798019320101</v>
      </c>
      <c r="E503">
        <v>0.96286130359855204</v>
      </c>
      <c r="F503">
        <v>14.301733444194401</v>
      </c>
      <c r="G503">
        <v>33.729057776120797</v>
      </c>
      <c r="H503">
        <v>0.97195301949144497</v>
      </c>
      <c r="I503">
        <v>15.5211388731545</v>
      </c>
      <c r="J503">
        <v>5.8443539142608598</v>
      </c>
      <c r="K503">
        <v>3.8245828151702801</v>
      </c>
    </row>
    <row r="504" spans="1:11">
      <c r="A504" t="s">
        <v>221</v>
      </c>
      <c r="B504">
        <v>0.04</v>
      </c>
      <c r="C504">
        <v>0.118184407552083</v>
      </c>
      <c r="D504">
        <v>29.495542959262298</v>
      </c>
      <c r="E504">
        <v>0.94461763716414204</v>
      </c>
      <c r="F504">
        <v>12.566285194340001</v>
      </c>
      <c r="G504">
        <v>32.6270418285876</v>
      </c>
      <c r="H504">
        <v>0.95791866520563296</v>
      </c>
      <c r="I504">
        <v>13.759104930787901</v>
      </c>
      <c r="J504">
        <v>6.5662488937377903</v>
      </c>
      <c r="K504">
        <v>4.4753849506378103</v>
      </c>
    </row>
    <row r="505" spans="1:11">
      <c r="A505" t="s">
        <v>222</v>
      </c>
      <c r="B505">
        <v>6.4</v>
      </c>
      <c r="C505">
        <v>1.3970743815104101</v>
      </c>
      <c r="D505">
        <v>39.218710200764001</v>
      </c>
      <c r="E505">
        <v>0.99818052654199596</v>
      </c>
      <c r="F505">
        <v>27.4005427540434</v>
      </c>
      <c r="G505">
        <v>42.287878561576598</v>
      </c>
      <c r="H505">
        <v>0.99906204507381802</v>
      </c>
      <c r="I505">
        <v>30.278180313235701</v>
      </c>
      <c r="J505">
        <v>64.760357856750403</v>
      </c>
      <c r="K505">
        <v>15.635035991668699</v>
      </c>
    </row>
    <row r="506" spans="1:11">
      <c r="A506" t="s">
        <v>222</v>
      </c>
      <c r="B506">
        <v>3.2</v>
      </c>
      <c r="C506">
        <v>1.01837158203125</v>
      </c>
      <c r="D506">
        <v>37.317952374143999</v>
      </c>
      <c r="E506">
        <v>0.99732173007537195</v>
      </c>
      <c r="F506">
        <v>25.721456555283201</v>
      </c>
      <c r="G506">
        <v>40.423912744218001</v>
      </c>
      <c r="H506">
        <v>0.99852476282919</v>
      </c>
      <c r="I506">
        <v>28.3113815345279</v>
      </c>
      <c r="J506">
        <v>67.892822742462101</v>
      </c>
      <c r="K506">
        <v>17.973997831344601</v>
      </c>
    </row>
    <row r="507" spans="1:11">
      <c r="A507" t="s">
        <v>222</v>
      </c>
      <c r="B507">
        <v>0.64</v>
      </c>
      <c r="C507">
        <v>0.42140706380208298</v>
      </c>
      <c r="D507">
        <v>33.104257748486802</v>
      </c>
      <c r="E507">
        <v>0.99262144459614299</v>
      </c>
      <c r="F507">
        <v>21.320286573564498</v>
      </c>
      <c r="G507">
        <v>36.5024101023496</v>
      </c>
      <c r="H507">
        <v>0.99584175070594105</v>
      </c>
      <c r="I507">
        <v>23.810894775373601</v>
      </c>
      <c r="J507">
        <v>11.8340859413146</v>
      </c>
      <c r="K507">
        <v>5.6874680519104004</v>
      </c>
    </row>
    <row r="508" spans="1:11">
      <c r="A508" t="s">
        <v>222</v>
      </c>
      <c r="B508">
        <v>0.32</v>
      </c>
      <c r="C508">
        <v>0.27750651041666602</v>
      </c>
      <c r="D508">
        <v>32.027949120897702</v>
      </c>
      <c r="E508">
        <v>0.98947472307818296</v>
      </c>
      <c r="F508">
        <v>19.777664689806802</v>
      </c>
      <c r="G508">
        <v>35.455551177939299</v>
      </c>
      <c r="H508">
        <v>0.99364668944020396</v>
      </c>
      <c r="I508">
        <v>21.969999151497099</v>
      </c>
      <c r="J508">
        <v>11.2206788063049</v>
      </c>
      <c r="K508">
        <v>6.4647865295410103</v>
      </c>
    </row>
    <row r="509" spans="1:11">
      <c r="A509" t="s">
        <v>222</v>
      </c>
      <c r="B509">
        <v>0.08</v>
      </c>
      <c r="C509">
        <v>0.13087972005208301</v>
      </c>
      <c r="D509">
        <v>29.720461363534</v>
      </c>
      <c r="E509">
        <v>0.97998077824079499</v>
      </c>
      <c r="F509">
        <v>16.985528095866002</v>
      </c>
      <c r="G509">
        <v>33.136601465261897</v>
      </c>
      <c r="H509">
        <v>0.98624042804559098</v>
      </c>
      <c r="I509">
        <v>18.6139507632796</v>
      </c>
      <c r="J509">
        <v>5.7974777221679599</v>
      </c>
      <c r="K509">
        <v>3.5153508186340301</v>
      </c>
    </row>
    <row r="510" spans="1:11">
      <c r="A510" t="s">
        <v>222</v>
      </c>
      <c r="B510">
        <v>0.04</v>
      </c>
      <c r="C510">
        <v>8.1156412760416602E-2</v>
      </c>
      <c r="D510">
        <v>28.189873958406299</v>
      </c>
      <c r="E510">
        <v>0.97022600211690802</v>
      </c>
      <c r="F510">
        <v>15.261628468449301</v>
      </c>
      <c r="G510">
        <v>31.539816618403101</v>
      </c>
      <c r="H510">
        <v>0.97756253906469504</v>
      </c>
      <c r="I510">
        <v>16.490262902044702</v>
      </c>
      <c r="J510">
        <v>6.5103492736816397</v>
      </c>
      <c r="K510">
        <v>4.3532171249389604</v>
      </c>
    </row>
    <row r="511" spans="1:11">
      <c r="A511" t="s">
        <v>223</v>
      </c>
      <c r="B511">
        <v>3.2</v>
      </c>
      <c r="C511">
        <v>1.3208211263020799</v>
      </c>
      <c r="D511">
        <v>34.815357053808903</v>
      </c>
      <c r="E511">
        <v>0.99664156729275399</v>
      </c>
      <c r="F511">
        <v>24.738633492156801</v>
      </c>
      <c r="G511">
        <v>38.3755579742745</v>
      </c>
      <c r="H511">
        <v>0.99761237111768097</v>
      </c>
      <c r="I511">
        <v>26.220331762388199</v>
      </c>
      <c r="J511">
        <v>66.218378305435095</v>
      </c>
      <c r="K511">
        <v>18.070517539977999</v>
      </c>
    </row>
    <row r="512" spans="1:11">
      <c r="A512" t="s">
        <v>223</v>
      </c>
      <c r="B512">
        <v>1.28</v>
      </c>
      <c r="C512">
        <v>0.85443115234375</v>
      </c>
      <c r="D512">
        <v>31.837453353120601</v>
      </c>
      <c r="E512">
        <v>0.99413508550267604</v>
      </c>
      <c r="F512">
        <v>22.317383149399902</v>
      </c>
      <c r="G512">
        <v>35.713826751553398</v>
      </c>
      <c r="H512">
        <v>0.99576576179155896</v>
      </c>
      <c r="I512">
        <v>23.732247132270299</v>
      </c>
      <c r="J512">
        <v>11.9313569068908</v>
      </c>
      <c r="K512">
        <v>4.9904325008392298</v>
      </c>
    </row>
    <row r="513" spans="1:11">
      <c r="A513" t="s">
        <v>223</v>
      </c>
      <c r="B513">
        <v>0.64</v>
      </c>
      <c r="C513">
        <v>0.58494059244791596</v>
      </c>
      <c r="D513">
        <v>30.2009328154966</v>
      </c>
      <c r="E513">
        <v>0.99097528193650897</v>
      </c>
      <c r="F513">
        <v>20.445663567777601</v>
      </c>
      <c r="G513">
        <v>34.191423240760102</v>
      </c>
      <c r="H513">
        <v>0.99333318321646702</v>
      </c>
      <c r="I513">
        <v>21.7608147992681</v>
      </c>
      <c r="J513">
        <v>10.0041544437408</v>
      </c>
      <c r="K513">
        <v>5.2062351703643799</v>
      </c>
    </row>
    <row r="514" spans="1:11">
      <c r="A514" t="s">
        <v>223</v>
      </c>
      <c r="B514">
        <v>0.16</v>
      </c>
      <c r="C514">
        <v>0.27154541015625</v>
      </c>
      <c r="D514">
        <v>28.084867827771799</v>
      </c>
      <c r="E514">
        <v>0.98072369397437997</v>
      </c>
      <c r="F514">
        <v>17.1497618756988</v>
      </c>
      <c r="G514">
        <v>32.075535284878796</v>
      </c>
      <c r="H514">
        <v>0.98505686507087298</v>
      </c>
      <c r="I514">
        <v>18.255582820656201</v>
      </c>
      <c r="J514">
        <v>6.7339944839477504</v>
      </c>
      <c r="K514">
        <v>4.5805723667144704</v>
      </c>
    </row>
    <row r="515" spans="1:11">
      <c r="A515" t="s">
        <v>223</v>
      </c>
      <c r="B515">
        <v>0.08</v>
      </c>
      <c r="C515">
        <v>0.18715413411458301</v>
      </c>
      <c r="D515">
        <v>27.065306744599098</v>
      </c>
      <c r="E515">
        <v>0.97207474175625297</v>
      </c>
      <c r="F515">
        <v>15.5400280197903</v>
      </c>
      <c r="G515">
        <v>30.9037607361428</v>
      </c>
      <c r="H515">
        <v>0.97761887810028703</v>
      </c>
      <c r="I515">
        <v>16.501181473589501</v>
      </c>
      <c r="J515">
        <v>6.1282405853271396</v>
      </c>
      <c r="K515">
        <v>3.6817712783813401</v>
      </c>
    </row>
    <row r="516" spans="1:11">
      <c r="A516" t="s">
        <v>223</v>
      </c>
      <c r="B516">
        <v>0.04</v>
      </c>
      <c r="C516">
        <v>0.122090657552083</v>
      </c>
      <c r="D516">
        <v>26.026415217384201</v>
      </c>
      <c r="E516">
        <v>0.95936207175563004</v>
      </c>
      <c r="F516">
        <v>13.9106844085634</v>
      </c>
      <c r="G516">
        <v>29.813682953479301</v>
      </c>
      <c r="H516">
        <v>0.96612449964544</v>
      </c>
      <c r="I516">
        <v>14.7011428136862</v>
      </c>
      <c r="J516">
        <v>6.4739568233489901</v>
      </c>
      <c r="K516">
        <v>4.3200480937957701</v>
      </c>
    </row>
    <row r="517" spans="1:11">
      <c r="A517" t="s">
        <v>224</v>
      </c>
      <c r="B517">
        <v>3.2</v>
      </c>
      <c r="C517">
        <v>1.59344482421875</v>
      </c>
      <c r="D517">
        <v>36.433915592484603</v>
      </c>
      <c r="E517">
        <v>0.99649530863267399</v>
      </c>
      <c r="F517">
        <v>24.553502211692599</v>
      </c>
      <c r="G517">
        <v>39.4124211569506</v>
      </c>
      <c r="H517">
        <v>0.99749437818504405</v>
      </c>
      <c r="I517">
        <v>26.010844784624599</v>
      </c>
      <c r="J517">
        <v>57.205425500869701</v>
      </c>
      <c r="K517">
        <v>17.895961523055998</v>
      </c>
    </row>
    <row r="518" spans="1:11">
      <c r="A518" t="s">
        <v>224</v>
      </c>
      <c r="B518">
        <v>1.28</v>
      </c>
      <c r="C518">
        <v>1.0707804361979101</v>
      </c>
      <c r="D518">
        <v>33.646307228393901</v>
      </c>
      <c r="E518">
        <v>0.99345009374321802</v>
      </c>
      <c r="F518">
        <v>21.837649156499999</v>
      </c>
      <c r="G518">
        <v>36.788941238739</v>
      </c>
      <c r="H518">
        <v>0.99517856873284605</v>
      </c>
      <c r="I518">
        <v>23.168240200274099</v>
      </c>
      <c r="J518">
        <v>11.863523244857699</v>
      </c>
      <c r="K518">
        <v>5.5066461563110298</v>
      </c>
    </row>
    <row r="519" spans="1:11">
      <c r="A519" t="s">
        <v>224</v>
      </c>
      <c r="B519">
        <v>0.32</v>
      </c>
      <c r="C519">
        <v>0.54221598307291596</v>
      </c>
      <c r="D519">
        <v>30.877979773487201</v>
      </c>
      <c r="E519">
        <v>0.984044681351251</v>
      </c>
      <c r="F519">
        <v>17.970945179504898</v>
      </c>
      <c r="G519">
        <v>34.0836246115908</v>
      </c>
      <c r="H519">
        <v>0.98788438256717104</v>
      </c>
      <c r="I519">
        <v>19.166544485642401</v>
      </c>
      <c r="J519">
        <v>9.6833362579345703</v>
      </c>
      <c r="K519">
        <v>5.93912529945373</v>
      </c>
    </row>
    <row r="520" spans="1:11">
      <c r="A520" t="s">
        <v>224</v>
      </c>
      <c r="B520">
        <v>0.16</v>
      </c>
      <c r="C520">
        <v>0.37900797526041602</v>
      </c>
      <c r="D520">
        <v>29.931085042636902</v>
      </c>
      <c r="E520">
        <v>0.97515705920181805</v>
      </c>
      <c r="F520">
        <v>16.047969955797299</v>
      </c>
      <c r="G520">
        <v>33.064567228968997</v>
      </c>
      <c r="H520">
        <v>0.98103937881273595</v>
      </c>
      <c r="I520">
        <v>17.221474384229602</v>
      </c>
      <c r="J520">
        <v>7.0013914108276296</v>
      </c>
      <c r="K520">
        <v>4.5009350776672301</v>
      </c>
    </row>
    <row r="521" spans="1:11">
      <c r="A521" t="s">
        <v>224</v>
      </c>
      <c r="B521">
        <v>0.08</v>
      </c>
      <c r="C521">
        <v>0.26263427734375</v>
      </c>
      <c r="D521">
        <v>28.950587718776799</v>
      </c>
      <c r="E521">
        <v>0.96247803791049602</v>
      </c>
      <c r="F521">
        <v>14.257144596755699</v>
      </c>
      <c r="G521">
        <v>32.012920865189002</v>
      </c>
      <c r="H521">
        <v>0.970565565874831</v>
      </c>
      <c r="I521">
        <v>15.3114430905103</v>
      </c>
      <c r="J521">
        <v>5.7417500019073398</v>
      </c>
      <c r="K521">
        <v>3.5454859733581499</v>
      </c>
    </row>
    <row r="522" spans="1:11">
      <c r="A522" t="s">
        <v>224</v>
      </c>
      <c r="B522">
        <v>0.04</v>
      </c>
      <c r="C522">
        <v>0.15708414713541599</v>
      </c>
      <c r="D522">
        <v>27.795556810069598</v>
      </c>
      <c r="E522">
        <v>0.94019665825780396</v>
      </c>
      <c r="F522">
        <v>12.2327454745563</v>
      </c>
      <c r="G522">
        <v>30.796192087101002</v>
      </c>
      <c r="H522">
        <v>0.95092900856311802</v>
      </c>
      <c r="I522">
        <v>13.091751673865801</v>
      </c>
      <c r="J522">
        <v>6.4976706504821697</v>
      </c>
      <c r="K522">
        <v>4.3404662609100297</v>
      </c>
    </row>
    <row r="523" spans="1:11">
      <c r="A523" t="s">
        <v>225</v>
      </c>
      <c r="B523">
        <v>6.4</v>
      </c>
      <c r="C523">
        <v>1.3017374674479101</v>
      </c>
      <c r="D523">
        <v>41.011875225504703</v>
      </c>
      <c r="E523">
        <v>0.99803151474708696</v>
      </c>
      <c r="F523">
        <v>27.0586783441839</v>
      </c>
      <c r="G523">
        <v>43.718176653871403</v>
      </c>
      <c r="H523">
        <v>0.99865891476006696</v>
      </c>
      <c r="I523">
        <v>28.725436173342601</v>
      </c>
      <c r="J523">
        <v>65.602738618850694</v>
      </c>
      <c r="K523">
        <v>16.181393623352001</v>
      </c>
    </row>
    <row r="524" spans="1:11">
      <c r="A524" t="s">
        <v>225</v>
      </c>
      <c r="B524">
        <v>3.2</v>
      </c>
      <c r="C524">
        <v>0.90822347005208304</v>
      </c>
      <c r="D524">
        <v>39.092950641715099</v>
      </c>
      <c r="E524">
        <v>0.99714761954787501</v>
      </c>
      <c r="F524">
        <v>25.447925485120301</v>
      </c>
      <c r="G524">
        <v>41.764303432582899</v>
      </c>
      <c r="H524">
        <v>0.99803857763163395</v>
      </c>
      <c r="I524">
        <v>27.074288762458799</v>
      </c>
      <c r="J524">
        <v>73.320618391036902</v>
      </c>
      <c r="K524">
        <v>17.308214187621999</v>
      </c>
    </row>
    <row r="525" spans="1:11">
      <c r="A525" t="s">
        <v>225</v>
      </c>
      <c r="B525">
        <v>1.28</v>
      </c>
      <c r="C525">
        <v>0.55983479817708304</v>
      </c>
      <c r="D525">
        <v>36.770624406678103</v>
      </c>
      <c r="E525">
        <v>0.99530939499016702</v>
      </c>
      <c r="F525">
        <v>23.2877113692549</v>
      </c>
      <c r="G525">
        <v>39.486185542294102</v>
      </c>
      <c r="H525">
        <v>0.99661839729308599</v>
      </c>
      <c r="I525">
        <v>24.708774175338299</v>
      </c>
      <c r="J525">
        <v>12.160890579223601</v>
      </c>
      <c r="K525">
        <v>5.2893900871276802</v>
      </c>
    </row>
    <row r="526" spans="1:11">
      <c r="A526" t="s">
        <v>225</v>
      </c>
      <c r="B526">
        <v>0.32</v>
      </c>
      <c r="C526">
        <v>0.25872802734375</v>
      </c>
      <c r="D526">
        <v>34.672566818247098</v>
      </c>
      <c r="E526">
        <v>0.99067708736933902</v>
      </c>
      <c r="F526">
        <v>20.304483857351499</v>
      </c>
      <c r="G526">
        <v>37.428779871983203</v>
      </c>
      <c r="H526">
        <v>0.99281223510421501</v>
      </c>
      <c r="I526">
        <v>21.434061366455701</v>
      </c>
      <c r="J526">
        <v>10.373490571975699</v>
      </c>
      <c r="K526">
        <v>6.3451805114745996</v>
      </c>
    </row>
    <row r="527" spans="1:11">
      <c r="A527" t="s">
        <v>225</v>
      </c>
      <c r="B527">
        <v>0.08</v>
      </c>
      <c r="C527">
        <v>0.124898274739583</v>
      </c>
      <c r="D527">
        <v>31.8607661331659</v>
      </c>
      <c r="E527">
        <v>0.98067407246281402</v>
      </c>
      <c r="F527">
        <v>17.138596531863602</v>
      </c>
      <c r="G527">
        <v>34.597082370581496</v>
      </c>
      <c r="H527">
        <v>0.98469612373593396</v>
      </c>
      <c r="I527">
        <v>18.151985543536501</v>
      </c>
      <c r="J527">
        <v>5.7737658023834202</v>
      </c>
      <c r="K527">
        <v>3.6630585193634002</v>
      </c>
    </row>
    <row r="528" spans="1:11">
      <c r="A528" t="s">
        <v>225</v>
      </c>
      <c r="B528">
        <v>0.04</v>
      </c>
      <c r="C528">
        <v>8.4452311197916602E-2</v>
      </c>
      <c r="D528">
        <v>30.8154270133547</v>
      </c>
      <c r="E528">
        <v>0.97299157405947201</v>
      </c>
      <c r="F528">
        <v>15.6850072589263</v>
      </c>
      <c r="G528">
        <v>33.570514099997503</v>
      </c>
      <c r="H528">
        <v>0.97810186160828405</v>
      </c>
      <c r="I528">
        <v>16.595928039073598</v>
      </c>
      <c r="J528">
        <v>6.3718380928039497</v>
      </c>
      <c r="K528">
        <v>4.3041296005248997</v>
      </c>
    </row>
    <row r="529" spans="1:11">
      <c r="A529" t="s">
        <v>226</v>
      </c>
      <c r="B529">
        <v>3.2</v>
      </c>
      <c r="C529">
        <v>1.44305419921875</v>
      </c>
      <c r="D529">
        <v>33.5496732625368</v>
      </c>
      <c r="E529">
        <v>0.99730276887908198</v>
      </c>
      <c r="F529">
        <v>25.690818380341199</v>
      </c>
      <c r="G529">
        <v>36.839826916669701</v>
      </c>
      <c r="H529">
        <v>0.99806434113548803</v>
      </c>
      <c r="I529">
        <v>27.131711792149801</v>
      </c>
      <c r="J529">
        <v>59.5009155273437</v>
      </c>
      <c r="K529">
        <v>18.087604999542201</v>
      </c>
    </row>
    <row r="530" spans="1:11">
      <c r="A530" t="s">
        <v>226</v>
      </c>
      <c r="B530">
        <v>1.28</v>
      </c>
      <c r="C530">
        <v>0.99241129557291596</v>
      </c>
      <c r="D530">
        <v>30.778367497614799</v>
      </c>
      <c r="E530">
        <v>0.99492376975104402</v>
      </c>
      <c r="F530">
        <v>22.944586872899201</v>
      </c>
      <c r="G530">
        <v>34.301109881410099</v>
      </c>
      <c r="H530">
        <v>0.99612501238292395</v>
      </c>
      <c r="I530">
        <v>24.117296809884799</v>
      </c>
      <c r="J530">
        <v>11.759672880172699</v>
      </c>
      <c r="K530">
        <v>4.9633393287658603</v>
      </c>
    </row>
    <row r="531" spans="1:11">
      <c r="A531" t="s">
        <v>226</v>
      </c>
      <c r="B531">
        <v>0.32</v>
      </c>
      <c r="C531">
        <v>0.51686604817708304</v>
      </c>
      <c r="D531">
        <v>27.3420828259313</v>
      </c>
      <c r="E531">
        <v>0.98752735392013502</v>
      </c>
      <c r="F531">
        <v>19.0404140089389</v>
      </c>
      <c r="G531">
        <v>31.0806120541871</v>
      </c>
      <c r="H531">
        <v>0.98990775331189995</v>
      </c>
      <c r="I531">
        <v>19.960121424221001</v>
      </c>
      <c r="J531">
        <v>10.287946701049799</v>
      </c>
      <c r="K531">
        <v>6.07546067237854</v>
      </c>
    </row>
    <row r="532" spans="1:11">
      <c r="A532" t="s">
        <v>226</v>
      </c>
      <c r="B532">
        <v>0.16</v>
      </c>
      <c r="C532">
        <v>0.37392171223958298</v>
      </c>
      <c r="D532">
        <v>26.483836373019901</v>
      </c>
      <c r="E532">
        <v>0.980750013439593</v>
      </c>
      <c r="F532">
        <v>17.155695693629301</v>
      </c>
      <c r="G532">
        <v>30.220802632448901</v>
      </c>
      <c r="H532">
        <v>0.98407855307733205</v>
      </c>
      <c r="I532">
        <v>17.9801746662501</v>
      </c>
      <c r="J532">
        <v>7.0875990390777499</v>
      </c>
      <c r="K532">
        <v>4.7052185535430899</v>
      </c>
    </row>
    <row r="533" spans="1:11">
      <c r="A533" t="s">
        <v>226</v>
      </c>
      <c r="B533">
        <v>0.08</v>
      </c>
      <c r="C533">
        <v>0.25998942057291602</v>
      </c>
      <c r="D533">
        <v>25.686669870847702</v>
      </c>
      <c r="E533">
        <v>0.96948978052651802</v>
      </c>
      <c r="F533">
        <v>15.155546682743701</v>
      </c>
      <c r="G533">
        <v>29.373104119367799</v>
      </c>
      <c r="H533">
        <v>0.97409936748652504</v>
      </c>
      <c r="I533">
        <v>15.8668962998215</v>
      </c>
      <c r="J533">
        <v>5.8282172679901096</v>
      </c>
      <c r="K533">
        <v>3.7284066677093501</v>
      </c>
    </row>
    <row r="534" spans="1:11">
      <c r="A534" t="s">
        <v>226</v>
      </c>
      <c r="B534">
        <v>0.04</v>
      </c>
      <c r="C534">
        <v>0.16314697265625</v>
      </c>
      <c r="D534">
        <v>24.595913833937701</v>
      </c>
      <c r="E534">
        <v>0.95046985939431095</v>
      </c>
      <c r="F534">
        <v>13.051304391447699</v>
      </c>
      <c r="G534">
        <v>28.224047750648101</v>
      </c>
      <c r="H534">
        <v>0.95691465101838302</v>
      </c>
      <c r="I534">
        <v>13.6567038501673</v>
      </c>
      <c r="J534">
        <v>6.3136940002441397</v>
      </c>
      <c r="K534">
        <v>4.1175427436828604</v>
      </c>
    </row>
    <row r="535" spans="1:11">
      <c r="A535" t="s">
        <v>227</v>
      </c>
      <c r="B535">
        <v>6.4</v>
      </c>
      <c r="C535">
        <v>1.3140665690104101</v>
      </c>
      <c r="D535">
        <v>41.418498941806199</v>
      </c>
      <c r="E535">
        <v>0.998314892967338</v>
      </c>
      <c r="F535">
        <v>27.733725089065999</v>
      </c>
      <c r="G535">
        <v>44.396656751481103</v>
      </c>
      <c r="H535">
        <v>0.99891530867959599</v>
      </c>
      <c r="I535">
        <v>29.646938350121101</v>
      </c>
      <c r="J535">
        <v>55.396533250808702</v>
      </c>
      <c r="K535">
        <v>16.1822445392608</v>
      </c>
    </row>
    <row r="536" spans="1:11">
      <c r="A536" t="s">
        <v>227</v>
      </c>
      <c r="B536">
        <v>3.2</v>
      </c>
      <c r="C536">
        <v>0.95770263671875</v>
      </c>
      <c r="D536">
        <v>39.289115675553397</v>
      </c>
      <c r="E536">
        <v>0.99751160390021398</v>
      </c>
      <c r="F536">
        <v>26.040804880248899</v>
      </c>
      <c r="G536">
        <v>42.378991955634298</v>
      </c>
      <c r="H536">
        <v>0.99836974757587704</v>
      </c>
      <c r="I536">
        <v>27.877451453409201</v>
      </c>
      <c r="J536">
        <v>59.218154191970797</v>
      </c>
      <c r="K536">
        <v>18.315987825393599</v>
      </c>
    </row>
    <row r="537" spans="1:11">
      <c r="A537" t="s">
        <v>227</v>
      </c>
      <c r="B537">
        <v>0.64</v>
      </c>
      <c r="C537">
        <v>0.42112223307291602</v>
      </c>
      <c r="D537">
        <v>34.730443040799898</v>
      </c>
      <c r="E537">
        <v>0.99379003584928305</v>
      </c>
      <c r="F537">
        <v>22.069109069395299</v>
      </c>
      <c r="G537">
        <v>38.188645425740603</v>
      </c>
      <c r="H537">
        <v>0.99542708448432704</v>
      </c>
      <c r="I537">
        <v>23.398068221085001</v>
      </c>
      <c r="J537">
        <v>9.8857207298278809</v>
      </c>
      <c r="K537">
        <v>5.5300657749175999</v>
      </c>
    </row>
    <row r="538" spans="1:11">
      <c r="A538" t="s">
        <v>227</v>
      </c>
      <c r="B538">
        <v>0.32</v>
      </c>
      <c r="C538">
        <v>0.29502360026041602</v>
      </c>
      <c r="D538">
        <v>33.7633487318353</v>
      </c>
      <c r="E538">
        <v>0.991132730578557</v>
      </c>
      <c r="F538">
        <v>20.522100958131301</v>
      </c>
      <c r="G538">
        <v>37.170988437003203</v>
      </c>
      <c r="H538">
        <v>0.99305780606937399</v>
      </c>
      <c r="I538">
        <v>21.585032584513598</v>
      </c>
      <c r="J538">
        <v>9.5432004928588796</v>
      </c>
      <c r="K538">
        <v>5.9610524177551198</v>
      </c>
    </row>
    <row r="539" spans="1:11">
      <c r="A539" t="s">
        <v>227</v>
      </c>
      <c r="B539">
        <v>0.08</v>
      </c>
      <c r="C539">
        <v>0.13572184244791599</v>
      </c>
      <c r="D539">
        <v>31.627720520077801</v>
      </c>
      <c r="E539">
        <v>0.98056482748985996</v>
      </c>
      <c r="F539">
        <v>17.114116001384801</v>
      </c>
      <c r="G539">
        <v>34.782724596846798</v>
      </c>
      <c r="H539">
        <v>0.98365594026073999</v>
      </c>
      <c r="I539">
        <v>17.8664005898063</v>
      </c>
      <c r="J539">
        <v>5.4861192703246999</v>
      </c>
      <c r="K539">
        <v>3.3685886859893799</v>
      </c>
    </row>
    <row r="540" spans="1:11">
      <c r="A540" t="s">
        <v>227</v>
      </c>
      <c r="B540">
        <v>0.04</v>
      </c>
      <c r="C540">
        <v>8.709716796875E-2</v>
      </c>
      <c r="D540">
        <v>30.558987077602598</v>
      </c>
      <c r="E540">
        <v>0.97021907717934996</v>
      </c>
      <c r="F540">
        <v>15.2606184890397</v>
      </c>
      <c r="G540">
        <v>33.540506942299302</v>
      </c>
      <c r="H540">
        <v>0.97426775600267701</v>
      </c>
      <c r="I540">
        <v>15.8952233920123</v>
      </c>
      <c r="J540">
        <v>6.3565654754638601</v>
      </c>
      <c r="K540">
        <v>4.5918610095977703</v>
      </c>
    </row>
    <row r="541" spans="1:11">
      <c r="A541" t="s">
        <v>228</v>
      </c>
      <c r="B541">
        <v>3.2</v>
      </c>
      <c r="C541">
        <v>1.3150838216145799</v>
      </c>
      <c r="D541">
        <v>37.870022607777798</v>
      </c>
      <c r="E541">
        <v>0.99681255613845499</v>
      </c>
      <c r="F541">
        <v>24.965574554477101</v>
      </c>
      <c r="G541">
        <v>41.092704628134101</v>
      </c>
      <c r="H541">
        <v>0.99783404760449501</v>
      </c>
      <c r="I541">
        <v>26.643510927693601</v>
      </c>
      <c r="J541">
        <v>59.056718826293903</v>
      </c>
      <c r="K541">
        <v>17.432915210723799</v>
      </c>
    </row>
    <row r="542" spans="1:11">
      <c r="A542" t="s">
        <v>228</v>
      </c>
      <c r="B542">
        <v>1.28</v>
      </c>
      <c r="C542">
        <v>0.86020914713541596</v>
      </c>
      <c r="D542">
        <v>35.235716671328397</v>
      </c>
      <c r="E542">
        <v>0.99432976601434098</v>
      </c>
      <c r="F542">
        <v>22.463990193110199</v>
      </c>
      <c r="G542">
        <v>38.635705926937</v>
      </c>
      <c r="H542">
        <v>0.99587584352872105</v>
      </c>
      <c r="I542">
        <v>23.846648658609901</v>
      </c>
      <c r="J542">
        <v>12.112131357192901</v>
      </c>
      <c r="K542">
        <v>5.3164403438568097</v>
      </c>
    </row>
    <row r="543" spans="1:11">
      <c r="A543" t="s">
        <v>228</v>
      </c>
      <c r="B543">
        <v>0.32</v>
      </c>
      <c r="C543">
        <v>0.42576090494791602</v>
      </c>
      <c r="D543">
        <v>32.732106516949798</v>
      </c>
      <c r="E543">
        <v>0.98722407767988096</v>
      </c>
      <c r="F543">
        <v>18.936077374492701</v>
      </c>
      <c r="G543">
        <v>36.164956231601202</v>
      </c>
      <c r="H543">
        <v>0.99009409014443595</v>
      </c>
      <c r="I543">
        <v>20.0410562844413</v>
      </c>
      <c r="J543">
        <v>10.1062629222869</v>
      </c>
      <c r="K543">
        <v>6.1147146224975497</v>
      </c>
    </row>
    <row r="544" spans="1:11">
      <c r="A544" t="s">
        <v>228</v>
      </c>
      <c r="B544">
        <v>0.16</v>
      </c>
      <c r="C544">
        <v>0.29624430338541602</v>
      </c>
      <c r="D544">
        <v>31.743658889358102</v>
      </c>
      <c r="E544">
        <v>0.98068321935121905</v>
      </c>
      <c r="F544">
        <v>17.140652517803399</v>
      </c>
      <c r="G544">
        <v>35.077485164808699</v>
      </c>
      <c r="H544">
        <v>0.984657783922116</v>
      </c>
      <c r="I544">
        <v>18.141119049969099</v>
      </c>
      <c r="J544">
        <v>7.4551398754119802</v>
      </c>
      <c r="K544">
        <v>4.7833561897277797</v>
      </c>
    </row>
    <row r="545" spans="1:11">
      <c r="A545" t="s">
        <v>228</v>
      </c>
      <c r="B545">
        <v>0.08</v>
      </c>
      <c r="C545">
        <v>0.19732666015625</v>
      </c>
      <c r="D545">
        <v>30.6193644600502</v>
      </c>
      <c r="E545">
        <v>0.97049122104300201</v>
      </c>
      <c r="F545">
        <v>15.3004876078839</v>
      </c>
      <c r="G545">
        <v>33.920126806223003</v>
      </c>
      <c r="H545">
        <v>0.97612588335508799</v>
      </c>
      <c r="I545">
        <v>16.220726885751098</v>
      </c>
      <c r="J545">
        <v>5.7204718589782697</v>
      </c>
      <c r="K545">
        <v>3.49797391891479</v>
      </c>
    </row>
    <row r="546" spans="1:11">
      <c r="A546" t="s">
        <v>228</v>
      </c>
      <c r="B546">
        <v>0.04</v>
      </c>
      <c r="C546">
        <v>0.120137532552083</v>
      </c>
      <c r="D546">
        <v>29.393009331630399</v>
      </c>
      <c r="E546">
        <v>0.95450671640351303</v>
      </c>
      <c r="F546">
        <v>13.420527157009399</v>
      </c>
      <c r="G546">
        <v>32.639142022694301</v>
      </c>
      <c r="H546">
        <v>0.96238123416252097</v>
      </c>
      <c r="I546">
        <v>14.245954564933699</v>
      </c>
      <c r="J546">
        <v>6.4880943298339799</v>
      </c>
      <c r="K546">
        <v>4.3293039798736501</v>
      </c>
    </row>
    <row r="547" spans="1:11">
      <c r="A547" t="s">
        <v>229</v>
      </c>
      <c r="B547">
        <v>3.2</v>
      </c>
      <c r="C547">
        <v>1.5256144205729101</v>
      </c>
      <c r="D547">
        <v>33.361827080199603</v>
      </c>
      <c r="E547">
        <v>0.99756880567498896</v>
      </c>
      <c r="F547">
        <v>26.141803266741402</v>
      </c>
      <c r="G547">
        <v>36.693595042103503</v>
      </c>
      <c r="H547">
        <v>0.99820819075464895</v>
      </c>
      <c r="I547">
        <v>27.467082268732199</v>
      </c>
      <c r="J547">
        <v>58.553933143615701</v>
      </c>
      <c r="K547">
        <v>16.722930192947299</v>
      </c>
    </row>
    <row r="548" spans="1:11">
      <c r="A548" t="s">
        <v>229</v>
      </c>
      <c r="B548">
        <v>1.28</v>
      </c>
      <c r="C548">
        <v>1.0852254231770799</v>
      </c>
      <c r="D548">
        <v>30.563932605301702</v>
      </c>
      <c r="E548">
        <v>0.99535658972746599</v>
      </c>
      <c r="F548">
        <v>23.3316294217367</v>
      </c>
      <c r="G548">
        <v>34.124077131039002</v>
      </c>
      <c r="H548">
        <v>0.99642747827645906</v>
      </c>
      <c r="I548">
        <v>24.470251217014098</v>
      </c>
      <c r="J548">
        <v>11.958258628845201</v>
      </c>
      <c r="K548">
        <v>5.1233975887298504</v>
      </c>
    </row>
    <row r="549" spans="1:11">
      <c r="A549" t="s">
        <v>229</v>
      </c>
      <c r="B549">
        <v>0.32</v>
      </c>
      <c r="C549">
        <v>0.60748291015625</v>
      </c>
      <c r="D549">
        <v>27.6799159243559</v>
      </c>
      <c r="E549">
        <v>0.98784345372017601</v>
      </c>
      <c r="F549">
        <v>19.151897922230301</v>
      </c>
      <c r="G549">
        <v>31.186995477404999</v>
      </c>
      <c r="H549">
        <v>0.99023734400303398</v>
      </c>
      <c r="I549">
        <v>20.1043201349054</v>
      </c>
      <c r="J549">
        <v>10.343919754028301</v>
      </c>
      <c r="K549">
        <v>6.7227585315704301</v>
      </c>
    </row>
    <row r="550" spans="1:11">
      <c r="A550" t="s">
        <v>229</v>
      </c>
      <c r="B550">
        <v>0.16</v>
      </c>
      <c r="C550">
        <v>0.44472249348958298</v>
      </c>
      <c r="D550">
        <v>26.581732386294998</v>
      </c>
      <c r="E550">
        <v>0.98035068213191401</v>
      </c>
      <c r="F550">
        <v>17.066525216889801</v>
      </c>
      <c r="G550">
        <v>29.982528371029598</v>
      </c>
      <c r="H550">
        <v>0.98388444471660397</v>
      </c>
      <c r="I550">
        <v>17.9275472568624</v>
      </c>
      <c r="J550">
        <v>7.1060819625854403</v>
      </c>
      <c r="K550">
        <v>4.7493295669555602</v>
      </c>
    </row>
    <row r="551" spans="1:11">
      <c r="A551" t="s">
        <v>229</v>
      </c>
      <c r="B551">
        <v>0.08</v>
      </c>
      <c r="C551">
        <v>0.31150309244791602</v>
      </c>
      <c r="D551">
        <v>25.261863242758601</v>
      </c>
      <c r="E551">
        <v>0.96692012177916897</v>
      </c>
      <c r="F551">
        <v>14.804360979138799</v>
      </c>
      <c r="G551">
        <v>28.624616378993199</v>
      </c>
      <c r="H551">
        <v>0.97217591138749104</v>
      </c>
      <c r="I551">
        <v>15.555790522238199</v>
      </c>
      <c r="J551">
        <v>5.4492323398589999</v>
      </c>
      <c r="K551">
        <v>3.4646761417388898</v>
      </c>
    </row>
    <row r="552" spans="1:11">
      <c r="A552" t="s">
        <v>229</v>
      </c>
      <c r="B552">
        <v>0.04</v>
      </c>
      <c r="C552">
        <v>0.19976806640625</v>
      </c>
      <c r="D552">
        <v>23.850663497889499</v>
      </c>
      <c r="E552">
        <v>0.94481411166089002</v>
      </c>
      <c r="F552">
        <v>12.5817196212527</v>
      </c>
      <c r="G552">
        <v>27.1409222505367</v>
      </c>
      <c r="H552">
        <v>0.95238553374522295</v>
      </c>
      <c r="I552">
        <v>13.2226107962965</v>
      </c>
      <c r="J552">
        <v>6.1622650623321498</v>
      </c>
      <c r="K552">
        <v>4.2532806396484304</v>
      </c>
    </row>
    <row r="553" spans="1:11">
      <c r="A553" t="s">
        <v>230</v>
      </c>
      <c r="B553">
        <v>3.2</v>
      </c>
      <c r="C553">
        <v>1.4250284830729101</v>
      </c>
      <c r="D553">
        <v>34.595535421710601</v>
      </c>
      <c r="E553">
        <v>0.99713167879124898</v>
      </c>
      <c r="F553">
        <v>25.423722158435702</v>
      </c>
      <c r="G553">
        <v>38.189726890889403</v>
      </c>
      <c r="H553">
        <v>0.99794316394863103</v>
      </c>
      <c r="I553">
        <v>26.868003241650001</v>
      </c>
      <c r="J553">
        <v>50.520618200302103</v>
      </c>
      <c r="K553">
        <v>15.4964983463287</v>
      </c>
    </row>
    <row r="554" spans="1:11">
      <c r="A554" t="s">
        <v>230</v>
      </c>
      <c r="B554">
        <v>1.28</v>
      </c>
      <c r="C554">
        <v>0.94753011067708304</v>
      </c>
      <c r="D554">
        <v>31.352793250310899</v>
      </c>
      <c r="E554">
        <v>0.99425423730293405</v>
      </c>
      <c r="F554">
        <v>22.406523145576301</v>
      </c>
      <c r="G554">
        <v>35.299542479115601</v>
      </c>
      <c r="H554">
        <v>0.99560351576594397</v>
      </c>
      <c r="I554">
        <v>23.568944798980802</v>
      </c>
      <c r="J554">
        <v>13.5685334205627</v>
      </c>
      <c r="K554">
        <v>5.0728819370269704</v>
      </c>
    </row>
    <row r="555" spans="1:11">
      <c r="A555" t="s">
        <v>230</v>
      </c>
      <c r="B555">
        <v>0.32</v>
      </c>
      <c r="C555">
        <v>0.49139404296875</v>
      </c>
      <c r="D555">
        <v>28.506810502245699</v>
      </c>
      <c r="E555">
        <v>0.98647047778423502</v>
      </c>
      <c r="F555">
        <v>18.687175398931998</v>
      </c>
      <c r="G555">
        <v>32.635176859469198</v>
      </c>
      <c r="H555">
        <v>0.98886786015584405</v>
      </c>
      <c r="I555">
        <v>19.5342134661005</v>
      </c>
      <c r="J555">
        <v>9.9172451496124197</v>
      </c>
      <c r="K555">
        <v>5.89469242095947</v>
      </c>
    </row>
    <row r="556" spans="1:11">
      <c r="A556" t="s">
        <v>230</v>
      </c>
      <c r="B556">
        <v>0.16</v>
      </c>
      <c r="C556">
        <v>0.35296630859375</v>
      </c>
      <c r="D556">
        <v>27.347896762454798</v>
      </c>
      <c r="E556">
        <v>0.97873994775145401</v>
      </c>
      <c r="F556">
        <v>16.7243567249254</v>
      </c>
      <c r="G556">
        <v>31.474535567009699</v>
      </c>
      <c r="H556">
        <v>0.98190817945659703</v>
      </c>
      <c r="I556">
        <v>17.425177287636402</v>
      </c>
      <c r="J556">
        <v>7.0416367053985596</v>
      </c>
      <c r="K556">
        <v>4.2718601226806596</v>
      </c>
    </row>
    <row r="557" spans="1:11">
      <c r="A557" t="s">
        <v>230</v>
      </c>
      <c r="B557">
        <v>0.08</v>
      </c>
      <c r="C557">
        <v>0.24021402994791599</v>
      </c>
      <c r="D557">
        <v>26.4866882094848</v>
      </c>
      <c r="E557">
        <v>0.96751352328078</v>
      </c>
      <c r="F557">
        <v>14.8829738697367</v>
      </c>
      <c r="G557">
        <v>30.570887028887299</v>
      </c>
      <c r="H557">
        <v>0.971478432549987</v>
      </c>
      <c r="I557">
        <v>15.4482661079123</v>
      </c>
      <c r="J557">
        <v>5.7567503452300999</v>
      </c>
      <c r="K557">
        <v>3.93726253509521</v>
      </c>
    </row>
    <row r="558" spans="1:11">
      <c r="A558" t="s">
        <v>230</v>
      </c>
      <c r="B558">
        <v>0.04</v>
      </c>
      <c r="C558">
        <v>0.15618896484375</v>
      </c>
      <c r="D558">
        <v>25.677147879137301</v>
      </c>
      <c r="E558">
        <v>0.95010105622085606</v>
      </c>
      <c r="F558">
        <v>13.019086470769</v>
      </c>
      <c r="G558">
        <v>29.508072255653499</v>
      </c>
      <c r="H558">
        <v>0.95578721087434804</v>
      </c>
      <c r="I558">
        <v>13.5445208713728</v>
      </c>
      <c r="J558">
        <v>6.4373002052307102</v>
      </c>
      <c r="K558">
        <v>4.4802680015563903</v>
      </c>
    </row>
    <row r="559" spans="1:11">
      <c r="A559" t="s">
        <v>231</v>
      </c>
      <c r="B559">
        <v>6.4</v>
      </c>
      <c r="C559">
        <v>1.26519775390625</v>
      </c>
      <c r="D559">
        <v>40.233724670411398</v>
      </c>
      <c r="E559">
        <v>0.99850558196217998</v>
      </c>
      <c r="F559">
        <v>28.255278990916398</v>
      </c>
      <c r="G559">
        <v>43.220080101102297</v>
      </c>
      <c r="H559">
        <v>0.99900676290672297</v>
      </c>
      <c r="I559">
        <v>30.029470697208499</v>
      </c>
      <c r="J559">
        <v>58.6101007461547</v>
      </c>
      <c r="K559">
        <v>15.7629401683807</v>
      </c>
    </row>
    <row r="560" spans="1:11">
      <c r="A560" t="s">
        <v>231</v>
      </c>
      <c r="B560">
        <v>3.2</v>
      </c>
      <c r="C560">
        <v>0.94215901692708304</v>
      </c>
      <c r="D560">
        <v>38.348123907181197</v>
      </c>
      <c r="E560">
        <v>0.99781980251992397</v>
      </c>
      <c r="F560">
        <v>26.615041666601801</v>
      </c>
      <c r="G560">
        <v>41.402830141729297</v>
      </c>
      <c r="H560">
        <v>0.99853249229641905</v>
      </c>
      <c r="I560">
        <v>28.3341961027552</v>
      </c>
      <c r="J560">
        <v>48.078975200652998</v>
      </c>
      <c r="K560">
        <v>15.2972266674041</v>
      </c>
    </row>
    <row r="561" spans="1:11">
      <c r="A561" t="s">
        <v>231</v>
      </c>
      <c r="B561">
        <v>0.64</v>
      </c>
      <c r="C561">
        <v>0.43772379557291602</v>
      </c>
      <c r="D561">
        <v>34.086269129022597</v>
      </c>
      <c r="E561">
        <v>0.99451691604847403</v>
      </c>
      <c r="F561">
        <v>22.609751045806298</v>
      </c>
      <c r="G561">
        <v>37.367383054453001</v>
      </c>
      <c r="H561">
        <v>0.99597102862795395</v>
      </c>
      <c r="I561">
        <v>23.9480581849072</v>
      </c>
      <c r="J561">
        <v>9.8968536853790194</v>
      </c>
      <c r="K561">
        <v>5.5723631381988499</v>
      </c>
    </row>
    <row r="562" spans="1:11">
      <c r="A562" t="s">
        <v>231</v>
      </c>
      <c r="B562">
        <v>0.16</v>
      </c>
      <c r="C562">
        <v>0.22564697265625</v>
      </c>
      <c r="D562">
        <v>31.8631671077849</v>
      </c>
      <c r="E562">
        <v>0.98793868832044196</v>
      </c>
      <c r="F562">
        <v>19.186054596737002</v>
      </c>
      <c r="G562">
        <v>35.006923645152703</v>
      </c>
      <c r="H562">
        <v>0.99043644860556501</v>
      </c>
      <c r="I562">
        <v>20.193808038957702</v>
      </c>
      <c r="J562">
        <v>7.1500589847564697</v>
      </c>
      <c r="K562">
        <v>4.7295978069305402</v>
      </c>
    </row>
    <row r="563" spans="1:11">
      <c r="A563" t="s">
        <v>231</v>
      </c>
      <c r="B563">
        <v>0.08</v>
      </c>
      <c r="C563">
        <v>0.15635172526041599</v>
      </c>
      <c r="D563">
        <v>30.4456806300728</v>
      </c>
      <c r="E563">
        <v>0.98174604550514599</v>
      </c>
      <c r="F563">
        <v>17.386430364539901</v>
      </c>
      <c r="G563">
        <v>33.487948330368702</v>
      </c>
      <c r="H563">
        <v>0.98514483386098906</v>
      </c>
      <c r="I563">
        <v>18.2812248671781</v>
      </c>
      <c r="J563">
        <v>5.3221671581268302</v>
      </c>
      <c r="K563">
        <v>3.2806768417358398</v>
      </c>
    </row>
    <row r="564" spans="1:11">
      <c r="A564" t="s">
        <v>231</v>
      </c>
      <c r="B564">
        <v>0.04</v>
      </c>
      <c r="C564">
        <v>0.108296712239583</v>
      </c>
      <c r="D564">
        <v>29.0129634060028</v>
      </c>
      <c r="E564">
        <v>0.972816886698605</v>
      </c>
      <c r="F564">
        <v>15.657008046975101</v>
      </c>
      <c r="G564">
        <v>31.965611121736998</v>
      </c>
      <c r="H564">
        <v>0.97738051655651104</v>
      </c>
      <c r="I564">
        <v>16.455173171914598</v>
      </c>
      <c r="J564">
        <v>6.7087247371673504</v>
      </c>
      <c r="K564">
        <v>4.4439303874969402</v>
      </c>
    </row>
    <row r="565" spans="1:11">
      <c r="A565" t="s">
        <v>232</v>
      </c>
      <c r="B565">
        <v>3.2</v>
      </c>
      <c r="C565">
        <v>1.5105183919270799</v>
      </c>
      <c r="D565">
        <v>31.803582547617001</v>
      </c>
      <c r="E565">
        <v>0.99717611292316</v>
      </c>
      <c r="F565">
        <v>25.4915267408124</v>
      </c>
      <c r="G565">
        <v>35.338059816819303</v>
      </c>
      <c r="H565">
        <v>0.99784503577801797</v>
      </c>
      <c r="I565">
        <v>26.665599358627901</v>
      </c>
      <c r="J565">
        <v>58.107753276824901</v>
      </c>
      <c r="K565">
        <v>15.467755317687899</v>
      </c>
    </row>
    <row r="566" spans="1:11">
      <c r="A566" t="s">
        <v>232</v>
      </c>
      <c r="B566">
        <v>1.28</v>
      </c>
      <c r="C566">
        <v>1.03204345703125</v>
      </c>
      <c r="D566">
        <v>28.563256558675601</v>
      </c>
      <c r="E566">
        <v>0.99440338441925202</v>
      </c>
      <c r="F566">
        <v>22.520745228044898</v>
      </c>
      <c r="G566">
        <v>32.459579209201898</v>
      </c>
      <c r="H566">
        <v>0.99549965022852804</v>
      </c>
      <c r="I566">
        <v>23.4675373113201</v>
      </c>
      <c r="J566">
        <v>13.7295312881469</v>
      </c>
      <c r="K566">
        <v>5.4127922058105398</v>
      </c>
    </row>
    <row r="567" spans="1:11">
      <c r="A567" t="s">
        <v>232</v>
      </c>
      <c r="B567">
        <v>0.32</v>
      </c>
      <c r="C567">
        <v>0.51186116536458304</v>
      </c>
      <c r="D567">
        <v>25.697737633700399</v>
      </c>
      <c r="E567">
        <v>0.98678546582436999</v>
      </c>
      <c r="F567">
        <v>18.789481415386302</v>
      </c>
      <c r="G567">
        <v>29.729523955113802</v>
      </c>
      <c r="H567">
        <v>0.98893086218978499</v>
      </c>
      <c r="I567">
        <v>19.558862055755601</v>
      </c>
      <c r="J567">
        <v>10.550546884536701</v>
      </c>
      <c r="K567">
        <v>5.87278127670288</v>
      </c>
    </row>
    <row r="568" spans="1:11">
      <c r="A568" t="s">
        <v>232</v>
      </c>
      <c r="B568">
        <v>0.16</v>
      </c>
      <c r="C568">
        <v>0.35988362630208298</v>
      </c>
      <c r="D568">
        <v>24.211053635625301</v>
      </c>
      <c r="E568">
        <v>0.97945167694892499</v>
      </c>
      <c r="F568">
        <v>16.872236151203602</v>
      </c>
      <c r="G568">
        <v>28.313209384877698</v>
      </c>
      <c r="H568">
        <v>0.98240271158653103</v>
      </c>
      <c r="I568">
        <v>17.545542479696099</v>
      </c>
      <c r="J568">
        <v>7.0165896415710396</v>
      </c>
      <c r="K568">
        <v>4.8358585834503103</v>
      </c>
    </row>
    <row r="569" spans="1:11">
      <c r="A569" t="s">
        <v>232</v>
      </c>
      <c r="B569">
        <v>0.08</v>
      </c>
      <c r="C569">
        <v>0.24611409505208301</v>
      </c>
      <c r="D569">
        <v>23.347960696210901</v>
      </c>
      <c r="E569">
        <v>0.96881667629313295</v>
      </c>
      <c r="F569">
        <v>15.0607759695274</v>
      </c>
      <c r="G569">
        <v>27.309836147531701</v>
      </c>
      <c r="H569">
        <v>0.97295615306500705</v>
      </c>
      <c r="I569">
        <v>15.679315307848899</v>
      </c>
      <c r="J569">
        <v>5.4835917949676496</v>
      </c>
      <c r="K569">
        <v>3.4023909568786599</v>
      </c>
    </row>
    <row r="570" spans="1:11">
      <c r="A570" t="s">
        <v>232</v>
      </c>
      <c r="B570">
        <v>0.04</v>
      </c>
      <c r="C570">
        <v>0.15989176432291599</v>
      </c>
      <c r="D570">
        <v>22.3343650774408</v>
      </c>
      <c r="E570">
        <v>0.95251970196319702</v>
      </c>
      <c r="F570">
        <v>13.234865636152399</v>
      </c>
      <c r="G570">
        <v>26.079715964518499</v>
      </c>
      <c r="H570">
        <v>0.958091739283494</v>
      </c>
      <c r="I570">
        <v>13.777003629528</v>
      </c>
      <c r="J570">
        <v>6.2858698368072501</v>
      </c>
      <c r="K570">
        <v>4.3619914054870597</v>
      </c>
    </row>
    <row r="571" spans="1:11">
      <c r="A571" t="s">
        <v>233</v>
      </c>
      <c r="B571">
        <v>6.4</v>
      </c>
      <c r="C571">
        <v>1.5921427408854101</v>
      </c>
      <c r="D571">
        <v>40.212104918052603</v>
      </c>
      <c r="E571">
        <v>0.997780562524887</v>
      </c>
      <c r="F571">
        <v>26.537570851941101</v>
      </c>
      <c r="G571">
        <v>43.238648914828701</v>
      </c>
      <c r="H571">
        <v>0.99846774192907894</v>
      </c>
      <c r="I571">
        <v>28.1466808239412</v>
      </c>
      <c r="J571">
        <v>62.404307126998901</v>
      </c>
      <c r="K571">
        <v>16.908330917358398</v>
      </c>
    </row>
    <row r="572" spans="1:11">
      <c r="A572" t="s">
        <v>233</v>
      </c>
      <c r="B572">
        <v>3.2</v>
      </c>
      <c r="C572">
        <v>1.0366007486979101</v>
      </c>
      <c r="D572">
        <v>38.165694369023598</v>
      </c>
      <c r="E572">
        <v>0.99653295744463199</v>
      </c>
      <c r="F572">
        <v>24.6004082766929</v>
      </c>
      <c r="G572">
        <v>41.355652662687397</v>
      </c>
      <c r="H572">
        <v>0.99753087917092798</v>
      </c>
      <c r="I572">
        <v>26.074576568826199</v>
      </c>
      <c r="J572">
        <v>43.485262870788503</v>
      </c>
      <c r="K572">
        <v>16.190675973892201</v>
      </c>
    </row>
    <row r="573" spans="1:11">
      <c r="A573" t="s">
        <v>233</v>
      </c>
      <c r="B573">
        <v>0.64</v>
      </c>
      <c r="C573">
        <v>0.42234293619791602</v>
      </c>
      <c r="D573">
        <v>34.0190823994851</v>
      </c>
      <c r="E573">
        <v>0.99189836558761302</v>
      </c>
      <c r="F573">
        <v>20.914273583217199</v>
      </c>
      <c r="G573">
        <v>37.555141181897397</v>
      </c>
      <c r="H573">
        <v>0.99391131930378396</v>
      </c>
      <c r="I573">
        <v>22.154768007045199</v>
      </c>
      <c r="J573">
        <v>10.6885914802551</v>
      </c>
      <c r="K573">
        <v>5.3922972679138104</v>
      </c>
    </row>
    <row r="574" spans="1:11">
      <c r="A574" t="s">
        <v>233</v>
      </c>
      <c r="B574">
        <v>0.32</v>
      </c>
      <c r="C574">
        <v>0.25718180338541602</v>
      </c>
      <c r="D574">
        <v>33.211648267992999</v>
      </c>
      <c r="E574">
        <v>0.98857536817350899</v>
      </c>
      <c r="F574">
        <v>19.4215778673295</v>
      </c>
      <c r="G574">
        <v>36.703653478407901</v>
      </c>
      <c r="H574">
        <v>0.99092951758725401</v>
      </c>
      <c r="I574">
        <v>20.423696144148899</v>
      </c>
      <c r="J574">
        <v>9.3973739147186208</v>
      </c>
      <c r="K574">
        <v>6.6929671764373699</v>
      </c>
    </row>
    <row r="575" spans="1:11">
      <c r="A575" t="s">
        <v>233</v>
      </c>
      <c r="B575">
        <v>0.08</v>
      </c>
      <c r="C575">
        <v>0.12017822265625</v>
      </c>
      <c r="D575">
        <v>30.799665329598501</v>
      </c>
      <c r="E575">
        <v>0.97934306815179695</v>
      </c>
      <c r="F575">
        <v>16.849341833171898</v>
      </c>
      <c r="G575">
        <v>34.217423406984103</v>
      </c>
      <c r="H575">
        <v>0.98268186227357901</v>
      </c>
      <c r="I575">
        <v>17.6149881085347</v>
      </c>
      <c r="J575">
        <v>5.6012303829193097</v>
      </c>
      <c r="K575">
        <v>3.3465158939361501</v>
      </c>
    </row>
    <row r="576" spans="1:11">
      <c r="A576" t="s">
        <v>233</v>
      </c>
      <c r="B576">
        <v>0.04</v>
      </c>
      <c r="C576">
        <v>8.3597819010416602E-2</v>
      </c>
      <c r="D576">
        <v>29.4236471456591</v>
      </c>
      <c r="E576">
        <v>0.97154911995660498</v>
      </c>
      <c r="F576">
        <v>15.4590429545243</v>
      </c>
      <c r="G576">
        <v>32.662256683908502</v>
      </c>
      <c r="H576">
        <v>0.97587465640720605</v>
      </c>
      <c r="I576">
        <v>16.1752649272441</v>
      </c>
      <c r="J576">
        <v>6.2635631561279297</v>
      </c>
      <c r="K576">
        <v>4.5233631134033203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NIC-0.1(CfE)</vt:lpstr>
      <vt:lpstr>NIC-0.1(retrain)</vt:lpstr>
      <vt:lpstr>Sheet3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Frank Bossen</dc:creator>
  <cp:lastModifiedBy>linjianping</cp:lastModifiedBy>
  <dcterms:created xsi:type="dcterms:W3CDTF">2011-06-30T00:09:01Z</dcterms:created>
  <dcterms:modified xsi:type="dcterms:W3CDTF">2020-08-11T19:53:46Z</dcterms:modified>
</cp:coreProperties>
</file>